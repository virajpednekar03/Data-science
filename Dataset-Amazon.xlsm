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E2822821-60ED-447A-AEB9-F54D36D92FAF}" xr6:coauthVersionLast="47" xr6:coauthVersionMax="47" xr10:uidLastSave="{00000000-0000-0000-0000-000000000000}"/>
  <bookViews>
    <workbookView xWindow="-108" yWindow="-108" windowWidth="23256" windowHeight="13176" xr2:uid="{345B094E-5BEC-482C-A369-F2D04042B76D}"/>
  </bookViews>
  <sheets>
    <sheet name="Amazon Data Set" sheetId="7" r:id="rId1"/>
    <sheet name="Pivot" sheetId="5" r:id="rId2"/>
    <sheet name="Charts" sheetId="12" r:id="rId3"/>
    <sheet name="KPI" sheetId="9" r:id="rId4"/>
    <sheet name="Calculation" sheetId="10" r:id="rId5"/>
    <sheet name="Vlookup" sheetId="11" r:id="rId6"/>
    <sheet name="Dashboard" sheetId="6" r:id="rId7"/>
  </sheets>
  <definedNames>
    <definedName name="GROSS_SALES">'Amazon Data Set'!$T:$T</definedName>
    <definedName name="Slicer_Category">#N/A</definedName>
    <definedName name="Slicer_Month">#N/A</definedName>
    <definedName name="Slicer_Payment_Method">#N/A</definedName>
    <definedName name="Slicer_Regio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 i="11" l="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891" i="11"/>
  <c r="B892" i="11"/>
  <c r="B893" i="11"/>
  <c r="B894" i="11"/>
  <c r="B895" i="11"/>
  <c r="B896" i="11"/>
  <c r="B897" i="11"/>
  <c r="B898" i="11"/>
  <c r="B899" i="11"/>
  <c r="B900" i="11"/>
  <c r="B901" i="11"/>
  <c r="B902" i="11"/>
  <c r="B903" i="11"/>
  <c r="B904" i="11"/>
  <c r="B905" i="11"/>
  <c r="B906" i="11"/>
  <c r="B907" i="11"/>
  <c r="B908" i="11"/>
  <c r="B909" i="11"/>
  <c r="B910" i="11"/>
  <c r="B911" i="11"/>
  <c r="B912" i="11"/>
  <c r="B913" i="11"/>
  <c r="B914" i="11"/>
  <c r="B915" i="11"/>
  <c r="B916" i="11"/>
  <c r="B917" i="11"/>
  <c r="B918" i="11"/>
  <c r="B919" i="11"/>
  <c r="B920" i="11"/>
  <c r="B921" i="11"/>
  <c r="B922" i="11"/>
  <c r="B923" i="11"/>
  <c r="B924" i="11"/>
  <c r="B925" i="11"/>
  <c r="B926" i="11"/>
  <c r="B927" i="11"/>
  <c r="B928" i="11"/>
  <c r="B929" i="11"/>
  <c r="B930" i="11"/>
  <c r="B931" i="11"/>
  <c r="B932" i="11"/>
  <c r="B933" i="11"/>
  <c r="B934" i="11"/>
  <c r="B935" i="11"/>
  <c r="B936" i="11"/>
  <c r="B937" i="11"/>
  <c r="B938" i="11"/>
  <c r="B939" i="11"/>
  <c r="B940" i="11"/>
  <c r="B941" i="11"/>
  <c r="B942" i="11"/>
  <c r="B943" i="11"/>
  <c r="B944" i="11"/>
  <c r="B945" i="11"/>
  <c r="B946" i="11"/>
  <c r="B947" i="11"/>
  <c r="B948" i="11"/>
  <c r="B949" i="11"/>
  <c r="B950" i="11"/>
  <c r="B951" i="11"/>
  <c r="B952" i="11"/>
  <c r="B953" i="11"/>
  <c r="B954" i="11"/>
  <c r="B955" i="11"/>
  <c r="B956" i="11"/>
  <c r="B957" i="11"/>
  <c r="B958" i="11"/>
  <c r="B959" i="11"/>
  <c r="B960" i="11"/>
  <c r="B961" i="11"/>
  <c r="B962" i="11"/>
  <c r="B963" i="11"/>
  <c r="B964" i="11"/>
  <c r="B965" i="11"/>
  <c r="B966" i="11"/>
  <c r="B967" i="11"/>
  <c r="B968" i="11"/>
  <c r="B969" i="11"/>
  <c r="B970" i="11"/>
  <c r="B971" i="11"/>
  <c r="B972" i="11"/>
  <c r="B973" i="11"/>
  <c r="B974" i="11"/>
  <c r="B975" i="11"/>
  <c r="B976" i="11"/>
  <c r="B977" i="11"/>
  <c r="B978" i="11"/>
  <c r="B979" i="11"/>
  <c r="B980" i="11"/>
  <c r="B981" i="11"/>
  <c r="B982" i="11"/>
  <c r="B983" i="11"/>
  <c r="B984" i="11"/>
  <c r="B985" i="11"/>
  <c r="B986" i="11"/>
  <c r="B987" i="11"/>
  <c r="B988" i="11"/>
  <c r="B989" i="11"/>
  <c r="B990" i="11"/>
  <c r="B991" i="11"/>
  <c r="B992" i="11"/>
  <c r="B993" i="11"/>
  <c r="B994" i="11"/>
  <c r="B995" i="11"/>
  <c r="B996" i="11"/>
  <c r="B997" i="11"/>
  <c r="B998" i="11"/>
  <c r="B999" i="11"/>
  <c r="B1000" i="11"/>
  <c r="B1001" i="11"/>
  <c r="B2" i="11"/>
  <c r="B3" i="11"/>
  <c r="B4" i="11"/>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4"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D729" i="11"/>
  <c r="D730" i="11"/>
  <c r="D731" i="11"/>
  <c r="D732" i="11"/>
  <c r="D733" i="11"/>
  <c r="D734" i="11"/>
  <c r="D735" i="11"/>
  <c r="D736" i="11"/>
  <c r="D737" i="11"/>
  <c r="D738" i="11"/>
  <c r="D739" i="11"/>
  <c r="D740" i="11"/>
  <c r="D741" i="11"/>
  <c r="D742" i="11"/>
  <c r="D743" i="11"/>
  <c r="D744" i="11"/>
  <c r="D745" i="11"/>
  <c r="D746" i="11"/>
  <c r="D747" i="11"/>
  <c r="D748" i="11"/>
  <c r="D749" i="11"/>
  <c r="D750" i="11"/>
  <c r="D751" i="11"/>
  <c r="D752" i="11"/>
  <c r="D753" i="11"/>
  <c r="D754" i="11"/>
  <c r="D755" i="11"/>
  <c r="D756" i="11"/>
  <c r="D757" i="11"/>
  <c r="D758" i="11"/>
  <c r="D759" i="11"/>
  <c r="D760" i="11"/>
  <c r="D761" i="11"/>
  <c r="D762" i="11"/>
  <c r="D763" i="11"/>
  <c r="D764" i="11"/>
  <c r="D765" i="11"/>
  <c r="D766" i="11"/>
  <c r="D767" i="11"/>
  <c r="D768" i="11"/>
  <c r="D769" i="11"/>
  <c r="D770" i="11"/>
  <c r="D771" i="11"/>
  <c r="D772" i="11"/>
  <c r="D773" i="11"/>
  <c r="D774" i="11"/>
  <c r="D775" i="11"/>
  <c r="D776" i="11"/>
  <c r="D777" i="11"/>
  <c r="D778" i="11"/>
  <c r="D779" i="11"/>
  <c r="D780" i="11"/>
  <c r="D781" i="11"/>
  <c r="D782" i="11"/>
  <c r="D783" i="11"/>
  <c r="D784" i="11"/>
  <c r="D785" i="11"/>
  <c r="D786" i="11"/>
  <c r="D787" i="11"/>
  <c r="D788" i="11"/>
  <c r="D789" i="11"/>
  <c r="D790" i="11"/>
  <c r="D791" i="11"/>
  <c r="D792" i="11"/>
  <c r="D793" i="11"/>
  <c r="D794" i="11"/>
  <c r="D795" i="11"/>
  <c r="D796" i="11"/>
  <c r="D797" i="11"/>
  <c r="D798" i="11"/>
  <c r="D799" i="11"/>
  <c r="D800" i="11"/>
  <c r="D801" i="11"/>
  <c r="D802" i="11"/>
  <c r="D803" i="11"/>
  <c r="D804" i="11"/>
  <c r="D805" i="11"/>
  <c r="D806" i="11"/>
  <c r="D807" i="11"/>
  <c r="D808" i="11"/>
  <c r="D809" i="11"/>
  <c r="D810" i="11"/>
  <c r="D811" i="11"/>
  <c r="D812" i="11"/>
  <c r="D813" i="11"/>
  <c r="D814" i="11"/>
  <c r="D815" i="11"/>
  <c r="D816" i="11"/>
  <c r="D817" i="11"/>
  <c r="D818" i="11"/>
  <c r="D819" i="11"/>
  <c r="D820" i="11"/>
  <c r="D821" i="11"/>
  <c r="D822" i="11"/>
  <c r="D823" i="11"/>
  <c r="D824" i="11"/>
  <c r="D825" i="11"/>
  <c r="D826" i="11"/>
  <c r="D827" i="11"/>
  <c r="D828" i="11"/>
  <c r="D829" i="11"/>
  <c r="D830" i="11"/>
  <c r="D831" i="11"/>
  <c r="D832" i="11"/>
  <c r="D833" i="11"/>
  <c r="D834" i="11"/>
  <c r="D835" i="11"/>
  <c r="D836" i="11"/>
  <c r="D837" i="11"/>
  <c r="D838" i="11"/>
  <c r="D839" i="11"/>
  <c r="D840" i="11"/>
  <c r="D841" i="11"/>
  <c r="D842" i="11"/>
  <c r="D843" i="11"/>
  <c r="D844" i="11"/>
  <c r="D845" i="11"/>
  <c r="D846" i="11"/>
  <c r="D847" i="11"/>
  <c r="D848" i="11"/>
  <c r="D849" i="11"/>
  <c r="D850" i="11"/>
  <c r="D851" i="11"/>
  <c r="D852" i="11"/>
  <c r="D853" i="11"/>
  <c r="D854" i="11"/>
  <c r="D855" i="11"/>
  <c r="D856" i="11"/>
  <c r="D857" i="11"/>
  <c r="D858" i="11"/>
  <c r="D859" i="11"/>
  <c r="D860" i="11"/>
  <c r="D861" i="11"/>
  <c r="D862" i="11"/>
  <c r="D863" i="11"/>
  <c r="D864" i="11"/>
  <c r="D865" i="11"/>
  <c r="D866" i="11"/>
  <c r="D867" i="11"/>
  <c r="D868" i="11"/>
  <c r="D869" i="11"/>
  <c r="D870" i="11"/>
  <c r="D871" i="11"/>
  <c r="D872" i="11"/>
  <c r="D873" i="11"/>
  <c r="D874" i="11"/>
  <c r="D875" i="11"/>
  <c r="D876" i="11"/>
  <c r="D877" i="11"/>
  <c r="D878" i="11"/>
  <c r="D879" i="11"/>
  <c r="D880" i="11"/>
  <c r="D881" i="11"/>
  <c r="D882" i="11"/>
  <c r="D883" i="11"/>
  <c r="D884" i="11"/>
  <c r="D885" i="11"/>
  <c r="D886" i="11"/>
  <c r="D887" i="11"/>
  <c r="D888" i="11"/>
  <c r="D889" i="11"/>
  <c r="D890" i="11"/>
  <c r="D891" i="11"/>
  <c r="D892" i="11"/>
  <c r="D893" i="11"/>
  <c r="D894" i="11"/>
  <c r="D895" i="11"/>
  <c r="D896" i="11"/>
  <c r="D897" i="11"/>
  <c r="D898" i="11"/>
  <c r="D899" i="11"/>
  <c r="D900" i="11"/>
  <c r="D901" i="11"/>
  <c r="D902" i="11"/>
  <c r="D903" i="11"/>
  <c r="D904" i="11"/>
  <c r="D905" i="11"/>
  <c r="D906" i="11"/>
  <c r="D907" i="11"/>
  <c r="D908" i="11"/>
  <c r="D909" i="11"/>
  <c r="D910" i="11"/>
  <c r="D911" i="11"/>
  <c r="D912" i="11"/>
  <c r="D913" i="11"/>
  <c r="D914" i="11"/>
  <c r="D915" i="11"/>
  <c r="D916" i="11"/>
  <c r="D917" i="11"/>
  <c r="D918" i="11"/>
  <c r="D919" i="11"/>
  <c r="D920" i="11"/>
  <c r="D921" i="11"/>
  <c r="D922" i="11"/>
  <c r="D923" i="11"/>
  <c r="D924" i="11"/>
  <c r="D925" i="11"/>
  <c r="D926" i="11"/>
  <c r="D927" i="11"/>
  <c r="D928" i="11"/>
  <c r="D929" i="11"/>
  <c r="D930" i="11"/>
  <c r="D931" i="11"/>
  <c r="D932" i="11"/>
  <c r="D933" i="11"/>
  <c r="D934" i="11"/>
  <c r="D935" i="11"/>
  <c r="D936" i="11"/>
  <c r="D937" i="11"/>
  <c r="D938" i="11"/>
  <c r="D939" i="11"/>
  <c r="D940" i="11"/>
  <c r="D941" i="11"/>
  <c r="D942" i="11"/>
  <c r="D943" i="11"/>
  <c r="D944" i="11"/>
  <c r="D945" i="11"/>
  <c r="D946" i="11"/>
  <c r="D947" i="11"/>
  <c r="D948" i="11"/>
  <c r="D949" i="11"/>
  <c r="D950" i="11"/>
  <c r="D951" i="11"/>
  <c r="D952" i="11"/>
  <c r="D953" i="11"/>
  <c r="D954" i="11"/>
  <c r="D955" i="11"/>
  <c r="D956" i="11"/>
  <c r="D957" i="11"/>
  <c r="D958" i="11"/>
  <c r="D959" i="11"/>
  <c r="D960" i="11"/>
  <c r="D961" i="11"/>
  <c r="D962" i="11"/>
  <c r="D963" i="11"/>
  <c r="D964" i="11"/>
  <c r="D965" i="11"/>
  <c r="D966" i="11"/>
  <c r="D967" i="11"/>
  <c r="D968" i="11"/>
  <c r="D969" i="11"/>
  <c r="D970" i="11"/>
  <c r="D971" i="11"/>
  <c r="D972" i="11"/>
  <c r="D973" i="11"/>
  <c r="D974" i="11"/>
  <c r="D975" i="11"/>
  <c r="D976" i="11"/>
  <c r="D977" i="11"/>
  <c r="D978" i="11"/>
  <c r="D979" i="11"/>
  <c r="D980" i="11"/>
  <c r="D981" i="11"/>
  <c r="D982" i="11"/>
  <c r="D983" i="11"/>
  <c r="D984" i="11"/>
  <c r="D985" i="11"/>
  <c r="D986" i="11"/>
  <c r="D987" i="11"/>
  <c r="D988" i="11"/>
  <c r="D989" i="11"/>
  <c r="D990" i="11"/>
  <c r="D991" i="11"/>
  <c r="D992" i="11"/>
  <c r="D993" i="11"/>
  <c r="D994" i="11"/>
  <c r="D995" i="11"/>
  <c r="D996" i="11"/>
  <c r="D997" i="11"/>
  <c r="D998" i="11"/>
  <c r="D999" i="11"/>
  <c r="D1000" i="11"/>
  <c r="D1001" i="11"/>
  <c r="D2"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74" i="11"/>
  <c r="C275" i="11"/>
  <c r="C276" i="11"/>
  <c r="C277" i="11"/>
  <c r="C278" i="11"/>
  <c r="C279" i="11"/>
  <c r="C280" i="11"/>
  <c r="C281" i="11"/>
  <c r="C282" i="11"/>
  <c r="C283" i="11"/>
  <c r="C284" i="11"/>
  <c r="C285" i="11"/>
  <c r="C286" i="11"/>
  <c r="C287" i="11"/>
  <c r="C288" i="11"/>
  <c r="C289" i="11"/>
  <c r="C290" i="11"/>
  <c r="C291" i="11"/>
  <c r="C292" i="11"/>
  <c r="C293" i="11"/>
  <c r="C294" i="11"/>
  <c r="C295" i="11"/>
  <c r="C296" i="11"/>
  <c r="C297" i="11"/>
  <c r="C298" i="11"/>
  <c r="C299" i="11"/>
  <c r="C300" i="11"/>
  <c r="C301" i="11"/>
  <c r="C302" i="11"/>
  <c r="C303" i="11"/>
  <c r="C304" i="11"/>
  <c r="C305" i="11"/>
  <c r="C306" i="11"/>
  <c r="C307" i="11"/>
  <c r="C308" i="11"/>
  <c r="C309" i="11"/>
  <c r="C310" i="11"/>
  <c r="C311" i="11"/>
  <c r="C312" i="11"/>
  <c r="C313" i="11"/>
  <c r="C314" i="11"/>
  <c r="C315" i="11"/>
  <c r="C316" i="11"/>
  <c r="C317" i="11"/>
  <c r="C318" i="11"/>
  <c r="C319" i="11"/>
  <c r="C320" i="11"/>
  <c r="C321" i="11"/>
  <c r="C322" i="11"/>
  <c r="C323" i="11"/>
  <c r="C324" i="11"/>
  <c r="C325" i="11"/>
  <c r="C326" i="11"/>
  <c r="C327" i="11"/>
  <c r="C328" i="11"/>
  <c r="C329" i="11"/>
  <c r="C330" i="11"/>
  <c r="C331" i="11"/>
  <c r="C332" i="11"/>
  <c r="C333" i="11"/>
  <c r="C334" i="11"/>
  <c r="C335" i="11"/>
  <c r="C336" i="11"/>
  <c r="C337" i="11"/>
  <c r="C338" i="11"/>
  <c r="C339" i="11"/>
  <c r="C340" i="11"/>
  <c r="C341" i="11"/>
  <c r="C342" i="11"/>
  <c r="C343" i="11"/>
  <c r="C344" i="11"/>
  <c r="C345" i="11"/>
  <c r="C346" i="11"/>
  <c r="C347" i="11"/>
  <c r="C348" i="11"/>
  <c r="C349" i="11"/>
  <c r="C350" i="11"/>
  <c r="C351" i="11"/>
  <c r="C352" i="11"/>
  <c r="C353" i="11"/>
  <c r="C354" i="11"/>
  <c r="C355" i="11"/>
  <c r="C356" i="11"/>
  <c r="C357" i="11"/>
  <c r="C358" i="11"/>
  <c r="C359" i="11"/>
  <c r="C360" i="11"/>
  <c r="C361" i="11"/>
  <c r="C362" i="11"/>
  <c r="C363" i="11"/>
  <c r="C364" i="11"/>
  <c r="C365" i="11"/>
  <c r="C366" i="11"/>
  <c r="C367" i="11"/>
  <c r="C368" i="11"/>
  <c r="C369" i="11"/>
  <c r="C370" i="11"/>
  <c r="C371" i="11"/>
  <c r="C372" i="11"/>
  <c r="C373" i="11"/>
  <c r="C374" i="11"/>
  <c r="C375" i="11"/>
  <c r="C376" i="11"/>
  <c r="C377" i="11"/>
  <c r="C378" i="11"/>
  <c r="C379" i="11"/>
  <c r="C380" i="11"/>
  <c r="C381" i="11"/>
  <c r="C382" i="11"/>
  <c r="C383" i="11"/>
  <c r="C384" i="11"/>
  <c r="C385" i="11"/>
  <c r="C386" i="11"/>
  <c r="C387" i="11"/>
  <c r="C388" i="11"/>
  <c r="C389" i="11"/>
  <c r="C390" i="11"/>
  <c r="C391" i="11"/>
  <c r="C392" i="11"/>
  <c r="C393" i="11"/>
  <c r="C394" i="11"/>
  <c r="C395" i="11"/>
  <c r="C396" i="11"/>
  <c r="C397" i="11"/>
  <c r="C398" i="11"/>
  <c r="C399" i="11"/>
  <c r="C400" i="11"/>
  <c r="C401" i="11"/>
  <c r="C402" i="11"/>
  <c r="C403" i="11"/>
  <c r="C404" i="11"/>
  <c r="C405" i="11"/>
  <c r="C406" i="11"/>
  <c r="C407" i="11"/>
  <c r="C408" i="11"/>
  <c r="C409" i="11"/>
  <c r="C410" i="11"/>
  <c r="C411" i="11"/>
  <c r="C412" i="11"/>
  <c r="C413" i="11"/>
  <c r="C414" i="11"/>
  <c r="C415" i="11"/>
  <c r="C416" i="11"/>
  <c r="C417" i="11"/>
  <c r="C418" i="11"/>
  <c r="C419" i="11"/>
  <c r="C420" i="11"/>
  <c r="C421" i="11"/>
  <c r="C422" i="11"/>
  <c r="C423" i="11"/>
  <c r="C424" i="11"/>
  <c r="C425" i="11"/>
  <c r="C426" i="11"/>
  <c r="C427" i="11"/>
  <c r="C428" i="11"/>
  <c r="C429" i="11"/>
  <c r="C430" i="11"/>
  <c r="C431" i="11"/>
  <c r="C432" i="11"/>
  <c r="C433" i="11"/>
  <c r="C434" i="11"/>
  <c r="C435" i="11"/>
  <c r="C436" i="11"/>
  <c r="C437" i="11"/>
  <c r="C438" i="11"/>
  <c r="C439" i="11"/>
  <c r="C440" i="11"/>
  <c r="C441" i="11"/>
  <c r="C442" i="11"/>
  <c r="C443" i="11"/>
  <c r="C444" i="11"/>
  <c r="C445" i="11"/>
  <c r="C446" i="11"/>
  <c r="C447" i="11"/>
  <c r="C448" i="11"/>
  <c r="C449" i="11"/>
  <c r="C450" i="11"/>
  <c r="C451" i="11"/>
  <c r="C452" i="11"/>
  <c r="C453" i="11"/>
  <c r="C454" i="11"/>
  <c r="C455" i="11"/>
  <c r="C456" i="11"/>
  <c r="C457" i="11"/>
  <c r="C458" i="11"/>
  <c r="C459" i="11"/>
  <c r="C460" i="11"/>
  <c r="C461" i="11"/>
  <c r="C462" i="11"/>
  <c r="C463" i="11"/>
  <c r="C464" i="11"/>
  <c r="C465" i="11"/>
  <c r="C466" i="11"/>
  <c r="C467" i="11"/>
  <c r="C468" i="11"/>
  <c r="C469" i="11"/>
  <c r="C470" i="11"/>
  <c r="C471" i="11"/>
  <c r="C472" i="11"/>
  <c r="C473" i="11"/>
  <c r="C474" i="11"/>
  <c r="C475" i="11"/>
  <c r="C476" i="11"/>
  <c r="C477" i="11"/>
  <c r="C478" i="11"/>
  <c r="C479" i="11"/>
  <c r="C480" i="11"/>
  <c r="C481" i="11"/>
  <c r="C482" i="11"/>
  <c r="C483" i="11"/>
  <c r="C484" i="11"/>
  <c r="C485" i="11"/>
  <c r="C486" i="11"/>
  <c r="C487" i="11"/>
  <c r="C488" i="11"/>
  <c r="C489" i="11"/>
  <c r="C490" i="11"/>
  <c r="C491" i="11"/>
  <c r="C492" i="11"/>
  <c r="C493" i="11"/>
  <c r="C494" i="11"/>
  <c r="C495" i="11"/>
  <c r="C496" i="11"/>
  <c r="C497" i="11"/>
  <c r="C498" i="11"/>
  <c r="C499" i="11"/>
  <c r="C500" i="11"/>
  <c r="C501" i="11"/>
  <c r="C502" i="11"/>
  <c r="C503" i="11"/>
  <c r="C504" i="11"/>
  <c r="C505" i="11"/>
  <c r="C506" i="11"/>
  <c r="C507" i="11"/>
  <c r="C508" i="11"/>
  <c r="C509" i="11"/>
  <c r="C510" i="11"/>
  <c r="C511" i="11"/>
  <c r="C512" i="11"/>
  <c r="C513" i="11"/>
  <c r="C514" i="11"/>
  <c r="C515" i="11"/>
  <c r="C516" i="11"/>
  <c r="C517" i="11"/>
  <c r="C518" i="11"/>
  <c r="C519" i="11"/>
  <c r="C520" i="11"/>
  <c r="C521" i="11"/>
  <c r="C522" i="11"/>
  <c r="C523" i="11"/>
  <c r="C524" i="11"/>
  <c r="C525" i="11"/>
  <c r="C526" i="11"/>
  <c r="C527" i="11"/>
  <c r="C528" i="11"/>
  <c r="C529" i="11"/>
  <c r="C530" i="11"/>
  <c r="C531" i="11"/>
  <c r="C532" i="11"/>
  <c r="C533" i="11"/>
  <c r="C534" i="11"/>
  <c r="C535" i="11"/>
  <c r="C536" i="11"/>
  <c r="C537" i="11"/>
  <c r="C538" i="11"/>
  <c r="C539" i="11"/>
  <c r="C540" i="11"/>
  <c r="C541" i="11"/>
  <c r="C542" i="11"/>
  <c r="C543" i="11"/>
  <c r="C544" i="11"/>
  <c r="C545" i="11"/>
  <c r="C546" i="11"/>
  <c r="C547" i="11"/>
  <c r="C548" i="11"/>
  <c r="C549" i="11"/>
  <c r="C550" i="11"/>
  <c r="C551" i="11"/>
  <c r="C552" i="11"/>
  <c r="C553" i="11"/>
  <c r="C554" i="11"/>
  <c r="C555" i="11"/>
  <c r="C556" i="11"/>
  <c r="C557" i="11"/>
  <c r="C558" i="11"/>
  <c r="C559" i="11"/>
  <c r="C560" i="11"/>
  <c r="C561" i="11"/>
  <c r="C562" i="11"/>
  <c r="C563" i="11"/>
  <c r="C564" i="11"/>
  <c r="C565" i="11"/>
  <c r="C566" i="11"/>
  <c r="C567" i="11"/>
  <c r="C568" i="11"/>
  <c r="C569" i="11"/>
  <c r="C570" i="11"/>
  <c r="C571" i="11"/>
  <c r="C572" i="11"/>
  <c r="C573" i="11"/>
  <c r="C574" i="11"/>
  <c r="C575" i="11"/>
  <c r="C576" i="11"/>
  <c r="C577" i="11"/>
  <c r="C578" i="11"/>
  <c r="C579" i="11"/>
  <c r="C580" i="11"/>
  <c r="C581" i="11"/>
  <c r="C582" i="11"/>
  <c r="C583" i="11"/>
  <c r="C584" i="11"/>
  <c r="C585" i="11"/>
  <c r="C586" i="11"/>
  <c r="C587" i="11"/>
  <c r="C588" i="11"/>
  <c r="C589" i="11"/>
  <c r="C590" i="11"/>
  <c r="C591" i="11"/>
  <c r="C592" i="11"/>
  <c r="C593" i="11"/>
  <c r="C594" i="11"/>
  <c r="C595" i="11"/>
  <c r="C596" i="11"/>
  <c r="C597" i="11"/>
  <c r="C598" i="11"/>
  <c r="C599" i="11"/>
  <c r="C600" i="11"/>
  <c r="C601" i="11"/>
  <c r="C602" i="11"/>
  <c r="C603" i="11"/>
  <c r="C604" i="11"/>
  <c r="C605" i="11"/>
  <c r="C606" i="11"/>
  <c r="C607" i="11"/>
  <c r="C608" i="11"/>
  <c r="C609" i="11"/>
  <c r="C610" i="11"/>
  <c r="C611" i="11"/>
  <c r="C612" i="11"/>
  <c r="C613" i="11"/>
  <c r="C614" i="11"/>
  <c r="C615" i="11"/>
  <c r="C616" i="11"/>
  <c r="C617" i="11"/>
  <c r="C618" i="11"/>
  <c r="C619" i="11"/>
  <c r="C620" i="11"/>
  <c r="C621" i="11"/>
  <c r="C622" i="11"/>
  <c r="C623" i="11"/>
  <c r="C624" i="11"/>
  <c r="C625" i="11"/>
  <c r="C626" i="11"/>
  <c r="C627" i="11"/>
  <c r="C628" i="11"/>
  <c r="C629" i="11"/>
  <c r="C630" i="11"/>
  <c r="C631" i="11"/>
  <c r="C632" i="11"/>
  <c r="C633" i="11"/>
  <c r="C634" i="11"/>
  <c r="C635" i="11"/>
  <c r="C636" i="11"/>
  <c r="C637" i="11"/>
  <c r="C638" i="11"/>
  <c r="C639" i="11"/>
  <c r="C640" i="11"/>
  <c r="C641" i="11"/>
  <c r="C642" i="11"/>
  <c r="C643" i="11"/>
  <c r="C644" i="11"/>
  <c r="C645" i="11"/>
  <c r="C646" i="11"/>
  <c r="C647" i="11"/>
  <c r="C648" i="11"/>
  <c r="C649" i="11"/>
  <c r="C650" i="11"/>
  <c r="C651" i="11"/>
  <c r="C652" i="11"/>
  <c r="C653" i="11"/>
  <c r="C654" i="11"/>
  <c r="C655" i="11"/>
  <c r="C656" i="11"/>
  <c r="C657" i="11"/>
  <c r="C658" i="11"/>
  <c r="C659" i="11"/>
  <c r="C660" i="11"/>
  <c r="C661" i="11"/>
  <c r="C662" i="11"/>
  <c r="C663" i="11"/>
  <c r="C664" i="11"/>
  <c r="C665" i="11"/>
  <c r="C666" i="11"/>
  <c r="C667" i="11"/>
  <c r="C668" i="11"/>
  <c r="C669" i="11"/>
  <c r="C670" i="11"/>
  <c r="C671" i="11"/>
  <c r="C672" i="11"/>
  <c r="C673" i="11"/>
  <c r="C674" i="11"/>
  <c r="C675" i="11"/>
  <c r="C676" i="11"/>
  <c r="C677" i="11"/>
  <c r="C678" i="11"/>
  <c r="C679" i="11"/>
  <c r="C680" i="11"/>
  <c r="C681" i="11"/>
  <c r="C682" i="11"/>
  <c r="C683" i="11"/>
  <c r="C684" i="11"/>
  <c r="C685" i="11"/>
  <c r="C686" i="11"/>
  <c r="C687" i="11"/>
  <c r="C688" i="11"/>
  <c r="C689" i="11"/>
  <c r="C690" i="11"/>
  <c r="C691" i="11"/>
  <c r="C692" i="11"/>
  <c r="C693" i="11"/>
  <c r="C694" i="11"/>
  <c r="C695" i="11"/>
  <c r="C696" i="11"/>
  <c r="C697" i="11"/>
  <c r="C698" i="11"/>
  <c r="C699" i="11"/>
  <c r="C700" i="11"/>
  <c r="C701" i="11"/>
  <c r="C702" i="11"/>
  <c r="C703" i="11"/>
  <c r="C704" i="11"/>
  <c r="C705" i="11"/>
  <c r="C706" i="11"/>
  <c r="C707" i="11"/>
  <c r="C708" i="11"/>
  <c r="C709" i="11"/>
  <c r="C710" i="11"/>
  <c r="C711" i="11"/>
  <c r="C712" i="11"/>
  <c r="C713" i="11"/>
  <c r="C714" i="11"/>
  <c r="C715" i="11"/>
  <c r="C716" i="11"/>
  <c r="C717" i="11"/>
  <c r="C718" i="11"/>
  <c r="C719" i="11"/>
  <c r="C720" i="11"/>
  <c r="C721" i="11"/>
  <c r="C722" i="11"/>
  <c r="C723" i="11"/>
  <c r="C724" i="11"/>
  <c r="C725" i="11"/>
  <c r="C726" i="11"/>
  <c r="C727" i="11"/>
  <c r="C728" i="11"/>
  <c r="C729" i="11"/>
  <c r="C730" i="11"/>
  <c r="C731" i="11"/>
  <c r="C732" i="11"/>
  <c r="C733" i="11"/>
  <c r="C734" i="11"/>
  <c r="C735" i="11"/>
  <c r="C736" i="11"/>
  <c r="C737" i="11"/>
  <c r="C738" i="11"/>
  <c r="C739" i="11"/>
  <c r="C740" i="11"/>
  <c r="C741" i="11"/>
  <c r="C742" i="11"/>
  <c r="C743" i="11"/>
  <c r="C744" i="11"/>
  <c r="C745" i="11"/>
  <c r="C746" i="11"/>
  <c r="C747" i="11"/>
  <c r="C748" i="11"/>
  <c r="C749" i="11"/>
  <c r="C750" i="11"/>
  <c r="C751" i="11"/>
  <c r="C752" i="11"/>
  <c r="C753" i="11"/>
  <c r="C754" i="11"/>
  <c r="C755" i="11"/>
  <c r="C756" i="11"/>
  <c r="C757" i="11"/>
  <c r="C758" i="11"/>
  <c r="C759" i="11"/>
  <c r="C760" i="11"/>
  <c r="C761" i="11"/>
  <c r="C762" i="11"/>
  <c r="C763" i="11"/>
  <c r="C764" i="11"/>
  <c r="C765" i="11"/>
  <c r="C766" i="11"/>
  <c r="C767" i="11"/>
  <c r="C768" i="11"/>
  <c r="C769" i="11"/>
  <c r="C770" i="11"/>
  <c r="C771" i="11"/>
  <c r="C772" i="11"/>
  <c r="C773" i="11"/>
  <c r="C774" i="11"/>
  <c r="C775" i="11"/>
  <c r="C776" i="11"/>
  <c r="C777" i="11"/>
  <c r="C778" i="11"/>
  <c r="C779" i="11"/>
  <c r="C780" i="11"/>
  <c r="C781" i="11"/>
  <c r="C782" i="11"/>
  <c r="C783" i="11"/>
  <c r="C784" i="11"/>
  <c r="C785" i="11"/>
  <c r="C786" i="11"/>
  <c r="C787" i="11"/>
  <c r="C788" i="11"/>
  <c r="C789" i="11"/>
  <c r="C790" i="11"/>
  <c r="C791" i="11"/>
  <c r="C792" i="11"/>
  <c r="C793" i="11"/>
  <c r="C794" i="11"/>
  <c r="C795" i="11"/>
  <c r="C796" i="11"/>
  <c r="C797" i="11"/>
  <c r="C798" i="11"/>
  <c r="C799" i="11"/>
  <c r="C800" i="11"/>
  <c r="C801" i="11"/>
  <c r="C802" i="11"/>
  <c r="C803" i="11"/>
  <c r="C804" i="11"/>
  <c r="C805" i="11"/>
  <c r="C806" i="11"/>
  <c r="C807" i="11"/>
  <c r="C808" i="11"/>
  <c r="C809" i="11"/>
  <c r="C810" i="11"/>
  <c r="C811" i="11"/>
  <c r="C812" i="11"/>
  <c r="C813" i="11"/>
  <c r="C814" i="11"/>
  <c r="C815" i="11"/>
  <c r="C816" i="11"/>
  <c r="C817" i="11"/>
  <c r="C818" i="11"/>
  <c r="C819" i="11"/>
  <c r="C820" i="11"/>
  <c r="C821" i="11"/>
  <c r="C822" i="11"/>
  <c r="C823" i="11"/>
  <c r="C824" i="11"/>
  <c r="C825" i="11"/>
  <c r="C826" i="11"/>
  <c r="C827" i="11"/>
  <c r="C828" i="11"/>
  <c r="C829" i="11"/>
  <c r="C830" i="11"/>
  <c r="C831" i="11"/>
  <c r="C832" i="11"/>
  <c r="C833" i="11"/>
  <c r="C834" i="11"/>
  <c r="C835" i="11"/>
  <c r="C836" i="11"/>
  <c r="C837" i="11"/>
  <c r="C838" i="11"/>
  <c r="C839" i="11"/>
  <c r="C840" i="11"/>
  <c r="C841" i="11"/>
  <c r="C842" i="11"/>
  <c r="C843" i="11"/>
  <c r="C844" i="11"/>
  <c r="C845" i="11"/>
  <c r="C846" i="11"/>
  <c r="C847" i="11"/>
  <c r="C848" i="11"/>
  <c r="C849" i="11"/>
  <c r="C850" i="11"/>
  <c r="C851" i="11"/>
  <c r="C852" i="11"/>
  <c r="C853" i="11"/>
  <c r="C854" i="11"/>
  <c r="C855" i="11"/>
  <c r="C856" i="11"/>
  <c r="C857" i="11"/>
  <c r="C858" i="11"/>
  <c r="C859" i="11"/>
  <c r="C860" i="11"/>
  <c r="C861" i="11"/>
  <c r="C862" i="11"/>
  <c r="C863" i="11"/>
  <c r="C864" i="11"/>
  <c r="C865" i="11"/>
  <c r="C866" i="11"/>
  <c r="C867" i="11"/>
  <c r="C868" i="11"/>
  <c r="C869" i="11"/>
  <c r="C870" i="11"/>
  <c r="C871" i="11"/>
  <c r="C872" i="11"/>
  <c r="C873" i="11"/>
  <c r="C874" i="11"/>
  <c r="C875" i="11"/>
  <c r="C876" i="11"/>
  <c r="C877" i="11"/>
  <c r="C878" i="11"/>
  <c r="C879" i="11"/>
  <c r="C880" i="11"/>
  <c r="C881" i="11"/>
  <c r="C882" i="11"/>
  <c r="C883" i="11"/>
  <c r="C884" i="11"/>
  <c r="C885" i="11"/>
  <c r="C886" i="11"/>
  <c r="C887" i="11"/>
  <c r="C888" i="11"/>
  <c r="C889" i="11"/>
  <c r="C890" i="11"/>
  <c r="C891" i="11"/>
  <c r="C892" i="11"/>
  <c r="C893" i="11"/>
  <c r="C894" i="11"/>
  <c r="C895" i="11"/>
  <c r="C896" i="11"/>
  <c r="C897" i="11"/>
  <c r="C898" i="11"/>
  <c r="C899" i="11"/>
  <c r="C900" i="11"/>
  <c r="C901" i="11"/>
  <c r="C902" i="11"/>
  <c r="C903" i="11"/>
  <c r="C904" i="11"/>
  <c r="C905" i="11"/>
  <c r="C906" i="11"/>
  <c r="C907" i="11"/>
  <c r="C908" i="11"/>
  <c r="C909" i="11"/>
  <c r="C910" i="11"/>
  <c r="C911" i="11"/>
  <c r="C912" i="11"/>
  <c r="C913" i="11"/>
  <c r="C914" i="11"/>
  <c r="C915" i="11"/>
  <c r="C916" i="11"/>
  <c r="C917" i="11"/>
  <c r="C918" i="11"/>
  <c r="C919" i="11"/>
  <c r="C920" i="11"/>
  <c r="C921" i="11"/>
  <c r="C922" i="11"/>
  <c r="C923" i="11"/>
  <c r="C924" i="11"/>
  <c r="C925" i="11"/>
  <c r="C926" i="11"/>
  <c r="C927" i="11"/>
  <c r="C928" i="11"/>
  <c r="C929" i="11"/>
  <c r="C930" i="11"/>
  <c r="C931" i="11"/>
  <c r="C932" i="11"/>
  <c r="C933" i="11"/>
  <c r="C934" i="11"/>
  <c r="C935" i="11"/>
  <c r="C936" i="11"/>
  <c r="C937" i="11"/>
  <c r="C938" i="11"/>
  <c r="C939" i="11"/>
  <c r="C940" i="11"/>
  <c r="C941" i="11"/>
  <c r="C942" i="11"/>
  <c r="C943" i="11"/>
  <c r="C944" i="11"/>
  <c r="C945" i="11"/>
  <c r="C946" i="11"/>
  <c r="C947" i="11"/>
  <c r="C948" i="11"/>
  <c r="C949" i="11"/>
  <c r="C950" i="11"/>
  <c r="C951" i="11"/>
  <c r="C952" i="11"/>
  <c r="C953" i="11"/>
  <c r="C954" i="11"/>
  <c r="C955" i="11"/>
  <c r="C956" i="11"/>
  <c r="C957" i="11"/>
  <c r="C958" i="11"/>
  <c r="C959" i="11"/>
  <c r="C960" i="11"/>
  <c r="C961" i="11"/>
  <c r="C962" i="11"/>
  <c r="C963" i="11"/>
  <c r="C964" i="11"/>
  <c r="C965" i="11"/>
  <c r="C966" i="11"/>
  <c r="C967" i="11"/>
  <c r="C968" i="11"/>
  <c r="C969" i="11"/>
  <c r="C970" i="11"/>
  <c r="C971" i="11"/>
  <c r="C972" i="11"/>
  <c r="C973" i="11"/>
  <c r="C974" i="11"/>
  <c r="C975" i="11"/>
  <c r="C976" i="11"/>
  <c r="C977" i="11"/>
  <c r="C978" i="11"/>
  <c r="C979" i="11"/>
  <c r="C980" i="11"/>
  <c r="C981" i="11"/>
  <c r="C982" i="11"/>
  <c r="C983" i="11"/>
  <c r="C984" i="11"/>
  <c r="C985" i="11"/>
  <c r="C986" i="11"/>
  <c r="C987" i="11"/>
  <c r="C988" i="11"/>
  <c r="C989" i="11"/>
  <c r="C990" i="11"/>
  <c r="C991" i="11"/>
  <c r="C992" i="11"/>
  <c r="C993" i="11"/>
  <c r="C994" i="11"/>
  <c r="C995" i="11"/>
  <c r="C996" i="11"/>
  <c r="C997" i="11"/>
  <c r="C998" i="11"/>
  <c r="C999" i="11"/>
  <c r="C1000" i="11"/>
  <c r="C1001" i="11"/>
  <c r="C2" i="11"/>
  <c r="AL11" i="7" l="1"/>
  <c r="AL10" i="7"/>
  <c r="AL9" i="7"/>
  <c r="AL8" i="7"/>
  <c r="AH2" i="7" l="1"/>
  <c r="AH3" i="7"/>
  <c r="AH4" i="7"/>
  <c r="AH5" i="7"/>
  <c r="AH6" i="7"/>
  <c r="AH7" i="7"/>
  <c r="AH8" i="7"/>
  <c r="AH9" i="7"/>
  <c r="AH10" i="7"/>
  <c r="AH11" i="7"/>
  <c r="AH12" i="7"/>
  <c r="AH13" i="7"/>
  <c r="AH14" i="7"/>
  <c r="AH15" i="7"/>
  <c r="AH16" i="7"/>
  <c r="AH17" i="7"/>
  <c r="AH18" i="7"/>
  <c r="AH19" i="7"/>
  <c r="AH20" i="7"/>
  <c r="AH21" i="7"/>
  <c r="AH22" i="7"/>
  <c r="AH23" i="7"/>
  <c r="AH24" i="7"/>
  <c r="AH25" i="7"/>
  <c r="AH26" i="7"/>
  <c r="AH27" i="7"/>
  <c r="AH28" i="7"/>
  <c r="AH29" i="7"/>
  <c r="AH30" i="7"/>
  <c r="AH31" i="7"/>
  <c r="AH32" i="7"/>
  <c r="AH33" i="7"/>
  <c r="AH34" i="7"/>
  <c r="AH35" i="7"/>
  <c r="AH36" i="7"/>
  <c r="AH37" i="7"/>
  <c r="AH38" i="7"/>
  <c r="AH39" i="7"/>
  <c r="AH40" i="7"/>
  <c r="AH41" i="7"/>
  <c r="AH42" i="7"/>
  <c r="AH43" i="7"/>
  <c r="AH44" i="7"/>
  <c r="AH45" i="7"/>
  <c r="AH46" i="7"/>
  <c r="AH47" i="7"/>
  <c r="AH48" i="7"/>
  <c r="AH49" i="7"/>
  <c r="AH50" i="7"/>
  <c r="AH51" i="7"/>
  <c r="AH52" i="7"/>
  <c r="AH53" i="7"/>
  <c r="AH54" i="7"/>
  <c r="AH55" i="7"/>
  <c r="AH56" i="7"/>
  <c r="AH57" i="7"/>
  <c r="AH58" i="7"/>
  <c r="AH59" i="7"/>
  <c r="AH60" i="7"/>
  <c r="AH61" i="7"/>
  <c r="AH62" i="7"/>
  <c r="AH63" i="7"/>
  <c r="AH64" i="7"/>
  <c r="AH65" i="7"/>
  <c r="AH66" i="7"/>
  <c r="AH67" i="7"/>
  <c r="AH68" i="7"/>
  <c r="AH69" i="7"/>
  <c r="AH70" i="7"/>
  <c r="AH71" i="7"/>
  <c r="AH72" i="7"/>
  <c r="AH73" i="7"/>
  <c r="AH74" i="7"/>
  <c r="AH75" i="7"/>
  <c r="AH76" i="7"/>
  <c r="AH77" i="7"/>
  <c r="AH78" i="7"/>
  <c r="AH79" i="7"/>
  <c r="AH80" i="7"/>
  <c r="AH81" i="7"/>
  <c r="AH82" i="7"/>
  <c r="AH83" i="7"/>
  <c r="AH84" i="7"/>
  <c r="AH85" i="7"/>
  <c r="AH86" i="7"/>
  <c r="AH87" i="7"/>
  <c r="AH88" i="7"/>
  <c r="AH89" i="7"/>
  <c r="AH90" i="7"/>
  <c r="AH91" i="7"/>
  <c r="AH92" i="7"/>
  <c r="AH93" i="7"/>
  <c r="AH94" i="7"/>
  <c r="AH95" i="7"/>
  <c r="AH96" i="7"/>
  <c r="AH97" i="7"/>
  <c r="AH98" i="7"/>
  <c r="AH99" i="7"/>
  <c r="AH100" i="7"/>
  <c r="AH101" i="7"/>
  <c r="AH102" i="7"/>
  <c r="AH103" i="7"/>
  <c r="AH104" i="7"/>
  <c r="AH105" i="7"/>
  <c r="AH106" i="7"/>
  <c r="AH107" i="7"/>
  <c r="AH108" i="7"/>
  <c r="AH109" i="7"/>
  <c r="AH110" i="7"/>
  <c r="AH111" i="7"/>
  <c r="AH112" i="7"/>
  <c r="AH113" i="7"/>
  <c r="AH114" i="7"/>
  <c r="AH115" i="7"/>
  <c r="AH116" i="7"/>
  <c r="AH117" i="7"/>
  <c r="AH118" i="7"/>
  <c r="AH119" i="7"/>
  <c r="AH120" i="7"/>
  <c r="AH121" i="7"/>
  <c r="AH122" i="7"/>
  <c r="AH123" i="7"/>
  <c r="AH124" i="7"/>
  <c r="AH125" i="7"/>
  <c r="AH126" i="7"/>
  <c r="AH127" i="7"/>
  <c r="AH128" i="7"/>
  <c r="AH129" i="7"/>
  <c r="AH130" i="7"/>
  <c r="AH131" i="7"/>
  <c r="AH132" i="7"/>
  <c r="AH133" i="7"/>
  <c r="AH134" i="7"/>
  <c r="AH135" i="7"/>
  <c r="AH136" i="7"/>
  <c r="AH137" i="7"/>
  <c r="AH138" i="7"/>
  <c r="AH139" i="7"/>
  <c r="AH140" i="7"/>
  <c r="AH141" i="7"/>
  <c r="AH142" i="7"/>
  <c r="AH143" i="7"/>
  <c r="AH144" i="7"/>
  <c r="AH145" i="7"/>
  <c r="AH146" i="7"/>
  <c r="AH147" i="7"/>
  <c r="AH148" i="7"/>
  <c r="AH149" i="7"/>
  <c r="AH150" i="7"/>
  <c r="AH151" i="7"/>
  <c r="AH152" i="7"/>
  <c r="AH153" i="7"/>
  <c r="AH154" i="7"/>
  <c r="AH155" i="7"/>
  <c r="AH156" i="7"/>
  <c r="AH157" i="7"/>
  <c r="AH158" i="7"/>
  <c r="AH159" i="7"/>
  <c r="AH160" i="7"/>
  <c r="AH161" i="7"/>
  <c r="AH162" i="7"/>
  <c r="AH163" i="7"/>
  <c r="AH164" i="7"/>
  <c r="AH165" i="7"/>
  <c r="AH166" i="7"/>
  <c r="AH167" i="7"/>
  <c r="AH168" i="7"/>
  <c r="AH169" i="7"/>
  <c r="AH170" i="7"/>
  <c r="AH171" i="7"/>
  <c r="AH172" i="7"/>
  <c r="AH173" i="7"/>
  <c r="AH174" i="7"/>
  <c r="AH175" i="7"/>
  <c r="AH176" i="7"/>
  <c r="AH177" i="7"/>
  <c r="AH178" i="7"/>
  <c r="AH179" i="7"/>
  <c r="AH180" i="7"/>
  <c r="AH181" i="7"/>
  <c r="AH182" i="7"/>
  <c r="AH183" i="7"/>
  <c r="AH184" i="7"/>
  <c r="AH185" i="7"/>
  <c r="AH186" i="7"/>
  <c r="AH187" i="7"/>
  <c r="AH188" i="7"/>
  <c r="AH189" i="7"/>
  <c r="AH190" i="7"/>
  <c r="AH191" i="7"/>
  <c r="AH192" i="7"/>
  <c r="AH193" i="7"/>
  <c r="AH194" i="7"/>
  <c r="AH195" i="7"/>
  <c r="AH196" i="7"/>
  <c r="AH197" i="7"/>
  <c r="AH198" i="7"/>
  <c r="AH199" i="7"/>
  <c r="AH200" i="7"/>
  <c r="AH201" i="7"/>
  <c r="AH202" i="7"/>
  <c r="AH203" i="7"/>
  <c r="AH204" i="7"/>
  <c r="AH205" i="7"/>
  <c r="AH206" i="7"/>
  <c r="AH207" i="7"/>
  <c r="AH208" i="7"/>
  <c r="AH209" i="7"/>
  <c r="AH210" i="7"/>
  <c r="AH211" i="7"/>
  <c r="AH212" i="7"/>
  <c r="AH213" i="7"/>
  <c r="AH214" i="7"/>
  <c r="AH215" i="7"/>
  <c r="AH216" i="7"/>
  <c r="AH217" i="7"/>
  <c r="AH218" i="7"/>
  <c r="AH219" i="7"/>
  <c r="AH220" i="7"/>
  <c r="AH221" i="7"/>
  <c r="AH222" i="7"/>
  <c r="AH223" i="7"/>
  <c r="AH224" i="7"/>
  <c r="AH225" i="7"/>
  <c r="AH226" i="7"/>
  <c r="AH227" i="7"/>
  <c r="AH228" i="7"/>
  <c r="AH229" i="7"/>
  <c r="AH230" i="7"/>
  <c r="AH231" i="7"/>
  <c r="AH232" i="7"/>
  <c r="AH233" i="7"/>
  <c r="AH234" i="7"/>
  <c r="AH235" i="7"/>
  <c r="AH236" i="7"/>
  <c r="AH237" i="7"/>
  <c r="AH238" i="7"/>
  <c r="AH239" i="7"/>
  <c r="AH240" i="7"/>
  <c r="AH241" i="7"/>
  <c r="AH242" i="7"/>
  <c r="AH243" i="7"/>
  <c r="AH244" i="7"/>
  <c r="AH245" i="7"/>
  <c r="AH246" i="7"/>
  <c r="AH247" i="7"/>
  <c r="AH248" i="7"/>
  <c r="AH249" i="7"/>
  <c r="AH250" i="7"/>
  <c r="AH251" i="7"/>
  <c r="AH252" i="7"/>
  <c r="AH253" i="7"/>
  <c r="AH254" i="7"/>
  <c r="AH255" i="7"/>
  <c r="AH256" i="7"/>
  <c r="AH257" i="7"/>
  <c r="AH258" i="7"/>
  <c r="AH259" i="7"/>
  <c r="AH260" i="7"/>
  <c r="AH261" i="7"/>
  <c r="AH262" i="7"/>
  <c r="AH263" i="7"/>
  <c r="AH264" i="7"/>
  <c r="AH265" i="7"/>
  <c r="AH266" i="7"/>
  <c r="AH267" i="7"/>
  <c r="AH268" i="7"/>
  <c r="AH269" i="7"/>
  <c r="AH270" i="7"/>
  <c r="AH271" i="7"/>
  <c r="AH272" i="7"/>
  <c r="AH273" i="7"/>
  <c r="AH274" i="7"/>
  <c r="AH275" i="7"/>
  <c r="AH276" i="7"/>
  <c r="AH277" i="7"/>
  <c r="AH278" i="7"/>
  <c r="AH279" i="7"/>
  <c r="AH280" i="7"/>
  <c r="AH281" i="7"/>
  <c r="AH282" i="7"/>
  <c r="AH283" i="7"/>
  <c r="AH284" i="7"/>
  <c r="AH285" i="7"/>
  <c r="AH286" i="7"/>
  <c r="AH287" i="7"/>
  <c r="AH288" i="7"/>
  <c r="AH289" i="7"/>
  <c r="AH290" i="7"/>
  <c r="AH291" i="7"/>
  <c r="AH292" i="7"/>
  <c r="AH293" i="7"/>
  <c r="AH294" i="7"/>
  <c r="AH295" i="7"/>
  <c r="AH296" i="7"/>
  <c r="AH297" i="7"/>
  <c r="AH298" i="7"/>
  <c r="AH299" i="7"/>
  <c r="AH300" i="7"/>
  <c r="AH301" i="7"/>
  <c r="AH302" i="7"/>
  <c r="AH303" i="7"/>
  <c r="AH304" i="7"/>
  <c r="AH305" i="7"/>
  <c r="AH306" i="7"/>
  <c r="AH307" i="7"/>
  <c r="AH308" i="7"/>
  <c r="AH309" i="7"/>
  <c r="AH310" i="7"/>
  <c r="AH311" i="7"/>
  <c r="AH312" i="7"/>
  <c r="AH313" i="7"/>
  <c r="AH314" i="7"/>
  <c r="AH315" i="7"/>
  <c r="AH316" i="7"/>
  <c r="AH317" i="7"/>
  <c r="AH318" i="7"/>
  <c r="AH319" i="7"/>
  <c r="AH320" i="7"/>
  <c r="AH321" i="7"/>
  <c r="AH322" i="7"/>
  <c r="AH323" i="7"/>
  <c r="AH324" i="7"/>
  <c r="AH325" i="7"/>
  <c r="AH326" i="7"/>
  <c r="AH327" i="7"/>
  <c r="AH328" i="7"/>
  <c r="AH329" i="7"/>
  <c r="AH330" i="7"/>
  <c r="AH331" i="7"/>
  <c r="AH332" i="7"/>
  <c r="AH333" i="7"/>
  <c r="AH334" i="7"/>
  <c r="AH335" i="7"/>
  <c r="AH336" i="7"/>
  <c r="AH337" i="7"/>
  <c r="AH338" i="7"/>
  <c r="AH339" i="7"/>
  <c r="AH340" i="7"/>
  <c r="AH341" i="7"/>
  <c r="AH342" i="7"/>
  <c r="AH343" i="7"/>
  <c r="AH344" i="7"/>
  <c r="AH345" i="7"/>
  <c r="AH346" i="7"/>
  <c r="AH347" i="7"/>
  <c r="AH348" i="7"/>
  <c r="AH349" i="7"/>
  <c r="AH350" i="7"/>
  <c r="AH351" i="7"/>
  <c r="AH352" i="7"/>
  <c r="AH353" i="7"/>
  <c r="AH354" i="7"/>
  <c r="AH355" i="7"/>
  <c r="AH356" i="7"/>
  <c r="AH357" i="7"/>
  <c r="AH358" i="7"/>
  <c r="AH359" i="7"/>
  <c r="AH360" i="7"/>
  <c r="AH361" i="7"/>
  <c r="AH362" i="7"/>
  <c r="AH363" i="7"/>
  <c r="AH364" i="7"/>
  <c r="AH365" i="7"/>
  <c r="AH366" i="7"/>
  <c r="AH367" i="7"/>
  <c r="AH368" i="7"/>
  <c r="AH369" i="7"/>
  <c r="AH370" i="7"/>
  <c r="AH371" i="7"/>
  <c r="AH372" i="7"/>
  <c r="AH373" i="7"/>
  <c r="AH374" i="7"/>
  <c r="AH375" i="7"/>
  <c r="AH376" i="7"/>
  <c r="AH377" i="7"/>
  <c r="AH378" i="7"/>
  <c r="AH379" i="7"/>
  <c r="AH380" i="7"/>
  <c r="AH381" i="7"/>
  <c r="AH382" i="7"/>
  <c r="AH383" i="7"/>
  <c r="AH384" i="7"/>
  <c r="AH385" i="7"/>
  <c r="AH386" i="7"/>
  <c r="AH387" i="7"/>
  <c r="AH388" i="7"/>
  <c r="AH389" i="7"/>
  <c r="AH390" i="7"/>
  <c r="AH391" i="7"/>
  <c r="AH392" i="7"/>
  <c r="AH393" i="7"/>
  <c r="AH394" i="7"/>
  <c r="AH395" i="7"/>
  <c r="AH396" i="7"/>
  <c r="AH397" i="7"/>
  <c r="AH398" i="7"/>
  <c r="AH399" i="7"/>
  <c r="AH400" i="7"/>
  <c r="AH401" i="7"/>
  <c r="AH402" i="7"/>
  <c r="AH403" i="7"/>
  <c r="AH404" i="7"/>
  <c r="AH405" i="7"/>
  <c r="AH406" i="7"/>
  <c r="AH407" i="7"/>
  <c r="AH408" i="7"/>
  <c r="AH409" i="7"/>
  <c r="AH410" i="7"/>
  <c r="AH411" i="7"/>
  <c r="AH412" i="7"/>
  <c r="AH413" i="7"/>
  <c r="AH414" i="7"/>
  <c r="AH415" i="7"/>
  <c r="AH416" i="7"/>
  <c r="AH417" i="7"/>
  <c r="AH418" i="7"/>
  <c r="AH419" i="7"/>
  <c r="AH420" i="7"/>
  <c r="AH421" i="7"/>
  <c r="AH422" i="7"/>
  <c r="AH423" i="7"/>
  <c r="AH424" i="7"/>
  <c r="AH425" i="7"/>
  <c r="AH426" i="7"/>
  <c r="AH427" i="7"/>
  <c r="AH428" i="7"/>
  <c r="AH429" i="7"/>
  <c r="AH430" i="7"/>
  <c r="AH431" i="7"/>
  <c r="AH432" i="7"/>
  <c r="AH433" i="7"/>
  <c r="AH434" i="7"/>
  <c r="AH435" i="7"/>
  <c r="AH436" i="7"/>
  <c r="AH437" i="7"/>
  <c r="AH438" i="7"/>
  <c r="AH439" i="7"/>
  <c r="AH440" i="7"/>
  <c r="AH441" i="7"/>
  <c r="AH442" i="7"/>
  <c r="AH443" i="7"/>
  <c r="AH444" i="7"/>
  <c r="AH445" i="7"/>
  <c r="AH446" i="7"/>
  <c r="AH447" i="7"/>
  <c r="AH448" i="7"/>
  <c r="AH449" i="7"/>
  <c r="AH450" i="7"/>
  <c r="AH451" i="7"/>
  <c r="AH452" i="7"/>
  <c r="AH453" i="7"/>
  <c r="AH454" i="7"/>
  <c r="AH455" i="7"/>
  <c r="AH456" i="7"/>
  <c r="AH457" i="7"/>
  <c r="AH458" i="7"/>
  <c r="AH459" i="7"/>
  <c r="AH460" i="7"/>
  <c r="AH461" i="7"/>
  <c r="AH462" i="7"/>
  <c r="AH463" i="7"/>
  <c r="AH464" i="7"/>
  <c r="AH465" i="7"/>
  <c r="AH466" i="7"/>
  <c r="AH467" i="7"/>
  <c r="AH468" i="7"/>
  <c r="AH469" i="7"/>
  <c r="AH470" i="7"/>
  <c r="AH471" i="7"/>
  <c r="AH472" i="7"/>
  <c r="AH473" i="7"/>
  <c r="AH474" i="7"/>
  <c r="AH475" i="7"/>
  <c r="AH476" i="7"/>
  <c r="AH477" i="7"/>
  <c r="AH478" i="7"/>
  <c r="AH479" i="7"/>
  <c r="AH480" i="7"/>
  <c r="AH481" i="7"/>
  <c r="AH482" i="7"/>
  <c r="AH483" i="7"/>
  <c r="AH484" i="7"/>
  <c r="AH485" i="7"/>
  <c r="AH486" i="7"/>
  <c r="AH487" i="7"/>
  <c r="AH488" i="7"/>
  <c r="AH489" i="7"/>
  <c r="AH490" i="7"/>
  <c r="AH491" i="7"/>
  <c r="AH492" i="7"/>
  <c r="AH493" i="7"/>
  <c r="AH494" i="7"/>
  <c r="AH495" i="7"/>
  <c r="AH496" i="7"/>
  <c r="AH497" i="7"/>
  <c r="AH498" i="7"/>
  <c r="AH499" i="7"/>
  <c r="AH500" i="7"/>
  <c r="AH501" i="7"/>
  <c r="AH502" i="7"/>
  <c r="AH503" i="7"/>
  <c r="AH504" i="7"/>
  <c r="AH505" i="7"/>
  <c r="AH506" i="7"/>
  <c r="AH507" i="7"/>
  <c r="AH508" i="7"/>
  <c r="AH509" i="7"/>
  <c r="AH510" i="7"/>
  <c r="AH511" i="7"/>
  <c r="AH512" i="7"/>
  <c r="AH513" i="7"/>
  <c r="AH514" i="7"/>
  <c r="AH515" i="7"/>
  <c r="AH516" i="7"/>
  <c r="AH517" i="7"/>
  <c r="AH518" i="7"/>
  <c r="AH519" i="7"/>
  <c r="AH520" i="7"/>
  <c r="AH521" i="7"/>
  <c r="AH522" i="7"/>
  <c r="AH523" i="7"/>
  <c r="AH524" i="7"/>
  <c r="AH525" i="7"/>
  <c r="AH526" i="7"/>
  <c r="AH527" i="7"/>
  <c r="AH528" i="7"/>
  <c r="AH529" i="7"/>
  <c r="AH530" i="7"/>
  <c r="AH531" i="7"/>
  <c r="AH532" i="7"/>
  <c r="AH533" i="7"/>
  <c r="AH534" i="7"/>
  <c r="AH535" i="7"/>
  <c r="AH536" i="7"/>
  <c r="AH537" i="7"/>
  <c r="AH538" i="7"/>
  <c r="AH539" i="7"/>
  <c r="AH540" i="7"/>
  <c r="AH541" i="7"/>
  <c r="AH542" i="7"/>
  <c r="AH543" i="7"/>
  <c r="AH544" i="7"/>
  <c r="AH545" i="7"/>
  <c r="AH546" i="7"/>
  <c r="AH547" i="7"/>
  <c r="AH548" i="7"/>
  <c r="AH549" i="7"/>
  <c r="AH550" i="7"/>
  <c r="AH551" i="7"/>
  <c r="AH552" i="7"/>
  <c r="AH553" i="7"/>
  <c r="AH554" i="7"/>
  <c r="AH555" i="7"/>
  <c r="AH556" i="7"/>
  <c r="AH557" i="7"/>
  <c r="AH558" i="7"/>
  <c r="AH559" i="7"/>
  <c r="AH560" i="7"/>
  <c r="AH561" i="7"/>
  <c r="AH562" i="7"/>
  <c r="AH563" i="7"/>
  <c r="AH564" i="7"/>
  <c r="AH565" i="7"/>
  <c r="AH566" i="7"/>
  <c r="AH567" i="7"/>
  <c r="AH568" i="7"/>
  <c r="AH569" i="7"/>
  <c r="AH570" i="7"/>
  <c r="AH571" i="7"/>
  <c r="AH572" i="7"/>
  <c r="AH573" i="7"/>
  <c r="AH574" i="7"/>
  <c r="AH575" i="7"/>
  <c r="AH576" i="7"/>
  <c r="AH577" i="7"/>
  <c r="AH578" i="7"/>
  <c r="AH579" i="7"/>
  <c r="AH580" i="7"/>
  <c r="AH581" i="7"/>
  <c r="AH582" i="7"/>
  <c r="AH583" i="7"/>
  <c r="AH584" i="7"/>
  <c r="AH585" i="7"/>
  <c r="AH586" i="7"/>
  <c r="AH587" i="7"/>
  <c r="AH588" i="7"/>
  <c r="AH589" i="7"/>
  <c r="AH590" i="7"/>
  <c r="AH591" i="7"/>
  <c r="AH592" i="7"/>
  <c r="AH593" i="7"/>
  <c r="AH594" i="7"/>
  <c r="AH595" i="7"/>
  <c r="AH596" i="7"/>
  <c r="AH597" i="7"/>
  <c r="AH598" i="7"/>
  <c r="AH599" i="7"/>
  <c r="AH600" i="7"/>
  <c r="AH601" i="7"/>
  <c r="AH602" i="7"/>
  <c r="AH603" i="7"/>
  <c r="AH604" i="7"/>
  <c r="AH605" i="7"/>
  <c r="AH606" i="7"/>
  <c r="AH607" i="7"/>
  <c r="AH608" i="7"/>
  <c r="AH609" i="7"/>
  <c r="AH610" i="7"/>
  <c r="AH611" i="7"/>
  <c r="AH612" i="7"/>
  <c r="AH613" i="7"/>
  <c r="AH614" i="7"/>
  <c r="AH615" i="7"/>
  <c r="AH616" i="7"/>
  <c r="AH617" i="7"/>
  <c r="AH618" i="7"/>
  <c r="AH619" i="7"/>
  <c r="AH620" i="7"/>
  <c r="AH621" i="7"/>
  <c r="AH622" i="7"/>
  <c r="AH623" i="7"/>
  <c r="AH624" i="7"/>
  <c r="AH625" i="7"/>
  <c r="AH626" i="7"/>
  <c r="AH627" i="7"/>
  <c r="AH628" i="7"/>
  <c r="AH629" i="7"/>
  <c r="AH630" i="7"/>
  <c r="AH631" i="7"/>
  <c r="AH632" i="7"/>
  <c r="AH633" i="7"/>
  <c r="AH634" i="7"/>
  <c r="AH635" i="7"/>
  <c r="AH636" i="7"/>
  <c r="AH637" i="7"/>
  <c r="AH638" i="7"/>
  <c r="AH639" i="7"/>
  <c r="AH640" i="7"/>
  <c r="AH641" i="7"/>
  <c r="AH642" i="7"/>
  <c r="AH643" i="7"/>
  <c r="AH644" i="7"/>
  <c r="AH645" i="7"/>
  <c r="AH646" i="7"/>
  <c r="AH647" i="7"/>
  <c r="AH648" i="7"/>
  <c r="AH649" i="7"/>
  <c r="AH650" i="7"/>
  <c r="AH651" i="7"/>
  <c r="AH652" i="7"/>
  <c r="AH653" i="7"/>
  <c r="AH654" i="7"/>
  <c r="AH655" i="7"/>
  <c r="AH656" i="7"/>
  <c r="AH657" i="7"/>
  <c r="AH658" i="7"/>
  <c r="AH659" i="7"/>
  <c r="AH660" i="7"/>
  <c r="AH661" i="7"/>
  <c r="AH662" i="7"/>
  <c r="AH663" i="7"/>
  <c r="AH664" i="7"/>
  <c r="AH665" i="7"/>
  <c r="AH666" i="7"/>
  <c r="AH667" i="7"/>
  <c r="AH668" i="7"/>
  <c r="AH669" i="7"/>
  <c r="AH670" i="7"/>
  <c r="AH671" i="7"/>
  <c r="AH672" i="7"/>
  <c r="AH673" i="7"/>
  <c r="AH674" i="7"/>
  <c r="AH675" i="7"/>
  <c r="AH676" i="7"/>
  <c r="AH677" i="7"/>
  <c r="AH678" i="7"/>
  <c r="AH679" i="7"/>
  <c r="AH680" i="7"/>
  <c r="AH681" i="7"/>
  <c r="AH682" i="7"/>
  <c r="AH683" i="7"/>
  <c r="AH684" i="7"/>
  <c r="AH685" i="7"/>
  <c r="AH686" i="7"/>
  <c r="AH687" i="7"/>
  <c r="AH688" i="7"/>
  <c r="AH689" i="7"/>
  <c r="AH690" i="7"/>
  <c r="AH691" i="7"/>
  <c r="AH692" i="7"/>
  <c r="AH693" i="7"/>
  <c r="AH694" i="7"/>
  <c r="AH695" i="7"/>
  <c r="AH696" i="7"/>
  <c r="AH697" i="7"/>
  <c r="AH698" i="7"/>
  <c r="AH699" i="7"/>
  <c r="AH700" i="7"/>
  <c r="AH701" i="7"/>
  <c r="AH702" i="7"/>
  <c r="AH703" i="7"/>
  <c r="AH704" i="7"/>
  <c r="AH705" i="7"/>
  <c r="AH706" i="7"/>
  <c r="AH707" i="7"/>
  <c r="AH708" i="7"/>
  <c r="AH709" i="7"/>
  <c r="AH710" i="7"/>
  <c r="AH711" i="7"/>
  <c r="AH712" i="7"/>
  <c r="AH713" i="7"/>
  <c r="AH714" i="7"/>
  <c r="AH715" i="7"/>
  <c r="AH716" i="7"/>
  <c r="AH717" i="7"/>
  <c r="AH718" i="7"/>
  <c r="AH719" i="7"/>
  <c r="AH720" i="7"/>
  <c r="AH721" i="7"/>
  <c r="AH722" i="7"/>
  <c r="AH723" i="7"/>
  <c r="AH724" i="7"/>
  <c r="AH725" i="7"/>
  <c r="AH726" i="7"/>
  <c r="AH727" i="7"/>
  <c r="AH728" i="7"/>
  <c r="AH729" i="7"/>
  <c r="AH730" i="7"/>
  <c r="AH731" i="7"/>
  <c r="AH732" i="7"/>
  <c r="AH733" i="7"/>
  <c r="AH734" i="7"/>
  <c r="AH735" i="7"/>
  <c r="AH736" i="7"/>
  <c r="AH737" i="7"/>
  <c r="AH738" i="7"/>
  <c r="AH739" i="7"/>
  <c r="AH740" i="7"/>
  <c r="AH741" i="7"/>
  <c r="AH742" i="7"/>
  <c r="AH743" i="7"/>
  <c r="AH744" i="7"/>
  <c r="AH745" i="7"/>
  <c r="AH746" i="7"/>
  <c r="AH747" i="7"/>
  <c r="AH748" i="7"/>
  <c r="AH749" i="7"/>
  <c r="AH750" i="7"/>
  <c r="AH751" i="7"/>
  <c r="AH752" i="7"/>
  <c r="AH753" i="7"/>
  <c r="AH754" i="7"/>
  <c r="AH755" i="7"/>
  <c r="AH756" i="7"/>
  <c r="AH757" i="7"/>
  <c r="AH758" i="7"/>
  <c r="AH759" i="7"/>
  <c r="AH760" i="7"/>
  <c r="AH761" i="7"/>
  <c r="AH762" i="7"/>
  <c r="AH763" i="7"/>
  <c r="AH764" i="7"/>
  <c r="AH765" i="7"/>
  <c r="AH766" i="7"/>
  <c r="AH767" i="7"/>
  <c r="AH768" i="7"/>
  <c r="AH769" i="7"/>
  <c r="AH770" i="7"/>
  <c r="AH771" i="7"/>
  <c r="AH772" i="7"/>
  <c r="AH773" i="7"/>
  <c r="AH774" i="7"/>
  <c r="AH775" i="7"/>
  <c r="AH776" i="7"/>
  <c r="AH777" i="7"/>
  <c r="AH778" i="7"/>
  <c r="AH779" i="7"/>
  <c r="AH780" i="7"/>
  <c r="AH781" i="7"/>
  <c r="AH782" i="7"/>
  <c r="AH783" i="7"/>
  <c r="AH784" i="7"/>
  <c r="AH785" i="7"/>
  <c r="AH786" i="7"/>
  <c r="AH787" i="7"/>
  <c r="AH788" i="7"/>
  <c r="AH789" i="7"/>
  <c r="AH790" i="7"/>
  <c r="AH791" i="7"/>
  <c r="AH792" i="7"/>
  <c r="AH793" i="7"/>
  <c r="AH794" i="7"/>
  <c r="AH795" i="7"/>
  <c r="AH796" i="7"/>
  <c r="AH797" i="7"/>
  <c r="AH798" i="7"/>
  <c r="AH799" i="7"/>
  <c r="AH800" i="7"/>
  <c r="AH801" i="7"/>
  <c r="AH802" i="7"/>
  <c r="AH803" i="7"/>
  <c r="AH804" i="7"/>
  <c r="AH805" i="7"/>
  <c r="AH806" i="7"/>
  <c r="AH807" i="7"/>
  <c r="AH808" i="7"/>
  <c r="AH809" i="7"/>
  <c r="AH810" i="7"/>
  <c r="AH811" i="7"/>
  <c r="AH812" i="7"/>
  <c r="AH813" i="7"/>
  <c r="AH814" i="7"/>
  <c r="AH815" i="7"/>
  <c r="AH816" i="7"/>
  <c r="AH817" i="7"/>
  <c r="AH818" i="7"/>
  <c r="AH819" i="7"/>
  <c r="AH820" i="7"/>
  <c r="AH821" i="7"/>
  <c r="AH822" i="7"/>
  <c r="AH823" i="7"/>
  <c r="AH824" i="7"/>
  <c r="AH825" i="7"/>
  <c r="AH826" i="7"/>
  <c r="AH827" i="7"/>
  <c r="AH828" i="7"/>
  <c r="AH829" i="7"/>
  <c r="AH830" i="7"/>
  <c r="AH831" i="7"/>
  <c r="AH832" i="7"/>
  <c r="AH833" i="7"/>
  <c r="AH834" i="7"/>
  <c r="AH835" i="7"/>
  <c r="AH836" i="7"/>
  <c r="AH837" i="7"/>
  <c r="AH838" i="7"/>
  <c r="AH839" i="7"/>
  <c r="AH840" i="7"/>
  <c r="AH841" i="7"/>
  <c r="AH842" i="7"/>
  <c r="AH843" i="7"/>
  <c r="AH844" i="7"/>
  <c r="AH845" i="7"/>
  <c r="AH846" i="7"/>
  <c r="AH847" i="7"/>
  <c r="AH848" i="7"/>
  <c r="AH849" i="7"/>
  <c r="AH850" i="7"/>
  <c r="AH851" i="7"/>
  <c r="AH852" i="7"/>
  <c r="AH853" i="7"/>
  <c r="AH854" i="7"/>
  <c r="AH855" i="7"/>
  <c r="AH856" i="7"/>
  <c r="AH857" i="7"/>
  <c r="AH858" i="7"/>
  <c r="AH859" i="7"/>
  <c r="AH860" i="7"/>
  <c r="AH861" i="7"/>
  <c r="AH862" i="7"/>
  <c r="AH863" i="7"/>
  <c r="AH864" i="7"/>
  <c r="AH865" i="7"/>
  <c r="AH866" i="7"/>
  <c r="AH867" i="7"/>
  <c r="AH868" i="7"/>
  <c r="AH869" i="7"/>
  <c r="AH870" i="7"/>
  <c r="AH871" i="7"/>
  <c r="AH872" i="7"/>
  <c r="AH873" i="7"/>
  <c r="AH874" i="7"/>
  <c r="AH875" i="7"/>
  <c r="AH876" i="7"/>
  <c r="AH877" i="7"/>
  <c r="AH878" i="7"/>
  <c r="AH879" i="7"/>
  <c r="AH880" i="7"/>
  <c r="AH881" i="7"/>
  <c r="AH882" i="7"/>
  <c r="AH883" i="7"/>
  <c r="AH884" i="7"/>
  <c r="AH885" i="7"/>
  <c r="AH886" i="7"/>
  <c r="AH887" i="7"/>
  <c r="AH888" i="7"/>
  <c r="AH889" i="7"/>
  <c r="AH890" i="7"/>
  <c r="AH891" i="7"/>
  <c r="AH892" i="7"/>
  <c r="AH893" i="7"/>
  <c r="AH894" i="7"/>
  <c r="AH895" i="7"/>
  <c r="AH896" i="7"/>
  <c r="AH897" i="7"/>
  <c r="AH898" i="7"/>
  <c r="AH899" i="7"/>
  <c r="AH900" i="7"/>
  <c r="AH901" i="7"/>
  <c r="AH902" i="7"/>
  <c r="AH903" i="7"/>
  <c r="AH904" i="7"/>
  <c r="AH905" i="7"/>
  <c r="AH906" i="7"/>
  <c r="AH907" i="7"/>
  <c r="AH908" i="7"/>
  <c r="AH909" i="7"/>
  <c r="AH910" i="7"/>
  <c r="AH911" i="7"/>
  <c r="AH912" i="7"/>
  <c r="AH913" i="7"/>
  <c r="AH914" i="7"/>
  <c r="AH915" i="7"/>
  <c r="AH916" i="7"/>
  <c r="AH917" i="7"/>
  <c r="AH918" i="7"/>
  <c r="AH919" i="7"/>
  <c r="AH920" i="7"/>
  <c r="AH921" i="7"/>
  <c r="AH922" i="7"/>
  <c r="AH923" i="7"/>
  <c r="AH924" i="7"/>
  <c r="AH925" i="7"/>
  <c r="AH926" i="7"/>
  <c r="AH927" i="7"/>
  <c r="AH928" i="7"/>
  <c r="AH929" i="7"/>
  <c r="AH930" i="7"/>
  <c r="AH931" i="7"/>
  <c r="AH932" i="7"/>
  <c r="AH933" i="7"/>
  <c r="AH934" i="7"/>
  <c r="AH935" i="7"/>
  <c r="AH936" i="7"/>
  <c r="AH937" i="7"/>
  <c r="AH938" i="7"/>
  <c r="AH939" i="7"/>
  <c r="AH940" i="7"/>
  <c r="AH941" i="7"/>
  <c r="AH942" i="7"/>
  <c r="AH943" i="7"/>
  <c r="AH944" i="7"/>
  <c r="AH945" i="7"/>
  <c r="AH946" i="7"/>
  <c r="AH947" i="7"/>
  <c r="AH948" i="7"/>
  <c r="AH949" i="7"/>
  <c r="AH950" i="7"/>
  <c r="AH951" i="7"/>
  <c r="AH952" i="7"/>
  <c r="AH953" i="7"/>
  <c r="AH954" i="7"/>
  <c r="AH955" i="7"/>
  <c r="AH956" i="7"/>
  <c r="AH957" i="7"/>
  <c r="AH958" i="7"/>
  <c r="AH959" i="7"/>
  <c r="AH960" i="7"/>
  <c r="AH961" i="7"/>
  <c r="AH962" i="7"/>
  <c r="AH963" i="7"/>
  <c r="AH964" i="7"/>
  <c r="AH965" i="7"/>
  <c r="AH966" i="7"/>
  <c r="AH967" i="7"/>
  <c r="AH968" i="7"/>
  <c r="AH969" i="7"/>
  <c r="AH970" i="7"/>
  <c r="AH971" i="7"/>
  <c r="AH972" i="7"/>
  <c r="AH973" i="7"/>
  <c r="AH974" i="7"/>
  <c r="AH975" i="7"/>
  <c r="AH976" i="7"/>
  <c r="AH977" i="7"/>
  <c r="AH978" i="7"/>
  <c r="AH979" i="7"/>
  <c r="AH980" i="7"/>
  <c r="AH981" i="7"/>
  <c r="AH982" i="7"/>
  <c r="AH983" i="7"/>
  <c r="AH984" i="7"/>
  <c r="AH985" i="7"/>
  <c r="AH986" i="7"/>
  <c r="AH987" i="7"/>
  <c r="AH988" i="7"/>
  <c r="AH989" i="7"/>
  <c r="AH990" i="7"/>
  <c r="AH991" i="7"/>
  <c r="AH992" i="7"/>
  <c r="AH993" i="7"/>
  <c r="AH994" i="7"/>
  <c r="AH995" i="7"/>
  <c r="AH996" i="7"/>
  <c r="AH997" i="7"/>
  <c r="AH998" i="7"/>
  <c r="AH999" i="7"/>
  <c r="AH1000" i="7"/>
  <c r="AH1001" i="7"/>
  <c r="E8" i="10"/>
  <c r="E7" i="10"/>
  <c r="E9" i="10" l="1"/>
  <c r="C1001" i="7"/>
  <c r="C1000" i="7"/>
  <c r="C999" i="7"/>
  <c r="C998" i="7"/>
  <c r="C997" i="7"/>
  <c r="C996" i="7"/>
  <c r="C995" i="7"/>
  <c r="C994" i="7"/>
  <c r="C993" i="7"/>
  <c r="C992" i="7"/>
  <c r="C991" i="7"/>
  <c r="C990" i="7"/>
  <c r="C989" i="7"/>
  <c r="C988" i="7"/>
  <c r="C987" i="7"/>
  <c r="C986" i="7"/>
  <c r="C985" i="7"/>
  <c r="C984" i="7"/>
  <c r="C983" i="7"/>
  <c r="C982" i="7"/>
  <c r="C981" i="7"/>
  <c r="C980" i="7"/>
  <c r="C979" i="7"/>
  <c r="C978" i="7"/>
  <c r="C977" i="7"/>
  <c r="C976" i="7"/>
  <c r="C975" i="7"/>
  <c r="C974" i="7"/>
  <c r="C973" i="7"/>
  <c r="C972" i="7"/>
  <c r="C971" i="7"/>
  <c r="C970" i="7"/>
  <c r="C969" i="7"/>
  <c r="C968" i="7"/>
  <c r="C967" i="7"/>
  <c r="C966" i="7"/>
  <c r="C965" i="7"/>
  <c r="C964" i="7"/>
  <c r="C963" i="7"/>
  <c r="C962" i="7"/>
  <c r="C961" i="7"/>
  <c r="C960" i="7"/>
  <c r="C959" i="7"/>
  <c r="C958" i="7"/>
  <c r="C957" i="7"/>
  <c r="C956" i="7"/>
  <c r="C955" i="7"/>
  <c r="C954" i="7"/>
  <c r="C953" i="7"/>
  <c r="C952" i="7"/>
  <c r="C951" i="7"/>
  <c r="C950" i="7"/>
  <c r="C949" i="7"/>
  <c r="C948" i="7"/>
  <c r="C947" i="7"/>
  <c r="C946" i="7"/>
  <c r="C945" i="7"/>
  <c r="C944" i="7"/>
  <c r="C943" i="7"/>
  <c r="C942" i="7"/>
  <c r="C941" i="7"/>
  <c r="C940" i="7"/>
  <c r="C939" i="7"/>
  <c r="C938" i="7"/>
  <c r="C937" i="7"/>
  <c r="C936" i="7"/>
  <c r="C935" i="7"/>
  <c r="C934" i="7"/>
  <c r="C933" i="7"/>
  <c r="C932" i="7"/>
  <c r="C931" i="7"/>
  <c r="C930" i="7"/>
  <c r="C929" i="7"/>
  <c r="C928" i="7"/>
  <c r="C927" i="7"/>
  <c r="C926" i="7"/>
  <c r="C925" i="7"/>
  <c r="C924" i="7"/>
  <c r="C923" i="7"/>
  <c r="C922" i="7"/>
  <c r="C921" i="7"/>
  <c r="C920" i="7"/>
  <c r="C919" i="7"/>
  <c r="C918" i="7"/>
  <c r="C917" i="7"/>
  <c r="C916" i="7"/>
  <c r="C915" i="7"/>
  <c r="C914" i="7"/>
  <c r="C913" i="7"/>
  <c r="C912" i="7"/>
  <c r="C911" i="7"/>
  <c r="C910" i="7"/>
  <c r="C909" i="7"/>
  <c r="C908" i="7"/>
  <c r="C907" i="7"/>
  <c r="C906" i="7"/>
  <c r="C905" i="7"/>
  <c r="C904" i="7"/>
  <c r="C903" i="7"/>
  <c r="C902" i="7"/>
  <c r="C901" i="7"/>
  <c r="C900" i="7"/>
  <c r="C899" i="7"/>
  <c r="C898" i="7"/>
  <c r="C897" i="7"/>
  <c r="C896" i="7"/>
  <c r="C895" i="7"/>
  <c r="C894" i="7"/>
  <c r="C893" i="7"/>
  <c r="C892" i="7"/>
  <c r="C891" i="7"/>
  <c r="C890" i="7"/>
  <c r="C889" i="7"/>
  <c r="C888" i="7"/>
  <c r="C887" i="7"/>
  <c r="C886" i="7"/>
  <c r="C885" i="7"/>
  <c r="C884" i="7"/>
  <c r="C883" i="7"/>
  <c r="C882" i="7"/>
  <c r="C881" i="7"/>
  <c r="C880" i="7"/>
  <c r="C879" i="7"/>
  <c r="C878" i="7"/>
  <c r="C877" i="7"/>
  <c r="C876" i="7"/>
  <c r="C875" i="7"/>
  <c r="C874" i="7"/>
  <c r="C873" i="7"/>
  <c r="C872" i="7"/>
  <c r="C871" i="7"/>
  <c r="C870" i="7"/>
  <c r="C869" i="7"/>
  <c r="C868" i="7"/>
  <c r="C867" i="7"/>
  <c r="C866" i="7"/>
  <c r="C865" i="7"/>
  <c r="C864" i="7"/>
  <c r="C863" i="7"/>
  <c r="C862" i="7"/>
  <c r="C861" i="7"/>
  <c r="C860" i="7"/>
  <c r="C859" i="7"/>
  <c r="C858" i="7"/>
  <c r="C857" i="7"/>
  <c r="C856" i="7"/>
  <c r="C855" i="7"/>
  <c r="C854" i="7"/>
  <c r="C853" i="7"/>
  <c r="C852" i="7"/>
  <c r="C851" i="7"/>
  <c r="C850" i="7"/>
  <c r="C849" i="7"/>
  <c r="C848" i="7"/>
  <c r="C847" i="7"/>
  <c r="C846" i="7"/>
  <c r="C845" i="7"/>
  <c r="C844" i="7"/>
  <c r="C843" i="7"/>
  <c r="C842" i="7"/>
  <c r="C841" i="7"/>
  <c r="C840" i="7"/>
  <c r="C839" i="7"/>
  <c r="C838" i="7"/>
  <c r="C837" i="7"/>
  <c r="C836" i="7"/>
  <c r="C835" i="7"/>
  <c r="C834" i="7"/>
  <c r="C833" i="7"/>
  <c r="C832" i="7"/>
  <c r="C831" i="7"/>
  <c r="C830" i="7"/>
  <c r="C829" i="7"/>
  <c r="C828" i="7"/>
  <c r="C827" i="7"/>
  <c r="C826" i="7"/>
  <c r="C825" i="7"/>
  <c r="C824" i="7"/>
  <c r="C823" i="7"/>
  <c r="C822" i="7"/>
  <c r="C821" i="7"/>
  <c r="C820" i="7"/>
  <c r="C819" i="7"/>
  <c r="C818" i="7"/>
  <c r="C817" i="7"/>
  <c r="C816" i="7"/>
  <c r="C815" i="7"/>
  <c r="C814" i="7"/>
  <c r="C813" i="7"/>
  <c r="C812" i="7"/>
  <c r="C811" i="7"/>
  <c r="C810" i="7"/>
  <c r="C809" i="7"/>
  <c r="C808" i="7"/>
  <c r="C807" i="7"/>
  <c r="C806" i="7"/>
  <c r="C805" i="7"/>
  <c r="C804" i="7"/>
  <c r="C803" i="7"/>
  <c r="C802" i="7"/>
  <c r="C801" i="7"/>
  <c r="C800" i="7"/>
  <c r="C799" i="7"/>
  <c r="C798" i="7"/>
  <c r="C797" i="7"/>
  <c r="C796" i="7"/>
  <c r="C795" i="7"/>
  <c r="C794" i="7"/>
  <c r="C793" i="7"/>
  <c r="C792" i="7"/>
  <c r="C791" i="7"/>
  <c r="C790" i="7"/>
  <c r="C789" i="7"/>
  <c r="C788" i="7"/>
  <c r="C787" i="7"/>
  <c r="C786" i="7"/>
  <c r="C785" i="7"/>
  <c r="C784" i="7"/>
  <c r="C783" i="7"/>
  <c r="C782" i="7"/>
  <c r="C781" i="7"/>
  <c r="C780" i="7"/>
  <c r="C779" i="7"/>
  <c r="C778" i="7"/>
  <c r="C777" i="7"/>
  <c r="C776" i="7"/>
  <c r="C775" i="7"/>
  <c r="C774" i="7"/>
  <c r="C773" i="7"/>
  <c r="C772" i="7"/>
  <c r="C771" i="7"/>
  <c r="C770" i="7"/>
  <c r="C769" i="7"/>
  <c r="C768" i="7"/>
  <c r="C767" i="7"/>
  <c r="C766" i="7"/>
  <c r="C765" i="7"/>
  <c r="C764" i="7"/>
  <c r="C763" i="7"/>
  <c r="C762" i="7"/>
  <c r="C761" i="7"/>
  <c r="C760" i="7"/>
  <c r="C759" i="7"/>
  <c r="C758" i="7"/>
  <c r="C757" i="7"/>
  <c r="C756" i="7"/>
  <c r="C755" i="7"/>
  <c r="C754" i="7"/>
  <c r="C753" i="7"/>
  <c r="C752" i="7"/>
  <c r="C751" i="7"/>
  <c r="C750" i="7"/>
  <c r="C749" i="7"/>
  <c r="C748" i="7"/>
  <c r="C747" i="7"/>
  <c r="C746" i="7"/>
  <c r="C745" i="7"/>
  <c r="C744" i="7"/>
  <c r="C743" i="7"/>
  <c r="C742" i="7"/>
  <c r="C741" i="7"/>
  <c r="C740" i="7"/>
  <c r="C739" i="7"/>
  <c r="C738" i="7"/>
  <c r="C737" i="7"/>
  <c r="C736" i="7"/>
  <c r="C735" i="7"/>
  <c r="C734" i="7"/>
  <c r="C733" i="7"/>
  <c r="C732" i="7"/>
  <c r="C731" i="7"/>
  <c r="C730" i="7"/>
  <c r="C729" i="7"/>
  <c r="C728" i="7"/>
  <c r="C727" i="7"/>
  <c r="C726" i="7"/>
  <c r="C725" i="7"/>
  <c r="C724" i="7"/>
  <c r="C723" i="7"/>
  <c r="C722" i="7"/>
  <c r="C721" i="7"/>
  <c r="C720" i="7"/>
  <c r="C719" i="7"/>
  <c r="C718" i="7"/>
  <c r="C717" i="7"/>
  <c r="C716" i="7"/>
  <c r="C715" i="7"/>
  <c r="C714" i="7"/>
  <c r="C713" i="7"/>
  <c r="C712" i="7"/>
  <c r="C711" i="7"/>
  <c r="C710" i="7"/>
  <c r="C709" i="7"/>
  <c r="C708" i="7"/>
  <c r="C707" i="7"/>
  <c r="C706" i="7"/>
  <c r="C705" i="7"/>
  <c r="C704" i="7"/>
  <c r="C703" i="7"/>
  <c r="C702" i="7"/>
  <c r="C701" i="7"/>
  <c r="C700" i="7"/>
  <c r="C699" i="7"/>
  <c r="C698" i="7"/>
  <c r="C697" i="7"/>
  <c r="C696" i="7"/>
  <c r="C695" i="7"/>
  <c r="C694" i="7"/>
  <c r="C693" i="7"/>
  <c r="C692" i="7"/>
  <c r="C691" i="7"/>
  <c r="C690" i="7"/>
  <c r="C689" i="7"/>
  <c r="C688" i="7"/>
  <c r="C687" i="7"/>
  <c r="C686" i="7"/>
  <c r="C685" i="7"/>
  <c r="C684" i="7"/>
  <c r="C683" i="7"/>
  <c r="C682" i="7"/>
  <c r="C681" i="7"/>
  <c r="C680" i="7"/>
  <c r="C679" i="7"/>
  <c r="C678" i="7"/>
  <c r="C677" i="7"/>
  <c r="C676" i="7"/>
  <c r="C675" i="7"/>
  <c r="C674" i="7"/>
  <c r="C673" i="7"/>
  <c r="C672" i="7"/>
  <c r="C671" i="7"/>
  <c r="C670" i="7"/>
  <c r="C669" i="7"/>
  <c r="C668" i="7"/>
  <c r="C667" i="7"/>
  <c r="C666" i="7"/>
  <c r="C665" i="7"/>
  <c r="C664" i="7"/>
  <c r="C663" i="7"/>
  <c r="C662" i="7"/>
  <c r="C661" i="7"/>
  <c r="C660" i="7"/>
  <c r="C659" i="7"/>
  <c r="C658" i="7"/>
  <c r="C657" i="7"/>
  <c r="C656" i="7"/>
  <c r="C655" i="7"/>
  <c r="C654" i="7"/>
  <c r="C653" i="7"/>
  <c r="C652" i="7"/>
  <c r="C651" i="7"/>
  <c r="C650" i="7"/>
  <c r="C649" i="7"/>
  <c r="C648" i="7"/>
  <c r="C647" i="7"/>
  <c r="C646" i="7"/>
  <c r="C645" i="7"/>
  <c r="C644" i="7"/>
  <c r="C643" i="7"/>
  <c r="C642" i="7"/>
  <c r="C641" i="7"/>
  <c r="C640" i="7"/>
  <c r="C639" i="7"/>
  <c r="C638" i="7"/>
  <c r="C637" i="7"/>
  <c r="C636" i="7"/>
  <c r="C635" i="7"/>
  <c r="C634" i="7"/>
  <c r="C633" i="7"/>
  <c r="C632" i="7"/>
  <c r="C631" i="7"/>
  <c r="C630" i="7"/>
  <c r="C629" i="7"/>
  <c r="C628" i="7"/>
  <c r="C627" i="7"/>
  <c r="C626" i="7"/>
  <c r="C625" i="7"/>
  <c r="C624" i="7"/>
  <c r="C623" i="7"/>
  <c r="C622" i="7"/>
  <c r="C621" i="7"/>
  <c r="C620" i="7"/>
  <c r="C619" i="7"/>
  <c r="C618" i="7"/>
  <c r="C617" i="7"/>
  <c r="C616" i="7"/>
  <c r="C615" i="7"/>
  <c r="C614" i="7"/>
  <c r="C613" i="7"/>
  <c r="C612" i="7"/>
  <c r="C611" i="7"/>
  <c r="C610" i="7"/>
  <c r="C609" i="7"/>
  <c r="C608" i="7"/>
  <c r="C607" i="7"/>
  <c r="C606" i="7"/>
  <c r="C605" i="7"/>
  <c r="C604" i="7"/>
  <c r="C603" i="7"/>
  <c r="C602" i="7"/>
  <c r="C601" i="7"/>
  <c r="C600" i="7"/>
  <c r="C599" i="7"/>
  <c r="C598" i="7"/>
  <c r="C597" i="7"/>
  <c r="C596" i="7"/>
  <c r="C595" i="7"/>
  <c r="C594" i="7"/>
  <c r="C593" i="7"/>
  <c r="C592" i="7"/>
  <c r="C591" i="7"/>
  <c r="C590" i="7"/>
  <c r="C589" i="7"/>
  <c r="C588" i="7"/>
  <c r="C587" i="7"/>
  <c r="C586" i="7"/>
  <c r="C585" i="7"/>
  <c r="C584" i="7"/>
  <c r="C583" i="7"/>
  <c r="C582" i="7"/>
  <c r="C581" i="7"/>
  <c r="C580" i="7"/>
  <c r="C579" i="7"/>
  <c r="C578" i="7"/>
  <c r="C577" i="7"/>
  <c r="C576" i="7"/>
  <c r="C575" i="7"/>
  <c r="C574" i="7"/>
  <c r="C573" i="7"/>
  <c r="C572" i="7"/>
  <c r="C571" i="7"/>
  <c r="C570" i="7"/>
  <c r="C569" i="7"/>
  <c r="C568" i="7"/>
  <c r="C567" i="7"/>
  <c r="C566" i="7"/>
  <c r="C565" i="7"/>
  <c r="C564" i="7"/>
  <c r="C563" i="7"/>
  <c r="C562" i="7"/>
  <c r="C561" i="7"/>
  <c r="C560" i="7"/>
  <c r="C559" i="7"/>
  <c r="C558" i="7"/>
  <c r="C557" i="7"/>
  <c r="C556" i="7"/>
  <c r="C555" i="7"/>
  <c r="C554" i="7"/>
  <c r="C553" i="7"/>
  <c r="C552" i="7"/>
  <c r="C551" i="7"/>
  <c r="C550" i="7"/>
  <c r="C549" i="7"/>
  <c r="C548" i="7"/>
  <c r="C547" i="7"/>
  <c r="C546" i="7"/>
  <c r="C545" i="7"/>
  <c r="C544" i="7"/>
  <c r="C543" i="7"/>
  <c r="C542" i="7"/>
  <c r="C541" i="7"/>
  <c r="C540" i="7"/>
  <c r="C539" i="7"/>
  <c r="C538" i="7"/>
  <c r="C537" i="7"/>
  <c r="C536" i="7"/>
  <c r="C535" i="7"/>
  <c r="C534" i="7"/>
  <c r="C533" i="7"/>
  <c r="C532" i="7"/>
  <c r="C531" i="7"/>
  <c r="C530" i="7"/>
  <c r="C529" i="7"/>
  <c r="C528" i="7"/>
  <c r="C527" i="7"/>
  <c r="C526" i="7"/>
  <c r="C525" i="7"/>
  <c r="C524" i="7"/>
  <c r="C523" i="7"/>
  <c r="C522" i="7"/>
  <c r="C521" i="7"/>
  <c r="C520" i="7"/>
  <c r="C519" i="7"/>
  <c r="C518" i="7"/>
  <c r="C517" i="7"/>
  <c r="C516" i="7"/>
  <c r="C515" i="7"/>
  <c r="C514" i="7"/>
  <c r="C513" i="7"/>
  <c r="C512" i="7"/>
  <c r="C511" i="7"/>
  <c r="C510" i="7"/>
  <c r="C509" i="7"/>
  <c r="C508" i="7"/>
  <c r="C507" i="7"/>
  <c r="C506" i="7"/>
  <c r="C505" i="7"/>
  <c r="C504" i="7"/>
  <c r="C503" i="7"/>
  <c r="C502" i="7"/>
  <c r="C501" i="7"/>
  <c r="C500" i="7"/>
  <c r="C499" i="7"/>
  <c r="C498" i="7"/>
  <c r="C497" i="7"/>
  <c r="C496" i="7"/>
  <c r="C495" i="7"/>
  <c r="C494" i="7"/>
  <c r="C493" i="7"/>
  <c r="C492" i="7"/>
  <c r="C491" i="7"/>
  <c r="C490" i="7"/>
  <c r="C489" i="7"/>
  <c r="C488" i="7"/>
  <c r="C487" i="7"/>
  <c r="C486" i="7"/>
  <c r="C485" i="7"/>
  <c r="C484" i="7"/>
  <c r="C483" i="7"/>
  <c r="C482" i="7"/>
  <c r="C481" i="7"/>
  <c r="C480" i="7"/>
  <c r="C479" i="7"/>
  <c r="C478" i="7"/>
  <c r="C477" i="7"/>
  <c r="C476" i="7"/>
  <c r="C475" i="7"/>
  <c r="C474" i="7"/>
  <c r="C473" i="7"/>
  <c r="C472" i="7"/>
  <c r="C471" i="7"/>
  <c r="C470" i="7"/>
  <c r="C469" i="7"/>
  <c r="C468" i="7"/>
  <c r="C467" i="7"/>
  <c r="C466" i="7"/>
  <c r="C465" i="7"/>
  <c r="C464" i="7"/>
  <c r="C463" i="7"/>
  <c r="C462" i="7"/>
  <c r="C461" i="7"/>
  <c r="C460" i="7"/>
  <c r="C459" i="7"/>
  <c r="C458" i="7"/>
  <c r="C457" i="7"/>
  <c r="C456" i="7"/>
  <c r="C455" i="7"/>
  <c r="C454" i="7"/>
  <c r="C453" i="7"/>
  <c r="C452" i="7"/>
  <c r="C451" i="7"/>
  <c r="C450" i="7"/>
  <c r="C449" i="7"/>
  <c r="C448" i="7"/>
  <c r="C447" i="7"/>
  <c r="C446" i="7"/>
  <c r="C445" i="7"/>
  <c r="C444" i="7"/>
  <c r="C443" i="7"/>
  <c r="C442" i="7"/>
  <c r="C441" i="7"/>
  <c r="C440" i="7"/>
  <c r="C439" i="7"/>
  <c r="C438" i="7"/>
  <c r="C437" i="7"/>
  <c r="C436" i="7"/>
  <c r="C435" i="7"/>
  <c r="C434" i="7"/>
  <c r="C433" i="7"/>
  <c r="C432" i="7"/>
  <c r="C431" i="7"/>
  <c r="C430" i="7"/>
  <c r="C429" i="7"/>
  <c r="C428" i="7"/>
  <c r="C427" i="7"/>
  <c r="C426" i="7"/>
  <c r="C425" i="7"/>
  <c r="C424" i="7"/>
  <c r="C423" i="7"/>
  <c r="C422" i="7"/>
  <c r="C421" i="7"/>
  <c r="C420" i="7"/>
  <c r="C419" i="7"/>
  <c r="C418" i="7"/>
  <c r="C417" i="7"/>
  <c r="C416" i="7"/>
  <c r="C415" i="7"/>
  <c r="C414" i="7"/>
  <c r="C413" i="7"/>
  <c r="C412" i="7"/>
  <c r="C411" i="7"/>
  <c r="C410" i="7"/>
  <c r="C409" i="7"/>
  <c r="C408" i="7"/>
  <c r="C407" i="7"/>
  <c r="C406" i="7"/>
  <c r="C405" i="7"/>
  <c r="C404" i="7"/>
  <c r="C403" i="7"/>
  <c r="C402" i="7"/>
  <c r="C401" i="7"/>
  <c r="C400" i="7"/>
  <c r="C399" i="7"/>
  <c r="C398" i="7"/>
  <c r="C397" i="7"/>
  <c r="C396" i="7"/>
  <c r="C395" i="7"/>
  <c r="C394" i="7"/>
  <c r="C393" i="7"/>
  <c r="C392" i="7"/>
  <c r="C391" i="7"/>
  <c r="C390" i="7"/>
  <c r="C389" i="7"/>
  <c r="C388" i="7"/>
  <c r="C387" i="7"/>
  <c r="C386" i="7"/>
  <c r="C385" i="7"/>
  <c r="C384" i="7"/>
  <c r="C383" i="7"/>
  <c r="C382" i="7"/>
  <c r="C381" i="7"/>
  <c r="C380" i="7"/>
  <c r="C379" i="7"/>
  <c r="C378" i="7"/>
  <c r="C377" i="7"/>
  <c r="C376" i="7"/>
  <c r="C375" i="7"/>
  <c r="C374" i="7"/>
  <c r="C373" i="7"/>
  <c r="C372" i="7"/>
  <c r="C371" i="7"/>
  <c r="C370" i="7"/>
  <c r="C369" i="7"/>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D21" i="9"/>
  <c r="D18" i="9"/>
  <c r="D9" i="9"/>
  <c r="D24" i="9"/>
  <c r="D15" i="9"/>
  <c r="D12" i="9"/>
  <c r="O54" i="5" l="1"/>
  <c r="N54" i="5"/>
  <c r="M54" i="5"/>
  <c r="O53" i="5"/>
  <c r="N53" i="5"/>
  <c r="M53" i="5"/>
  <c r="O52" i="5"/>
  <c r="N52" i="5"/>
  <c r="M52" i="5"/>
  <c r="O51" i="5"/>
  <c r="N51" i="5"/>
  <c r="M51" i="5"/>
  <c r="K56" i="5"/>
  <c r="J56" i="5"/>
  <c r="K55" i="5"/>
  <c r="J55" i="5"/>
  <c r="K54" i="5"/>
  <c r="J54" i="5"/>
  <c r="K53" i="5"/>
  <c r="J53" i="5"/>
  <c r="K52" i="5"/>
  <c r="J52" i="5"/>
  <c r="K51" i="5"/>
  <c r="J51" i="5"/>
  <c r="H62" i="5"/>
  <c r="G62" i="5"/>
  <c r="H61" i="5"/>
  <c r="G61" i="5"/>
  <c r="H60" i="5"/>
  <c r="G60" i="5"/>
  <c r="H59" i="5"/>
  <c r="G59" i="5"/>
  <c r="H58" i="5"/>
  <c r="G58" i="5"/>
  <c r="H57" i="5"/>
  <c r="G57" i="5"/>
  <c r="H56" i="5"/>
  <c r="G56" i="5"/>
  <c r="H55" i="5"/>
  <c r="G55" i="5"/>
  <c r="H54" i="5"/>
  <c r="G54" i="5"/>
  <c r="H53" i="5"/>
  <c r="G53" i="5"/>
  <c r="H52" i="5"/>
  <c r="G52" i="5"/>
  <c r="H51" i="5"/>
  <c r="G51" i="5"/>
  <c r="E55" i="5"/>
  <c r="D55" i="5"/>
  <c r="E54" i="5"/>
  <c r="D54" i="5"/>
  <c r="E53" i="5"/>
  <c r="D53" i="5"/>
  <c r="E52" i="5"/>
  <c r="D52" i="5"/>
  <c r="E51" i="5"/>
  <c r="D51" i="5"/>
  <c r="B54" i="5"/>
  <c r="A54" i="5"/>
  <c r="B53" i="5"/>
  <c r="A53" i="5"/>
  <c r="B52" i="5"/>
  <c r="A52" i="5"/>
  <c r="B51" i="5"/>
  <c r="A51" i="5"/>
  <c r="AF4" i="6"/>
  <c r="AF3" i="6"/>
  <c r="AF2" i="6"/>
  <c r="AF5" i="6"/>
  <c r="AF7" i="6" l="1"/>
  <c r="AF6" i="6"/>
</calcChain>
</file>

<file path=xl/sharedStrings.xml><?xml version="1.0" encoding="utf-8"?>
<sst xmlns="http://schemas.openxmlformats.org/spreadsheetml/2006/main" count="17189" uniqueCount="2524">
  <si>
    <t>Order ID</t>
  </si>
  <si>
    <t>Order Date</t>
  </si>
  <si>
    <t>Month</t>
  </si>
  <si>
    <t>Customer Name</t>
  </si>
  <si>
    <t>State</t>
  </si>
  <si>
    <t>City</t>
  </si>
  <si>
    <t>Region</t>
  </si>
  <si>
    <t>Category</t>
  </si>
  <si>
    <t>Sub-Category</t>
  </si>
  <si>
    <t>Product Name</t>
  </si>
  <si>
    <t>Brand</t>
  </si>
  <si>
    <t>SKU</t>
  </si>
  <si>
    <t>Fulfillment Type</t>
  </si>
  <si>
    <t>Payment Method</t>
  </si>
  <si>
    <t>Order Status</t>
  </si>
  <si>
    <t>Quantity</t>
  </si>
  <si>
    <t>Unit Price</t>
  </si>
  <si>
    <t>Discount %</t>
  </si>
  <si>
    <t>Discount Amount</t>
  </si>
  <si>
    <t>Gross Sales</t>
  </si>
  <si>
    <t>Net Sales</t>
  </si>
  <si>
    <t>Shipping Cost</t>
  </si>
  <si>
    <t>COGS</t>
  </si>
  <si>
    <t>Profit</t>
  </si>
  <si>
    <t>Profit Margin %</t>
  </si>
  <si>
    <t>Delivery Days</t>
  </si>
  <si>
    <t>Delivery Status</t>
  </si>
  <si>
    <t>Return Status</t>
  </si>
  <si>
    <t>Return Reason</t>
  </si>
  <si>
    <t>Customer Rating</t>
  </si>
  <si>
    <t>Sales Target</t>
  </si>
  <si>
    <t>Target Achievement %</t>
  </si>
  <si>
    <t>Stock Status</t>
  </si>
  <si>
    <t>AMZ26-00001</t>
  </si>
  <si>
    <t>Nandini Jain</t>
  </si>
  <si>
    <t>Delhi</t>
  </si>
  <si>
    <t>New Delhi</t>
  </si>
  <si>
    <t>North</t>
  </si>
  <si>
    <t>Fashion</t>
  </si>
  <si>
    <t>Footwear</t>
  </si>
  <si>
    <t>Sandals</t>
  </si>
  <si>
    <t>Bata</t>
  </si>
  <si>
    <t>FAS-FOO-51187</t>
  </si>
  <si>
    <t>FBM</t>
  </si>
  <si>
    <t>Debit Card</t>
  </si>
  <si>
    <t>Delivered</t>
  </si>
  <si>
    <t>On Time</t>
  </si>
  <si>
    <t>No</t>
  </si>
  <si>
    <t>Yes</t>
  </si>
  <si>
    <t>In Stock</t>
  </si>
  <si>
    <t>AMZ26-00002</t>
  </si>
  <si>
    <t>Kavya Das</t>
  </si>
  <si>
    <t>Tamil Nadu</t>
  </si>
  <si>
    <t>Chennai</t>
  </si>
  <si>
    <t>South</t>
  </si>
  <si>
    <t>Electronics</t>
  </si>
  <si>
    <t>Accessories</t>
  </si>
  <si>
    <t>USB-C Hub</t>
  </si>
  <si>
    <t>Portronics</t>
  </si>
  <si>
    <t>ELE-ACC-88664</t>
  </si>
  <si>
    <t>Cash on Delivery</t>
  </si>
  <si>
    <t>Delayed</t>
  </si>
  <si>
    <t>AMZ26-00003</t>
  </si>
  <si>
    <t>Nandini Verma</t>
  </si>
  <si>
    <t>Kerala</t>
  </si>
  <si>
    <t>Kochi</t>
  </si>
  <si>
    <t>Men Clothing</t>
  </si>
  <si>
    <t>Cotton Shirt</t>
  </si>
  <si>
    <t>Allen Solly</t>
  </si>
  <si>
    <t>FAS-MEN-81517</t>
  </si>
  <si>
    <t>Net Banking</t>
  </si>
  <si>
    <t>AMZ26-00004</t>
  </si>
  <si>
    <t>Vihaan Iyer</t>
  </si>
  <si>
    <t>Mobiles</t>
  </si>
  <si>
    <t>Moto G</t>
  </si>
  <si>
    <t>Motorola</t>
  </si>
  <si>
    <t>ELE-MOB-48019</t>
  </si>
  <si>
    <t>Amazon Pay</t>
  </si>
  <si>
    <t>AMZ26-00005</t>
  </si>
  <si>
    <t>Aditya Shetty</t>
  </si>
  <si>
    <t>Odisha</t>
  </si>
  <si>
    <t>Bhubaneswar</t>
  </si>
  <si>
    <t>East</t>
  </si>
  <si>
    <t>Beauty</t>
  </si>
  <si>
    <t>Makeup</t>
  </si>
  <si>
    <t>Foundation</t>
  </si>
  <si>
    <t>Lakme</t>
  </si>
  <si>
    <t>BEA-MAK-36056</t>
  </si>
  <si>
    <t>AMZ26-00006</t>
  </si>
  <si>
    <t>Rohan Joshi</t>
  </si>
  <si>
    <t>Grocery</t>
  </si>
  <si>
    <t>Staples</t>
  </si>
  <si>
    <t>Atta</t>
  </si>
  <si>
    <t>Aashirvaad</t>
  </si>
  <si>
    <t>GRO-STA-27740</t>
  </si>
  <si>
    <t>Credit Card</t>
  </si>
  <si>
    <t>Cancelled</t>
  </si>
  <si>
    <t>Not Applicable</t>
  </si>
  <si>
    <t>AMZ26-00007</t>
  </si>
  <si>
    <t>Arjun Nair</t>
  </si>
  <si>
    <t>Karnataka</t>
  </si>
  <si>
    <t>Bengaluru</t>
  </si>
  <si>
    <t>Skin Care</t>
  </si>
  <si>
    <t>Face Serum</t>
  </si>
  <si>
    <t>Minimalist</t>
  </si>
  <si>
    <t>BEA-SKI-71155</t>
  </si>
  <si>
    <t>FBA</t>
  </si>
  <si>
    <t>AMZ26-00008</t>
  </si>
  <si>
    <t>Aarav Reddy</t>
  </si>
  <si>
    <t>Maharashtra</t>
  </si>
  <si>
    <t>Mumbai</t>
  </si>
  <si>
    <t>West</t>
  </si>
  <si>
    <t>Beverages</t>
  </si>
  <si>
    <t>Green Tea</t>
  </si>
  <si>
    <t>Tata Tea</t>
  </si>
  <si>
    <t>GRO-BEV-94626</t>
  </si>
  <si>
    <t>AMZ26-00009</t>
  </si>
  <si>
    <t>Priya Yadav</t>
  </si>
  <si>
    <t>Assam</t>
  </si>
  <si>
    <t>Guwahati</t>
  </si>
  <si>
    <t>Laptops</t>
  </si>
  <si>
    <t>Vivobook</t>
  </si>
  <si>
    <t>ASUS</t>
  </si>
  <si>
    <t>ELE-LAP-45891</t>
  </si>
  <si>
    <t>UPI</t>
  </si>
  <si>
    <t>AMZ26-00010</t>
  </si>
  <si>
    <t>Sneha Reddy</t>
  </si>
  <si>
    <t>IdeaPad</t>
  </si>
  <si>
    <t>Lenovo</t>
  </si>
  <si>
    <t>ELE-LAP-23298</t>
  </si>
  <si>
    <t>Shipped</t>
  </si>
  <si>
    <t>In Transit</t>
  </si>
  <si>
    <t>AMZ26-00011</t>
  </si>
  <si>
    <t>Vivek Kumar</t>
  </si>
  <si>
    <t>Coffee</t>
  </si>
  <si>
    <t>Nescafe</t>
  </si>
  <si>
    <t>GRO-BEV-22303</t>
  </si>
  <si>
    <t>Quality Issue</t>
  </si>
  <si>
    <t>AMZ26-00012</t>
  </si>
  <si>
    <t>Vivek Iyer</t>
  </si>
  <si>
    <t>Telangana</t>
  </si>
  <si>
    <t>Hyderabad</t>
  </si>
  <si>
    <t>Home &amp; Kitchen</t>
  </si>
  <si>
    <t>Cookware</t>
  </si>
  <si>
    <t>Nonstick Pan</t>
  </si>
  <si>
    <t>Prestige</t>
  </si>
  <si>
    <t>HOM-COO-56703</t>
  </si>
  <si>
    <t>AMZ26-00013</t>
  </si>
  <si>
    <t>Vivek Sharma</t>
  </si>
  <si>
    <t>Haryana</t>
  </si>
  <si>
    <t>Gurugram</t>
  </si>
  <si>
    <t>HOM-COO-65675</t>
  </si>
  <si>
    <t>AMZ26-00014</t>
  </si>
  <si>
    <t>Aditi Kumar</t>
  </si>
  <si>
    <t>Pune</t>
  </si>
  <si>
    <t>Running Shoes</t>
  </si>
  <si>
    <t>Adidas</t>
  </si>
  <si>
    <t>FAS-FOO-33501</t>
  </si>
  <si>
    <t>Changed Mind</t>
  </si>
  <si>
    <t>AMZ26-00015</t>
  </si>
  <si>
    <t>Kiran Gupta</t>
  </si>
  <si>
    <t>Women Clothing</t>
  </si>
  <si>
    <t>Printed Kurti</t>
  </si>
  <si>
    <t>BIBA</t>
  </si>
  <si>
    <t>FAS-WOM-57069</t>
  </si>
  <si>
    <t>AMZ26-00016</t>
  </si>
  <si>
    <t>Aditi Singh</t>
  </si>
  <si>
    <t>Rajasthan</t>
  </si>
  <si>
    <t>Jaipur</t>
  </si>
  <si>
    <t>Pavilion</t>
  </si>
  <si>
    <t>HP</t>
  </si>
  <si>
    <t>ELE-LAP-85055</t>
  </si>
  <si>
    <t>AMZ26-00017</t>
  </si>
  <si>
    <t>Kiran Verma</t>
  </si>
  <si>
    <t>Bihar</t>
  </si>
  <si>
    <t>Patna</t>
  </si>
  <si>
    <t>GRO-BEV-92551</t>
  </si>
  <si>
    <t>AMZ26-00018</t>
  </si>
  <si>
    <t>Aditya Gupta</t>
  </si>
  <si>
    <t>Mysuru</t>
  </si>
  <si>
    <t>HOM-COO-49668</t>
  </si>
  <si>
    <t>AMZ26-00019</t>
  </si>
  <si>
    <t>Nandini Yadav</t>
  </si>
  <si>
    <t>Pressure Cooker</t>
  </si>
  <si>
    <t>Hawkins</t>
  </si>
  <si>
    <t>HOM-COO-50897</t>
  </si>
  <si>
    <t>AMZ26-00020</t>
  </si>
  <si>
    <t>Aditi Jain</t>
  </si>
  <si>
    <t>Hair Care</t>
  </si>
  <si>
    <t>Hair Serum</t>
  </si>
  <si>
    <t>L'Oreal</t>
  </si>
  <si>
    <t>BEA-HAI-26722</t>
  </si>
  <si>
    <t>AMZ26-00021</t>
  </si>
  <si>
    <t>Nandini Joshi</t>
  </si>
  <si>
    <t>Gujarat</t>
  </si>
  <si>
    <t>Ahmedabad</t>
  </si>
  <si>
    <t>FAS-WOM-98893</t>
  </si>
  <si>
    <t>Late Delivery</t>
  </si>
  <si>
    <t>AMZ26-00022</t>
  </si>
  <si>
    <t>Ananya Sharma</t>
  </si>
  <si>
    <t>Cookware Set</t>
  </si>
  <si>
    <t>Pigeon</t>
  </si>
  <si>
    <t>HOM-COO-37423</t>
  </si>
  <si>
    <t>Wrong Item</t>
  </si>
  <si>
    <t>AMZ26-00023</t>
  </si>
  <si>
    <t>Priya Patel</t>
  </si>
  <si>
    <t>FAS-WOM-71704</t>
  </si>
  <si>
    <t>AMZ26-00024</t>
  </si>
  <si>
    <t>Kavya Iyer</t>
  </si>
  <si>
    <t>Kitchen Appliances</t>
  </si>
  <si>
    <t>Electric Kettle</t>
  </si>
  <si>
    <t>HOM-KIT-18461</t>
  </si>
  <si>
    <t>AMZ26-00025</t>
  </si>
  <si>
    <t>Kiran Sharma</t>
  </si>
  <si>
    <t>Home Decor</t>
  </si>
  <si>
    <t>LED Lamp</t>
  </si>
  <si>
    <t>Wipro</t>
  </si>
  <si>
    <t>HOM-HOM-70792</t>
  </si>
  <si>
    <t>AMZ26-00026</t>
  </si>
  <si>
    <t>Vihaan Singh</t>
  </si>
  <si>
    <t>HOM-COO-49235</t>
  </si>
  <si>
    <t>AMZ26-00027</t>
  </si>
  <si>
    <t>Sai Joshi</t>
  </si>
  <si>
    <t>Denim Jeans</t>
  </si>
  <si>
    <t>Levi's</t>
  </si>
  <si>
    <t>FAS-WOM-52533</t>
  </si>
  <si>
    <t>AMZ26-00028</t>
  </si>
  <si>
    <t>Kavya Verma</t>
  </si>
  <si>
    <t>Punjab</t>
  </si>
  <si>
    <t>Ludhiana</t>
  </si>
  <si>
    <t>Redmi Note</t>
  </si>
  <si>
    <t>Xiaomi</t>
  </si>
  <si>
    <t>ELE-MOB-65466</t>
  </si>
  <si>
    <t>AMZ26-00029</t>
  </si>
  <si>
    <t>Kavya Sharma</t>
  </si>
  <si>
    <t>West Bengal</t>
  </si>
  <si>
    <t>Kolkata</t>
  </si>
  <si>
    <t>FAS-FOO-81683</t>
  </si>
  <si>
    <t>AMZ26-00030</t>
  </si>
  <si>
    <t>Ananya Yadav</t>
  </si>
  <si>
    <t>HOM-HOM-43404</t>
  </si>
  <si>
    <t>AMZ26-00031</t>
  </si>
  <si>
    <t>Pooja Nair</t>
  </si>
  <si>
    <t>Mixer Grinder</t>
  </si>
  <si>
    <t>HOM-KIT-80881</t>
  </si>
  <si>
    <t>AMZ26-00032</t>
  </si>
  <si>
    <t>Ananya Rao</t>
  </si>
  <si>
    <t>Galaxy A Series</t>
  </si>
  <si>
    <t>Samsung</t>
  </si>
  <si>
    <t>ELE-MOB-15411</t>
  </si>
  <si>
    <t>AMZ26-00033</t>
  </si>
  <si>
    <t>Aditi Sharma</t>
  </si>
  <si>
    <t>Snacks</t>
  </si>
  <si>
    <t>Potato Chips</t>
  </si>
  <si>
    <t>Lay's</t>
  </si>
  <si>
    <t>GRO-SNA-56329</t>
  </si>
  <si>
    <t>AMZ26-00034</t>
  </si>
  <si>
    <t>BEA-SKI-92691</t>
  </si>
  <si>
    <t>AMZ26-00035</t>
  </si>
  <si>
    <t>Moisturizer</t>
  </si>
  <si>
    <t>Cetaphil</t>
  </si>
  <si>
    <t>BEA-SKI-81755</t>
  </si>
  <si>
    <t>AMZ26-00036</t>
  </si>
  <si>
    <t>Rohan Nair</t>
  </si>
  <si>
    <t>ELE-MOB-22113</t>
  </si>
  <si>
    <t>AMZ26-00037</t>
  </si>
  <si>
    <t>Priya Gupta</t>
  </si>
  <si>
    <t>FAS-WOM-20907</t>
  </si>
  <si>
    <t>AMZ26-00038</t>
  </si>
  <si>
    <t>Nandini Kumar</t>
  </si>
  <si>
    <t>Mixed Nuts</t>
  </si>
  <si>
    <t>Happilo</t>
  </si>
  <si>
    <t>GRO-SNA-18849</t>
  </si>
  <si>
    <t>AMZ26-00039</t>
  </si>
  <si>
    <t>Vivek Singh</t>
  </si>
  <si>
    <t>Uttar Pradesh</t>
  </si>
  <si>
    <t>Noida</t>
  </si>
  <si>
    <t>Kajal</t>
  </si>
  <si>
    <t>BEA-MAK-68451</t>
  </si>
  <si>
    <t>AMZ26-00040</t>
  </si>
  <si>
    <t>Vivek Joshi</t>
  </si>
  <si>
    <t>Casual Sneakers</t>
  </si>
  <si>
    <t>Puma</t>
  </si>
  <si>
    <t>FAS-FOO-81162</t>
  </si>
  <si>
    <t>AMZ26-00041</t>
  </si>
  <si>
    <t>Sneha Singh</t>
  </si>
  <si>
    <t>GRO-SNA-64266</t>
  </si>
  <si>
    <t>AMZ26-00042</t>
  </si>
  <si>
    <t>Rohan Rao</t>
  </si>
  <si>
    <t>BEA-MAK-77246</t>
  </si>
  <si>
    <t>AMZ26-00043</t>
  </si>
  <si>
    <t>Kavya Kumar</t>
  </si>
  <si>
    <t>Fruit Juice</t>
  </si>
  <si>
    <t>Real</t>
  </si>
  <si>
    <t>GRO-BEV-94363</t>
  </si>
  <si>
    <t>AMZ26-00044</t>
  </si>
  <si>
    <t>Diya Verma</t>
  </si>
  <si>
    <t>Casual Top</t>
  </si>
  <si>
    <t>ONLY</t>
  </si>
  <si>
    <t>FAS-WOM-22916</t>
  </si>
  <si>
    <t>AMZ26-00045</t>
  </si>
  <si>
    <t>Aditi Yadav</t>
  </si>
  <si>
    <t>ELE-LAP-90978</t>
  </si>
  <si>
    <t>AMZ26-00046</t>
  </si>
  <si>
    <t>Priya Singh</t>
  </si>
  <si>
    <t>HOM-KIT-44796</t>
  </si>
  <si>
    <t>AMZ26-00047</t>
  </si>
  <si>
    <t>Isha Verma</t>
  </si>
  <si>
    <t>Curtain Set</t>
  </si>
  <si>
    <t>Home Centre</t>
  </si>
  <si>
    <t>HOM-HOM-55968</t>
  </si>
  <si>
    <t>AMZ26-00048</t>
  </si>
  <si>
    <t>Vihaan Kumar</t>
  </si>
  <si>
    <t>Basmati Rice</t>
  </si>
  <si>
    <t>India Gate</t>
  </si>
  <si>
    <t>GRO-STA-39999</t>
  </si>
  <si>
    <t>AMZ26-00049</t>
  </si>
  <si>
    <t>Vivek Rao</t>
  </si>
  <si>
    <t>Casual T-Shirt</t>
  </si>
  <si>
    <t>FAS-MEN-58628</t>
  </si>
  <si>
    <t>Size/Fit Issue</t>
  </si>
  <si>
    <t>AMZ26-00050</t>
  </si>
  <si>
    <t>Meera Das</t>
  </si>
  <si>
    <t>ELE-MOB-91451</t>
  </si>
  <si>
    <t>AMZ26-00051</t>
  </si>
  <si>
    <t>Sneha Kumar</t>
  </si>
  <si>
    <t>BEA-SKI-39511</t>
  </si>
  <si>
    <t>AMZ26-00052</t>
  </si>
  <si>
    <t>Sneha Sharma</t>
  </si>
  <si>
    <t>HOM-COO-82797</t>
  </si>
  <si>
    <t>AMZ26-00053</t>
  </si>
  <si>
    <t>Vihaan Joshi</t>
  </si>
  <si>
    <t>Lipstick</t>
  </si>
  <si>
    <t>Maybelline</t>
  </si>
  <si>
    <t>BEA-MAK-18905</t>
  </si>
  <si>
    <t>AMZ26-00054</t>
  </si>
  <si>
    <t>Nikhil Sharma</t>
  </si>
  <si>
    <t>Slim Jeans</t>
  </si>
  <si>
    <t>FAS-MEN-56911</t>
  </si>
  <si>
    <t>AMZ26-00055</t>
  </si>
  <si>
    <t>Aarav Rao</t>
  </si>
  <si>
    <t>GRO-BEV-71042</t>
  </si>
  <si>
    <t>AMZ26-00056</t>
  </si>
  <si>
    <t>Priya Nair</t>
  </si>
  <si>
    <t>Inspiron Laptop</t>
  </si>
  <si>
    <t>Dell</t>
  </si>
  <si>
    <t>ELE-LAP-56021</t>
  </si>
  <si>
    <t>Low Stock</t>
  </si>
  <si>
    <t>AMZ26-00057</t>
  </si>
  <si>
    <t>Ananya Das</t>
  </si>
  <si>
    <t>Wall Clock</t>
  </si>
  <si>
    <t>Ajanta</t>
  </si>
  <si>
    <t>HOM-HOM-21648</t>
  </si>
  <si>
    <t>AMZ26-00058</t>
  </si>
  <si>
    <t>Priya Rao</t>
  </si>
  <si>
    <t>BEA-HAI-51212</t>
  </si>
  <si>
    <t>AMZ26-00059</t>
  </si>
  <si>
    <t>Aditya Yadav</t>
  </si>
  <si>
    <t>HOM-COO-82026</t>
  </si>
  <si>
    <t>AMZ26-00060</t>
  </si>
  <si>
    <t>GRO-STA-68154</t>
  </si>
  <si>
    <t>AMZ26-00061</t>
  </si>
  <si>
    <t>Nikhil Gupta</t>
  </si>
  <si>
    <t>FAS-MEN-20960</t>
  </si>
  <si>
    <t>AMZ26-00062</t>
  </si>
  <si>
    <t>Aditi Patel</t>
  </si>
  <si>
    <t>Bluetooth Speaker</t>
  </si>
  <si>
    <t>boAt</t>
  </si>
  <si>
    <t>ELE-ACC-15883</t>
  </si>
  <si>
    <t>AMZ26-00063</t>
  </si>
  <si>
    <t>BEA-SKI-23206</t>
  </si>
  <si>
    <t>AMZ26-00064</t>
  </si>
  <si>
    <t>Priya Reddy</t>
  </si>
  <si>
    <t>Sunscreen</t>
  </si>
  <si>
    <t>Neutrogena</t>
  </si>
  <si>
    <t>BEA-SKI-51492</t>
  </si>
  <si>
    <t>AMZ26-00065</t>
  </si>
  <si>
    <t>Pooja Yadav</t>
  </si>
  <si>
    <t>BEA-MAK-32784</t>
  </si>
  <si>
    <t>AMZ26-00066</t>
  </si>
  <si>
    <t>Arjun Das</t>
  </si>
  <si>
    <t>FAS-FOO-78277</t>
  </si>
  <si>
    <t>AMZ26-00067</t>
  </si>
  <si>
    <t>Nandini Das</t>
  </si>
  <si>
    <t>FAS-MEN-28378</t>
  </si>
  <si>
    <t>AMZ26-00068</t>
  </si>
  <si>
    <t>Isha Shetty</t>
  </si>
  <si>
    <t>Nord CE</t>
  </si>
  <si>
    <t>OnePlus</t>
  </si>
  <si>
    <t>ELE-MOB-53829</t>
  </si>
  <si>
    <t>AMZ26-00069</t>
  </si>
  <si>
    <t>ELE-MOB-94499</t>
  </si>
  <si>
    <t>AMZ26-00070</t>
  </si>
  <si>
    <t>GRO-BEV-33193</t>
  </si>
  <si>
    <t>AMZ26-00071</t>
  </si>
  <si>
    <t>HOM-COO-93436</t>
  </si>
  <si>
    <t>AMZ26-00072</t>
  </si>
  <si>
    <t>Rohan Singh</t>
  </si>
  <si>
    <t>FAS-FOO-60784</t>
  </si>
  <si>
    <t>AMZ26-00073</t>
  </si>
  <si>
    <t>Nikhil Rao</t>
  </si>
  <si>
    <t>FAS-FOO-16741</t>
  </si>
  <si>
    <t>AMZ26-00074</t>
  </si>
  <si>
    <t>Nandini Nair</t>
  </si>
  <si>
    <t>GRO-BEV-24322</t>
  </si>
  <si>
    <t>AMZ26-00075</t>
  </si>
  <si>
    <t>Isha Gupta</t>
  </si>
  <si>
    <t>BEA-SKI-20457</t>
  </si>
  <si>
    <t>AMZ26-00076</t>
  </si>
  <si>
    <t>FAS-MEN-24732</t>
  </si>
  <si>
    <t>AMZ26-00077</t>
  </si>
  <si>
    <t>Sai Sharma</t>
  </si>
  <si>
    <t>ELE-LAP-59721</t>
  </si>
  <si>
    <t>AMZ26-00078</t>
  </si>
  <si>
    <t>Kiran Iyer</t>
  </si>
  <si>
    <t>BEA-HAI-47997</t>
  </si>
  <si>
    <t>AMZ26-00079</t>
  </si>
  <si>
    <t>GRO-STA-25561</t>
  </si>
  <si>
    <t>AMZ26-00080</t>
  </si>
  <si>
    <t>FAS-FOO-14531</t>
  </si>
  <si>
    <t>AMZ26-00081</t>
  </si>
  <si>
    <t>BEA-SKI-10098</t>
  </si>
  <si>
    <t>AMZ26-00082</t>
  </si>
  <si>
    <t>Rahul Singh</t>
  </si>
  <si>
    <t>FAS-WOM-59656</t>
  </si>
  <si>
    <t>AMZ26-00083</t>
  </si>
  <si>
    <t>Vivek Shetty</t>
  </si>
  <si>
    <t>ELE-MOB-89136</t>
  </si>
  <si>
    <t>AMZ26-00084</t>
  </si>
  <si>
    <t>Ananya Shetty</t>
  </si>
  <si>
    <t>BEA-MAK-45007</t>
  </si>
  <si>
    <t>AMZ26-00085</t>
  </si>
  <si>
    <t>FAS-FOO-57405</t>
  </si>
  <si>
    <t>AMZ26-00086</t>
  </si>
  <si>
    <t>Sneha Das</t>
  </si>
  <si>
    <t>FAS-MEN-94351</t>
  </si>
  <si>
    <t>AMZ26-00087</t>
  </si>
  <si>
    <t>Rahul Verma</t>
  </si>
  <si>
    <t>FAS-FOO-62842</t>
  </si>
  <si>
    <t>AMZ26-00088</t>
  </si>
  <si>
    <t>HOM-COO-30596</t>
  </si>
  <si>
    <t>AMZ26-00089</t>
  </si>
  <si>
    <t>Kavya Rao</t>
  </si>
  <si>
    <t>Cooking Oil</t>
  </si>
  <si>
    <t>Fortune</t>
  </si>
  <si>
    <t>GRO-STA-11505</t>
  </si>
  <si>
    <t>AMZ26-00090</t>
  </si>
  <si>
    <t>Rahul Sharma</t>
  </si>
  <si>
    <t>Keyboard</t>
  </si>
  <si>
    <t>ELE-ACC-36194</t>
  </si>
  <si>
    <t>AMZ26-00091</t>
  </si>
  <si>
    <t>HOM-HOM-13845</t>
  </si>
  <si>
    <t>AMZ26-00092</t>
  </si>
  <si>
    <t>ELE-LAP-50117</t>
  </si>
  <si>
    <t>AMZ26-00093</t>
  </si>
  <si>
    <t>Rohan Das</t>
  </si>
  <si>
    <t>HOM-KIT-30948</t>
  </si>
  <si>
    <t>AMZ26-00094</t>
  </si>
  <si>
    <t>FAS-FOO-27857</t>
  </si>
  <si>
    <t>AMZ26-00095</t>
  </si>
  <si>
    <t>BEA-SKI-19765</t>
  </si>
  <si>
    <t>AMZ26-00096</t>
  </si>
  <si>
    <t>Meera Yadav</t>
  </si>
  <si>
    <t>HOM-HOM-33407</t>
  </si>
  <si>
    <t>AMZ26-00097</t>
  </si>
  <si>
    <t>Aditi Verma</t>
  </si>
  <si>
    <t>FAS-WOM-10390</t>
  </si>
  <si>
    <t>AMZ26-00098</t>
  </si>
  <si>
    <t>Diya Shetty</t>
  </si>
  <si>
    <t>HOM-COO-93206</t>
  </si>
  <si>
    <t>AMZ26-00099</t>
  </si>
  <si>
    <t>Arjun Jain</t>
  </si>
  <si>
    <t>FAS-FOO-94628</t>
  </si>
  <si>
    <t>AMZ26-00100</t>
  </si>
  <si>
    <t>Meera Nair</t>
  </si>
  <si>
    <t>Hair Mask</t>
  </si>
  <si>
    <t>Tresemme</t>
  </si>
  <si>
    <t>BEA-HAI-39654</t>
  </si>
  <si>
    <t>AMZ26-00101</t>
  </si>
  <si>
    <t>Ananya Reddy</t>
  </si>
  <si>
    <t>GRO-SNA-19934</t>
  </si>
  <si>
    <t>AMZ26-00102</t>
  </si>
  <si>
    <t>ELE-LAP-14871</t>
  </si>
  <si>
    <t>AMZ26-00103</t>
  </si>
  <si>
    <t>ELE-LAP-86132</t>
  </si>
  <si>
    <t>AMZ26-00104</t>
  </si>
  <si>
    <t>Rahul Kumar</t>
  </si>
  <si>
    <t>FAS-MEN-53166</t>
  </si>
  <si>
    <t>AMZ26-00105</t>
  </si>
  <si>
    <t>BEA-MAK-16852</t>
  </si>
  <si>
    <t>AMZ26-00106</t>
  </si>
  <si>
    <t>BEA-MAK-30839</t>
  </si>
  <si>
    <t>AMZ26-00107</t>
  </si>
  <si>
    <t>BEA-SKI-59512</t>
  </si>
  <si>
    <t>AMZ26-00108</t>
  </si>
  <si>
    <t>Pooja Sharma</t>
  </si>
  <si>
    <t>GRO-STA-15894</t>
  </si>
  <si>
    <t>AMZ26-00109</t>
  </si>
  <si>
    <t>Vihaan Nair</t>
  </si>
  <si>
    <t>BEA-MAK-67176</t>
  </si>
  <si>
    <t>AMZ26-00110</t>
  </si>
  <si>
    <t>Arjun Rao</t>
  </si>
  <si>
    <t>BEA-SKI-32076</t>
  </si>
  <si>
    <t>AMZ26-00111</t>
  </si>
  <si>
    <t>Rohan Jain</t>
  </si>
  <si>
    <t>BEA-MAK-54903</t>
  </si>
  <si>
    <t>AMZ26-00112</t>
  </si>
  <si>
    <t>Isha Das</t>
  </si>
  <si>
    <t>FAS-WOM-23172</t>
  </si>
  <si>
    <t>AMZ26-00113</t>
  </si>
  <si>
    <t>Meera Joshi</t>
  </si>
  <si>
    <t>Air Fryer</t>
  </si>
  <si>
    <t>Philips</t>
  </si>
  <si>
    <t>HOM-KIT-58748</t>
  </si>
  <si>
    <t>AMZ26-00114</t>
  </si>
  <si>
    <t>Kavya Reddy</t>
  </si>
  <si>
    <t>FAS-MEN-79934</t>
  </si>
  <si>
    <t>AMZ26-00115</t>
  </si>
  <si>
    <t>Isha Rao</t>
  </si>
  <si>
    <t>BEA-SKI-66127</t>
  </si>
  <si>
    <t>Damaged Product</t>
  </si>
  <si>
    <t>AMZ26-00116</t>
  </si>
  <si>
    <t>HOM-KIT-25993</t>
  </si>
  <si>
    <t>AMZ26-00117</t>
  </si>
  <si>
    <t>Rohan Kumar</t>
  </si>
  <si>
    <t>BEA-SKI-46417</t>
  </si>
  <si>
    <t>AMZ26-00118</t>
  </si>
  <si>
    <t>Ananya Gupta</t>
  </si>
  <si>
    <t>Cookies</t>
  </si>
  <si>
    <t>Britannia</t>
  </si>
  <si>
    <t>GRO-SNA-28792</t>
  </si>
  <si>
    <t>AMZ26-00119</t>
  </si>
  <si>
    <t>HOM-KIT-44803</t>
  </si>
  <si>
    <t>AMZ26-00120</t>
  </si>
  <si>
    <t>Arjun Shetty</t>
  </si>
  <si>
    <t>GRO-SNA-10439</t>
  </si>
  <si>
    <t>AMZ26-00121</t>
  </si>
  <si>
    <t>Vihaan Sharma</t>
  </si>
  <si>
    <t>HOM-KIT-42399</t>
  </si>
  <si>
    <t>AMZ26-00122</t>
  </si>
  <si>
    <t>BEA-HAI-24669</t>
  </si>
  <si>
    <t>AMZ26-00123</t>
  </si>
  <si>
    <t>HOM-COO-85433</t>
  </si>
  <si>
    <t>AMZ26-00124</t>
  </si>
  <si>
    <t>Isha Iyer</t>
  </si>
  <si>
    <t>ELE-MOB-61493</t>
  </si>
  <si>
    <t>AMZ26-00125</t>
  </si>
  <si>
    <t>Ananya Iyer</t>
  </si>
  <si>
    <t>BEA-MAK-73491</t>
  </si>
  <si>
    <t>AMZ26-00126</t>
  </si>
  <si>
    <t>Arjun Singh</t>
  </si>
  <si>
    <t>HOM-HOM-38185</t>
  </si>
  <si>
    <t>AMZ26-00127</t>
  </si>
  <si>
    <t>Kavya Jain</t>
  </si>
  <si>
    <t>HOM-COO-91534</t>
  </si>
  <si>
    <t>AMZ26-00128</t>
  </si>
  <si>
    <t>GRO-BEV-54455</t>
  </si>
  <si>
    <t>AMZ26-00129</t>
  </si>
  <si>
    <t>Kiran Singh</t>
  </si>
  <si>
    <t>FAS-FOO-27462</t>
  </si>
  <si>
    <t>AMZ26-00130</t>
  </si>
  <si>
    <t>Rahul Reddy</t>
  </si>
  <si>
    <t>FAS-MEN-43765</t>
  </si>
  <si>
    <t>AMZ26-00131</t>
  </si>
  <si>
    <t>GRO-BEV-28190</t>
  </si>
  <si>
    <t>AMZ26-00132</t>
  </si>
  <si>
    <t>Aditi Shetty</t>
  </si>
  <si>
    <t>BEA-SKI-98393</t>
  </si>
  <si>
    <t>AMZ26-00133</t>
  </si>
  <si>
    <t>Isha Joshi</t>
  </si>
  <si>
    <t>HOM-HOM-49301</t>
  </si>
  <si>
    <t>AMZ26-00134</t>
  </si>
  <si>
    <t>Aditi Rao</t>
  </si>
  <si>
    <t>BEA-MAK-50777</t>
  </si>
  <si>
    <t>AMZ26-00135</t>
  </si>
  <si>
    <t>ELE-LAP-26018</t>
  </si>
  <si>
    <t>AMZ26-00136</t>
  </si>
  <si>
    <t>GRO-SNA-60654</t>
  </si>
  <si>
    <t>AMZ26-00137</t>
  </si>
  <si>
    <t>HOM-HOM-86030</t>
  </si>
  <si>
    <t>AMZ26-00138</t>
  </si>
  <si>
    <t>Rahul Das</t>
  </si>
  <si>
    <t>Wireless Mouse</t>
  </si>
  <si>
    <t>Logitech</t>
  </si>
  <si>
    <t>ELE-ACC-59254</t>
  </si>
  <si>
    <t>AMZ26-00139</t>
  </si>
  <si>
    <t>Diya Singh</t>
  </si>
  <si>
    <t>BEA-MAK-63959</t>
  </si>
  <si>
    <t>AMZ26-00140</t>
  </si>
  <si>
    <t>Nikhil Singh</t>
  </si>
  <si>
    <t>FAS-WOM-69781</t>
  </si>
  <si>
    <t>AMZ26-00141</t>
  </si>
  <si>
    <t>Nandini Sharma</t>
  </si>
  <si>
    <t>ELE-ACC-63709</t>
  </si>
  <si>
    <t>AMZ26-00142</t>
  </si>
  <si>
    <t>Isha Singh</t>
  </si>
  <si>
    <t>GRO-SNA-27106</t>
  </si>
  <si>
    <t>AMZ26-00143</t>
  </si>
  <si>
    <t>ELE-ACC-56640</t>
  </si>
  <si>
    <t>AMZ26-00144</t>
  </si>
  <si>
    <t>HOM-COO-91804</t>
  </si>
  <si>
    <t>AMZ26-00145</t>
  </si>
  <si>
    <t>Rahul Rao</t>
  </si>
  <si>
    <t>GRO-SNA-58390</t>
  </si>
  <si>
    <t>AMZ26-00146</t>
  </si>
  <si>
    <t>Sai Verma</t>
  </si>
  <si>
    <t>ELE-LAP-32907</t>
  </si>
  <si>
    <t>AMZ26-00147</t>
  </si>
  <si>
    <t>HOM-HOM-37872</t>
  </si>
  <si>
    <t>AMZ26-00148</t>
  </si>
  <si>
    <t>FAS-FOO-29198</t>
  </si>
  <si>
    <t>AMZ26-00149</t>
  </si>
  <si>
    <t>HOM-KIT-81539</t>
  </si>
  <si>
    <t>AMZ26-00150</t>
  </si>
  <si>
    <t>Vivek Das</t>
  </si>
  <si>
    <t>HOM-KIT-77958</t>
  </si>
  <si>
    <t>AMZ26-00151</t>
  </si>
  <si>
    <t>HOM-HOM-25701</t>
  </si>
  <si>
    <t>AMZ26-00152</t>
  </si>
  <si>
    <t>Vivek Nair</t>
  </si>
  <si>
    <t>ELE-MOB-37064</t>
  </si>
  <si>
    <t>AMZ26-00153</t>
  </si>
  <si>
    <t>HOM-HOM-23218</t>
  </si>
  <si>
    <t>AMZ26-00154</t>
  </si>
  <si>
    <t>Sneha Yadav</t>
  </si>
  <si>
    <t>BEA-MAK-17601</t>
  </si>
  <si>
    <t>AMZ26-00155</t>
  </si>
  <si>
    <t>Rahul Joshi</t>
  </si>
  <si>
    <t>ELE-ACC-44394</t>
  </si>
  <si>
    <t>AMZ26-00156</t>
  </si>
  <si>
    <t>GRO-STA-44295</t>
  </si>
  <si>
    <t>AMZ26-00157</t>
  </si>
  <si>
    <t>Aditya Verma</t>
  </si>
  <si>
    <t>BEA-SKI-79131</t>
  </si>
  <si>
    <t>AMZ26-00158</t>
  </si>
  <si>
    <t>Arjun Iyer</t>
  </si>
  <si>
    <t>HOM-HOM-28305</t>
  </si>
  <si>
    <t>AMZ26-00159</t>
  </si>
  <si>
    <t>Sneha Shetty</t>
  </si>
  <si>
    <t>GRO-STA-41405</t>
  </si>
  <si>
    <t>AMZ26-00160</t>
  </si>
  <si>
    <t>GRO-SNA-77994</t>
  </si>
  <si>
    <t>AMZ26-00161</t>
  </si>
  <si>
    <t>Rohan Sharma</t>
  </si>
  <si>
    <t>ELE-MOB-70633</t>
  </si>
  <si>
    <t>AMZ26-00162</t>
  </si>
  <si>
    <t>GRO-SNA-31628</t>
  </si>
  <si>
    <t>AMZ26-00163</t>
  </si>
  <si>
    <t>Sneha Joshi</t>
  </si>
  <si>
    <t>FAS-FOO-20539</t>
  </si>
  <si>
    <t>AMZ26-00164</t>
  </si>
  <si>
    <t>Aarav Yadav</t>
  </si>
  <si>
    <t>FAS-WOM-15598</t>
  </si>
  <si>
    <t>AMZ26-00165</t>
  </si>
  <si>
    <t>Aarav Patel</t>
  </si>
  <si>
    <t>HOM-COO-74629</t>
  </si>
  <si>
    <t>AMZ26-00166</t>
  </si>
  <si>
    <t>HOM-KIT-17119</t>
  </si>
  <si>
    <t>AMZ26-00167</t>
  </si>
  <si>
    <t>GRO-STA-38221</t>
  </si>
  <si>
    <t>AMZ26-00168</t>
  </si>
  <si>
    <t>BEA-MAK-88773</t>
  </si>
  <si>
    <t>AMZ26-00169</t>
  </si>
  <si>
    <t>Aditya Singh</t>
  </si>
  <si>
    <t>ELE-LAP-44018</t>
  </si>
  <si>
    <t>AMZ26-00170</t>
  </si>
  <si>
    <t>Sneha Gupta</t>
  </si>
  <si>
    <t>ELE-LAP-92649</t>
  </si>
  <si>
    <t>AMZ26-00171</t>
  </si>
  <si>
    <t>Rohan Yadav</t>
  </si>
  <si>
    <t>HOM-KIT-99220</t>
  </si>
  <si>
    <t>AMZ26-00172</t>
  </si>
  <si>
    <t>BEA-SKI-71806</t>
  </si>
  <si>
    <t>AMZ26-00173</t>
  </si>
  <si>
    <t>Meera Shetty</t>
  </si>
  <si>
    <t>FAS-WOM-68970</t>
  </si>
  <si>
    <t>AMZ26-00174</t>
  </si>
  <si>
    <t>HOM-HOM-35148</t>
  </si>
  <si>
    <t>AMZ26-00175</t>
  </si>
  <si>
    <t>HOM-COO-21047</t>
  </si>
  <si>
    <t>AMZ26-00176</t>
  </si>
  <si>
    <t>Kiran Patel</t>
  </si>
  <si>
    <t>ELE-MOB-47061</t>
  </si>
  <si>
    <t>AMZ26-00177</t>
  </si>
  <si>
    <t>FAS-MEN-26612</t>
  </si>
  <si>
    <t>AMZ26-00178</t>
  </si>
  <si>
    <t>FAS-MEN-93510</t>
  </si>
  <si>
    <t>AMZ26-00179</t>
  </si>
  <si>
    <t>ELE-MOB-71365</t>
  </si>
  <si>
    <t>AMZ26-00180</t>
  </si>
  <si>
    <t>Shampoo</t>
  </si>
  <si>
    <t>Dove</t>
  </si>
  <si>
    <t>BEA-HAI-85756</t>
  </si>
  <si>
    <t>AMZ26-00181</t>
  </si>
  <si>
    <t>FAS-WOM-45810</t>
  </si>
  <si>
    <t>AMZ26-00182</t>
  </si>
  <si>
    <t>Sai Gupta</t>
  </si>
  <si>
    <t>HOM-HOM-15474</t>
  </si>
  <si>
    <t>AMZ26-00183</t>
  </si>
  <si>
    <t>GRO-BEV-81268</t>
  </si>
  <si>
    <t>AMZ26-00184</t>
  </si>
  <si>
    <t>BEA-HAI-19366</t>
  </si>
  <si>
    <t>AMZ26-00185</t>
  </si>
  <si>
    <t>Pooja Joshi</t>
  </si>
  <si>
    <t>HOM-COO-55087</t>
  </si>
  <si>
    <t>AMZ26-00186</t>
  </si>
  <si>
    <t>Nikhil Iyer</t>
  </si>
  <si>
    <t>FAS-MEN-59215</t>
  </si>
  <si>
    <t>AMZ26-00187</t>
  </si>
  <si>
    <t>ELE-ACC-51662</t>
  </si>
  <si>
    <t>AMZ26-00188</t>
  </si>
  <si>
    <t>Kavya Patel</t>
  </si>
  <si>
    <t>GRO-BEV-47836</t>
  </si>
  <si>
    <t>AMZ26-00189</t>
  </si>
  <si>
    <t>Vivek Yadav</t>
  </si>
  <si>
    <t>GRO-SNA-25749</t>
  </si>
  <si>
    <t>AMZ26-00190</t>
  </si>
  <si>
    <t>ELE-MOB-66768</t>
  </si>
  <si>
    <t>AMZ26-00191</t>
  </si>
  <si>
    <t>GRO-SNA-91410</t>
  </si>
  <si>
    <t>AMZ26-00192</t>
  </si>
  <si>
    <t>Aarav Verma</t>
  </si>
  <si>
    <t>HOM-KIT-92741</t>
  </si>
  <si>
    <t>AMZ26-00193</t>
  </si>
  <si>
    <t>HOM-KIT-24584</t>
  </si>
  <si>
    <t>AMZ26-00194</t>
  </si>
  <si>
    <t>Pooja Verma</t>
  </si>
  <si>
    <t>ELE-ACC-24654</t>
  </si>
  <si>
    <t>AMZ26-00195</t>
  </si>
  <si>
    <t>Pooja Kumar</t>
  </si>
  <si>
    <t>BEA-MAK-51641</t>
  </si>
  <si>
    <t>AMZ26-00196</t>
  </si>
  <si>
    <t>Sai Patel</t>
  </si>
  <si>
    <t>BEA-HAI-99087</t>
  </si>
  <si>
    <t>AMZ26-00197</t>
  </si>
  <si>
    <t>Rohan Shetty</t>
  </si>
  <si>
    <t>FAS-MEN-70983</t>
  </si>
  <si>
    <t>AMZ26-00198</t>
  </si>
  <si>
    <t>Meera Jain</t>
  </si>
  <si>
    <t>GRO-BEV-86771</t>
  </si>
  <si>
    <t>AMZ26-00199</t>
  </si>
  <si>
    <t>ELE-MOB-14062</t>
  </si>
  <si>
    <t>AMZ26-00200</t>
  </si>
  <si>
    <t>FAS-FOO-84953</t>
  </si>
  <si>
    <t>AMZ26-00201</t>
  </si>
  <si>
    <t>Aditya Reddy</t>
  </si>
  <si>
    <t>BEA-HAI-21715</t>
  </si>
  <si>
    <t>AMZ26-00202</t>
  </si>
  <si>
    <t>Aditya Rao</t>
  </si>
  <si>
    <t>GRO-BEV-92912</t>
  </si>
  <si>
    <t>AMZ26-00203</t>
  </si>
  <si>
    <t>HOM-COO-56320</t>
  </si>
  <si>
    <t>AMZ26-00204</t>
  </si>
  <si>
    <t>HOM-KIT-70833</t>
  </si>
  <si>
    <t>AMZ26-00205</t>
  </si>
  <si>
    <t>Kavya Gupta</t>
  </si>
  <si>
    <t>BEA-HAI-26862</t>
  </si>
  <si>
    <t>AMZ26-00206</t>
  </si>
  <si>
    <t>Rahul Patel</t>
  </si>
  <si>
    <t>FAS-WOM-30160</t>
  </si>
  <si>
    <t>AMZ26-00207</t>
  </si>
  <si>
    <t>Diya Nair</t>
  </si>
  <si>
    <t>FAS-MEN-13099</t>
  </si>
  <si>
    <t>AMZ26-00208</t>
  </si>
  <si>
    <t>HOM-KIT-44788</t>
  </si>
  <si>
    <t>AMZ26-00209</t>
  </si>
  <si>
    <t>GRO-BEV-18459</t>
  </si>
  <si>
    <t>AMZ26-00210</t>
  </si>
  <si>
    <t>FAS-FOO-38735</t>
  </si>
  <si>
    <t>AMZ26-00211</t>
  </si>
  <si>
    <t>BEA-MAK-79189</t>
  </si>
  <si>
    <t>AMZ26-00212</t>
  </si>
  <si>
    <t>Meera Kumar</t>
  </si>
  <si>
    <t>GRO-SNA-10881</t>
  </si>
  <si>
    <t>AMZ26-00213</t>
  </si>
  <si>
    <t>Pooja Das</t>
  </si>
  <si>
    <t>ELE-ACC-80605</t>
  </si>
  <si>
    <t>AMZ26-00214</t>
  </si>
  <si>
    <t>BEA-HAI-41044</t>
  </si>
  <si>
    <t>AMZ26-00215</t>
  </si>
  <si>
    <t>Diya Iyer</t>
  </si>
  <si>
    <t>ELE-ACC-31616</t>
  </si>
  <si>
    <t>AMZ26-00216</t>
  </si>
  <si>
    <t>GRO-BEV-95713</t>
  </si>
  <si>
    <t>AMZ26-00217</t>
  </si>
  <si>
    <t>ELE-MOB-82023</t>
  </si>
  <si>
    <t>AMZ26-00218</t>
  </si>
  <si>
    <t>Nikhil Patel</t>
  </si>
  <si>
    <t>ELE-MOB-66731</t>
  </si>
  <si>
    <t>AMZ26-00219</t>
  </si>
  <si>
    <t>Sai Kumar</t>
  </si>
  <si>
    <t>BEA-SKI-26657</t>
  </si>
  <si>
    <t>AMZ26-00220</t>
  </si>
  <si>
    <t>Diya Kumar</t>
  </si>
  <si>
    <t>BEA-HAI-80758</t>
  </si>
  <si>
    <t>AMZ26-00221</t>
  </si>
  <si>
    <t>Rohan Verma</t>
  </si>
  <si>
    <t>FAS-MEN-77303</t>
  </si>
  <si>
    <t>AMZ26-00222</t>
  </si>
  <si>
    <t>Meera Gupta</t>
  </si>
  <si>
    <t>ELE-ACC-57465</t>
  </si>
  <si>
    <t>AMZ26-00223</t>
  </si>
  <si>
    <t>Vihaan Reddy</t>
  </si>
  <si>
    <t>ELE-MOB-12341</t>
  </si>
  <si>
    <t>AMZ26-00224</t>
  </si>
  <si>
    <t>FAS-FOO-27915</t>
  </si>
  <si>
    <t>AMZ26-00225</t>
  </si>
  <si>
    <t>FAS-WOM-48181</t>
  </si>
  <si>
    <t>AMZ26-00226</t>
  </si>
  <si>
    <t>FAS-MEN-16389</t>
  </si>
  <si>
    <t>AMZ26-00227</t>
  </si>
  <si>
    <t>Nandini Iyer</t>
  </si>
  <si>
    <t>BEA-SKI-86998</t>
  </si>
  <si>
    <t>AMZ26-00228</t>
  </si>
  <si>
    <t>Rahul Yadav</t>
  </si>
  <si>
    <t>FAS-MEN-63766</t>
  </si>
  <si>
    <t>AMZ26-00229</t>
  </si>
  <si>
    <t>HOM-KIT-60535</t>
  </si>
  <si>
    <t>AMZ26-00230</t>
  </si>
  <si>
    <t>Vivek Verma</t>
  </si>
  <si>
    <t>FAS-WOM-57172</t>
  </si>
  <si>
    <t>AMZ26-00231</t>
  </si>
  <si>
    <t>GRO-STA-79205</t>
  </si>
  <si>
    <t>AMZ26-00232</t>
  </si>
  <si>
    <t>Sneha Patel</t>
  </si>
  <si>
    <t>FAS-FOO-14016</t>
  </si>
  <si>
    <t>AMZ26-00233</t>
  </si>
  <si>
    <t>BEA-HAI-44072</t>
  </si>
  <si>
    <t>Out of Stock</t>
  </si>
  <si>
    <t>AMZ26-00234</t>
  </si>
  <si>
    <t>BEA-MAK-27798</t>
  </si>
  <si>
    <t>AMZ26-00235</t>
  </si>
  <si>
    <t>FAS-FOO-74511</t>
  </si>
  <si>
    <t>AMZ26-00236</t>
  </si>
  <si>
    <t>Aditya Kumar</t>
  </si>
  <si>
    <t>HOM-HOM-87439</t>
  </si>
  <si>
    <t>AMZ26-00237</t>
  </si>
  <si>
    <t>Rahul Jain</t>
  </si>
  <si>
    <t>BEA-MAK-64878</t>
  </si>
  <si>
    <t>AMZ26-00238</t>
  </si>
  <si>
    <t>ELE-MOB-88662</t>
  </si>
  <si>
    <t>AMZ26-00239</t>
  </si>
  <si>
    <t>Aditya Iyer</t>
  </si>
  <si>
    <t>GRO-BEV-69118</t>
  </si>
  <si>
    <t>AMZ26-00240</t>
  </si>
  <si>
    <t>GRO-STA-65023</t>
  </si>
  <si>
    <t>AMZ26-00241</t>
  </si>
  <si>
    <t>Rohan Reddy</t>
  </si>
  <si>
    <t>BEA-HAI-96775</t>
  </si>
  <si>
    <t>AMZ26-00242</t>
  </si>
  <si>
    <t>BEA-SKI-40280</t>
  </si>
  <si>
    <t>AMZ26-00243</t>
  </si>
  <si>
    <t>FAS-WOM-97795</t>
  </si>
  <si>
    <t>AMZ26-00244</t>
  </si>
  <si>
    <t>HOM-KIT-68866</t>
  </si>
  <si>
    <t>AMZ26-00245</t>
  </si>
  <si>
    <t>Diya Das</t>
  </si>
  <si>
    <t>BEA-SKI-91777</t>
  </si>
  <si>
    <t>AMZ26-00246</t>
  </si>
  <si>
    <t>FAS-WOM-20573</t>
  </si>
  <si>
    <t>AMZ26-00247</t>
  </si>
  <si>
    <t>BEA-SKI-96009</t>
  </si>
  <si>
    <t>AMZ26-00248</t>
  </si>
  <si>
    <t>HOM-HOM-94691</t>
  </si>
  <si>
    <t>AMZ26-00249</t>
  </si>
  <si>
    <t>Aarav Nair</t>
  </si>
  <si>
    <t>BEA-HAI-87038</t>
  </si>
  <si>
    <t>AMZ26-00250</t>
  </si>
  <si>
    <t>Rahul Shetty</t>
  </si>
  <si>
    <t>HOM-KIT-71507</t>
  </si>
  <si>
    <t>AMZ26-00251</t>
  </si>
  <si>
    <t>ELE-LAP-71387</t>
  </si>
  <si>
    <t>AMZ26-00252</t>
  </si>
  <si>
    <t>Rohan Iyer</t>
  </si>
  <si>
    <t>HOM-HOM-72596</t>
  </si>
  <si>
    <t>AMZ26-00253</t>
  </si>
  <si>
    <t>HOM-COO-88836</t>
  </si>
  <si>
    <t>AMZ26-00254</t>
  </si>
  <si>
    <t>GRO-STA-80050</t>
  </si>
  <si>
    <t>AMZ26-00255</t>
  </si>
  <si>
    <t>HOM-KIT-83707</t>
  </si>
  <si>
    <t>AMZ26-00256</t>
  </si>
  <si>
    <t>ELE-MOB-17334</t>
  </si>
  <si>
    <t>AMZ26-00257</t>
  </si>
  <si>
    <t>Nikhil Yadav</t>
  </si>
  <si>
    <t>BEA-MAK-90785</t>
  </si>
  <si>
    <t>AMZ26-00258</t>
  </si>
  <si>
    <t>Kiran Joshi</t>
  </si>
  <si>
    <t>GRO-BEV-10101</t>
  </si>
  <si>
    <t>AMZ26-00259</t>
  </si>
  <si>
    <t>FAS-MEN-47993</t>
  </si>
  <si>
    <t>AMZ26-00260</t>
  </si>
  <si>
    <t>BEA-SKI-14747</t>
  </si>
  <si>
    <t>AMZ26-00261</t>
  </si>
  <si>
    <t>ELE-MOB-74772</t>
  </si>
  <si>
    <t>AMZ26-00262</t>
  </si>
  <si>
    <t>BEA-SKI-93436</t>
  </si>
  <si>
    <t>AMZ26-00263</t>
  </si>
  <si>
    <t>Sai Iyer</t>
  </si>
  <si>
    <t>ELE-LAP-13576</t>
  </si>
  <si>
    <t>AMZ26-00264</t>
  </si>
  <si>
    <t>Sai Singh</t>
  </si>
  <si>
    <t>BEA-HAI-51765</t>
  </si>
  <si>
    <t>AMZ26-00265</t>
  </si>
  <si>
    <t>ELE-LAP-92897</t>
  </si>
  <si>
    <t>AMZ26-00266</t>
  </si>
  <si>
    <t>GRO-STA-60483</t>
  </si>
  <si>
    <t>AMZ26-00267</t>
  </si>
  <si>
    <t>Rohan Patel</t>
  </si>
  <si>
    <t>BEA-MAK-80558</t>
  </si>
  <si>
    <t>AMZ26-00268</t>
  </si>
  <si>
    <t>Nikhil Verma</t>
  </si>
  <si>
    <t>GRO-SNA-24099</t>
  </si>
  <si>
    <t>AMZ26-00269</t>
  </si>
  <si>
    <t>Nikhil Reddy</t>
  </si>
  <si>
    <t>BEA-MAK-93784</t>
  </si>
  <si>
    <t>AMZ26-00270</t>
  </si>
  <si>
    <t>Isha Nair</t>
  </si>
  <si>
    <t>HOM-KIT-63766</t>
  </si>
  <si>
    <t>AMZ26-00271</t>
  </si>
  <si>
    <t>BEA-SKI-11887</t>
  </si>
  <si>
    <t>AMZ26-00272</t>
  </si>
  <si>
    <t>BEA-MAK-15331</t>
  </si>
  <si>
    <t>AMZ26-00273</t>
  </si>
  <si>
    <t>Nandini Reddy</t>
  </si>
  <si>
    <t>GRO-BEV-52539</t>
  </si>
  <si>
    <t>AMZ26-00274</t>
  </si>
  <si>
    <t>FAS-WOM-24085</t>
  </si>
  <si>
    <t>AMZ26-00275</t>
  </si>
  <si>
    <t>BEA-SKI-90519</t>
  </si>
  <si>
    <t>AMZ26-00276</t>
  </si>
  <si>
    <t>ELE-MOB-60927</t>
  </si>
  <si>
    <t>AMZ26-00277</t>
  </si>
  <si>
    <t>GRO-BEV-81256</t>
  </si>
  <si>
    <t>AMZ26-00278</t>
  </si>
  <si>
    <t>Vihaan Shetty</t>
  </si>
  <si>
    <t>HOM-HOM-38089</t>
  </si>
  <si>
    <t>AMZ26-00279</t>
  </si>
  <si>
    <t>GRO-BEV-50986</t>
  </si>
  <si>
    <t>AMZ26-00280</t>
  </si>
  <si>
    <t>BEA-HAI-98081</t>
  </si>
  <si>
    <t>AMZ26-00281</t>
  </si>
  <si>
    <t>BEA-SKI-61792</t>
  </si>
  <si>
    <t>AMZ26-00282</t>
  </si>
  <si>
    <t>HOM-KIT-18539</t>
  </si>
  <si>
    <t>AMZ26-00283</t>
  </si>
  <si>
    <t>Vivek Jain</t>
  </si>
  <si>
    <t>ELE-MOB-47142</t>
  </si>
  <si>
    <t>AMZ26-00284</t>
  </si>
  <si>
    <t>HOM-COO-28021</t>
  </si>
  <si>
    <t>AMZ26-00285</t>
  </si>
  <si>
    <t>Priya Kumar</t>
  </si>
  <si>
    <t>HOM-HOM-97934</t>
  </si>
  <si>
    <t>AMZ26-00286</t>
  </si>
  <si>
    <t>GRO-BEV-75608</t>
  </si>
  <si>
    <t>AMZ26-00287</t>
  </si>
  <si>
    <t>BEA-HAI-51017</t>
  </si>
  <si>
    <t>AMZ26-00288</t>
  </si>
  <si>
    <t>GRO-BEV-13331</t>
  </si>
  <si>
    <t>AMZ26-00289</t>
  </si>
  <si>
    <t>HOM-HOM-75910</t>
  </si>
  <si>
    <t>AMZ26-00290</t>
  </si>
  <si>
    <t>Ananya Nair</t>
  </si>
  <si>
    <t>BEA-HAI-11331</t>
  </si>
  <si>
    <t>AMZ26-00291</t>
  </si>
  <si>
    <t>ELE-MOB-12419</t>
  </si>
  <si>
    <t>AMZ26-00292</t>
  </si>
  <si>
    <t>Priya Iyer</t>
  </si>
  <si>
    <t>FAS-MEN-20341</t>
  </si>
  <si>
    <t>AMZ26-00293</t>
  </si>
  <si>
    <t>BEA-SKI-62705</t>
  </si>
  <si>
    <t>AMZ26-00294</t>
  </si>
  <si>
    <t>FAS-WOM-37458</t>
  </si>
  <si>
    <t>AMZ26-00295</t>
  </si>
  <si>
    <t>Ananya Joshi</t>
  </si>
  <si>
    <t>HOM-HOM-19781</t>
  </si>
  <si>
    <t>AMZ26-00296</t>
  </si>
  <si>
    <t>ELE-LAP-83848</t>
  </si>
  <si>
    <t>AMZ26-00297</t>
  </si>
  <si>
    <t>BEA-HAI-64219</t>
  </si>
  <si>
    <t>AMZ26-00298</t>
  </si>
  <si>
    <t>BEA-SKI-98676</t>
  </si>
  <si>
    <t>AMZ26-00299</t>
  </si>
  <si>
    <t>BEA-MAK-21154</t>
  </si>
  <si>
    <t>AMZ26-00300</t>
  </si>
  <si>
    <t>ELE-LAP-69340</t>
  </si>
  <si>
    <t>AMZ26-00301</t>
  </si>
  <si>
    <t>Kiran Reddy</t>
  </si>
  <si>
    <t>ELE-MOB-11129</t>
  </si>
  <si>
    <t>AMZ26-00302</t>
  </si>
  <si>
    <t>Vivek Patel</t>
  </si>
  <si>
    <t>GRO-BEV-15157</t>
  </si>
  <si>
    <t>AMZ26-00303</t>
  </si>
  <si>
    <t>Aditi Das</t>
  </si>
  <si>
    <t>FAS-MEN-74027</t>
  </si>
  <si>
    <t>AMZ26-00304</t>
  </si>
  <si>
    <t>Diya Patel</t>
  </si>
  <si>
    <t>FAS-FOO-36692</t>
  </si>
  <si>
    <t>AMZ26-00305</t>
  </si>
  <si>
    <t>HOM-KIT-65001</t>
  </si>
  <si>
    <t>AMZ26-00306</t>
  </si>
  <si>
    <t>BEA-MAK-18408</t>
  </si>
  <si>
    <t>AMZ26-00307</t>
  </si>
  <si>
    <t>BEA-SKI-44114</t>
  </si>
  <si>
    <t>AMZ26-00308</t>
  </si>
  <si>
    <t>Vihaan Rao</t>
  </si>
  <si>
    <t>ELE-LAP-47814</t>
  </si>
  <si>
    <t>AMZ26-00309</t>
  </si>
  <si>
    <t>GRO-BEV-28761</t>
  </si>
  <si>
    <t>AMZ26-00310</t>
  </si>
  <si>
    <t>Pooja Iyer</t>
  </si>
  <si>
    <t>FAS-MEN-78476</t>
  </si>
  <si>
    <t>AMZ26-00311</t>
  </si>
  <si>
    <t>GRO-BEV-16759</t>
  </si>
  <si>
    <t>AMZ26-00312</t>
  </si>
  <si>
    <t>Pooja Patel</t>
  </si>
  <si>
    <t>HOM-HOM-25040</t>
  </si>
  <si>
    <t>AMZ26-00313</t>
  </si>
  <si>
    <t>FAS-FOO-23962</t>
  </si>
  <si>
    <t>AMZ26-00314</t>
  </si>
  <si>
    <t>FAS-MEN-62691</t>
  </si>
  <si>
    <t>AMZ26-00315</t>
  </si>
  <si>
    <t>Nandini Shetty</t>
  </si>
  <si>
    <t>ELE-LAP-48270</t>
  </si>
  <si>
    <t>AMZ26-00316</t>
  </si>
  <si>
    <t>BEA-HAI-82212</t>
  </si>
  <si>
    <t>AMZ26-00317</t>
  </si>
  <si>
    <t>FAS-WOM-28652</t>
  </si>
  <si>
    <t>AMZ26-00318</t>
  </si>
  <si>
    <t>GRO-STA-97600</t>
  </si>
  <si>
    <t>AMZ26-00319</t>
  </si>
  <si>
    <t>HOM-KIT-61105</t>
  </si>
  <si>
    <t>AMZ26-00320</t>
  </si>
  <si>
    <t>HOM-COO-13581</t>
  </si>
  <si>
    <t>AMZ26-00321</t>
  </si>
  <si>
    <t>BEA-SKI-39898</t>
  </si>
  <si>
    <t>AMZ26-00322</t>
  </si>
  <si>
    <t>Nandini Patel</t>
  </si>
  <si>
    <t>BEA-HAI-23767</t>
  </si>
  <si>
    <t>AMZ26-00323</t>
  </si>
  <si>
    <t>Rohan Gupta</t>
  </si>
  <si>
    <t>HOM-KIT-63776</t>
  </si>
  <si>
    <t>AMZ26-00324</t>
  </si>
  <si>
    <t>FAS-WOM-35836</t>
  </si>
  <si>
    <t>AMZ26-00325</t>
  </si>
  <si>
    <t>Sneha Jain</t>
  </si>
  <si>
    <t>HOM-HOM-35542</t>
  </si>
  <si>
    <t>AMZ26-00326</t>
  </si>
  <si>
    <t>Pooja Jain</t>
  </si>
  <si>
    <t>ELE-LAP-46698</t>
  </si>
  <si>
    <t>AMZ26-00327</t>
  </si>
  <si>
    <t>ELE-LAP-66001</t>
  </si>
  <si>
    <t>AMZ26-00328</t>
  </si>
  <si>
    <t>GRO-STA-98799</t>
  </si>
  <si>
    <t>AMZ26-00329</t>
  </si>
  <si>
    <t>FAS-WOM-25685</t>
  </si>
  <si>
    <t>AMZ26-00330</t>
  </si>
  <si>
    <t>Diya Jain</t>
  </si>
  <si>
    <t>HOM-COO-18824</t>
  </si>
  <si>
    <t>AMZ26-00331</t>
  </si>
  <si>
    <t>Diya Yadav</t>
  </si>
  <si>
    <t>BEA-HAI-99864</t>
  </si>
  <si>
    <t>AMZ26-00332</t>
  </si>
  <si>
    <t>GRO-STA-29501</t>
  </si>
  <si>
    <t>AMZ26-00333</t>
  </si>
  <si>
    <t>ELE-MOB-95055</t>
  </si>
  <si>
    <t>AMZ26-00334</t>
  </si>
  <si>
    <t>ELE-ACC-72046</t>
  </si>
  <si>
    <t>AMZ26-00335</t>
  </si>
  <si>
    <t>FAS-WOM-47411</t>
  </si>
  <si>
    <t>AMZ26-00336</t>
  </si>
  <si>
    <t>Arjun Yadav</t>
  </si>
  <si>
    <t>HOM-KIT-92691</t>
  </si>
  <si>
    <t>AMZ26-00337</t>
  </si>
  <si>
    <t>Nandini Rao</t>
  </si>
  <si>
    <t>GRO-SNA-63809</t>
  </si>
  <si>
    <t>AMZ26-00338</t>
  </si>
  <si>
    <t>BEA-MAK-94676</t>
  </si>
  <si>
    <t>AMZ26-00339</t>
  </si>
  <si>
    <t>Aarav Singh</t>
  </si>
  <si>
    <t>FAS-MEN-96312</t>
  </si>
  <si>
    <t>AMZ26-00340</t>
  </si>
  <si>
    <t>ELE-ACC-40221</t>
  </si>
  <si>
    <t>AMZ26-00341</t>
  </si>
  <si>
    <t>ELE-ACC-35326</t>
  </si>
  <si>
    <t>AMZ26-00342</t>
  </si>
  <si>
    <t>GRO-SNA-15154</t>
  </si>
  <si>
    <t>AMZ26-00343</t>
  </si>
  <si>
    <t>HOM-KIT-27299</t>
  </si>
  <si>
    <t>AMZ26-00344</t>
  </si>
  <si>
    <t>Rahul Iyer</t>
  </si>
  <si>
    <t>FAS-WOM-27732</t>
  </si>
  <si>
    <t>AMZ26-00345</t>
  </si>
  <si>
    <t>Aditya Das</t>
  </si>
  <si>
    <t>ELE-LAP-74320</t>
  </si>
  <si>
    <t>AMZ26-00346</t>
  </si>
  <si>
    <t>GRO-BEV-21340</t>
  </si>
  <si>
    <t>AMZ26-00347</t>
  </si>
  <si>
    <t>Priya Jain</t>
  </si>
  <si>
    <t>BEA-MAK-23125</t>
  </si>
  <si>
    <t>AMZ26-00348</t>
  </si>
  <si>
    <t>ELE-LAP-18617</t>
  </si>
  <si>
    <t>AMZ26-00349</t>
  </si>
  <si>
    <t>ELE-LAP-93286</t>
  </si>
  <si>
    <t>AMZ26-00350</t>
  </si>
  <si>
    <t>FAS-FOO-29392</t>
  </si>
  <si>
    <t>AMZ26-00351</t>
  </si>
  <si>
    <t>FAS-WOM-75494</t>
  </si>
  <si>
    <t>AMZ26-00352</t>
  </si>
  <si>
    <t>HOM-HOM-26717</t>
  </si>
  <si>
    <t>AMZ26-00353</t>
  </si>
  <si>
    <t>FAS-WOM-13149</t>
  </si>
  <si>
    <t>AMZ26-00354</t>
  </si>
  <si>
    <t>Kiran Rao</t>
  </si>
  <si>
    <t>HOM-COO-18270</t>
  </si>
  <si>
    <t>AMZ26-00355</t>
  </si>
  <si>
    <t>FAS-WOM-17265</t>
  </si>
  <si>
    <t>AMZ26-00356</t>
  </si>
  <si>
    <t>ELE-LAP-81113</t>
  </si>
  <si>
    <t>AMZ26-00357</t>
  </si>
  <si>
    <t>BEA-MAK-92848</t>
  </si>
  <si>
    <t>AMZ26-00358</t>
  </si>
  <si>
    <t>BEA-MAK-10103</t>
  </si>
  <si>
    <t>AMZ26-00359</t>
  </si>
  <si>
    <t>BEA-MAK-87594</t>
  </si>
  <si>
    <t>AMZ26-00360</t>
  </si>
  <si>
    <t>Sai Shetty</t>
  </si>
  <si>
    <t>HOM-KIT-20129</t>
  </si>
  <si>
    <t>AMZ26-00361</t>
  </si>
  <si>
    <t>Kavya Joshi</t>
  </si>
  <si>
    <t>FAS-WOM-11180</t>
  </si>
  <si>
    <t>AMZ26-00362</t>
  </si>
  <si>
    <t>ELE-MOB-23389</t>
  </si>
  <si>
    <t>AMZ26-00363</t>
  </si>
  <si>
    <t>FAS-FOO-23720</t>
  </si>
  <si>
    <t>AMZ26-00364</t>
  </si>
  <si>
    <t>Aditi Nair</t>
  </si>
  <si>
    <t>FAS-WOM-13538</t>
  </si>
  <si>
    <t>AMZ26-00365</t>
  </si>
  <si>
    <t>Meera Rao</t>
  </si>
  <si>
    <t>FAS-FOO-91365</t>
  </si>
  <si>
    <t>AMZ26-00366</t>
  </si>
  <si>
    <t>FAS-WOM-45034</t>
  </si>
  <si>
    <t>AMZ26-00367</t>
  </si>
  <si>
    <t>Ananya Jain</t>
  </si>
  <si>
    <t>BEA-SKI-28280</t>
  </si>
  <si>
    <t>AMZ26-00368</t>
  </si>
  <si>
    <t>Nikhil Kumar</t>
  </si>
  <si>
    <t>GRO-STA-21566</t>
  </si>
  <si>
    <t>AMZ26-00369</t>
  </si>
  <si>
    <t>GRO-BEV-69595</t>
  </si>
  <si>
    <t>AMZ26-00370</t>
  </si>
  <si>
    <t>HOM-COO-89677</t>
  </si>
  <si>
    <t>AMZ26-00371</t>
  </si>
  <si>
    <t>FAS-WOM-91561</t>
  </si>
  <si>
    <t>AMZ26-00372</t>
  </si>
  <si>
    <t>HOM-KIT-34202</t>
  </si>
  <si>
    <t>AMZ26-00373</t>
  </si>
  <si>
    <t>GRO-SNA-19680</t>
  </si>
  <si>
    <t>AMZ26-00374</t>
  </si>
  <si>
    <t>GRO-STA-13898</t>
  </si>
  <si>
    <t>AMZ26-00375</t>
  </si>
  <si>
    <t>ELE-MOB-65267</t>
  </si>
  <si>
    <t>AMZ26-00376</t>
  </si>
  <si>
    <t>Aditya Jain</t>
  </si>
  <si>
    <t>BEA-MAK-77451</t>
  </si>
  <si>
    <t>AMZ26-00377</t>
  </si>
  <si>
    <t>HOM-COO-48303</t>
  </si>
  <si>
    <t>AMZ26-00378</t>
  </si>
  <si>
    <t>GRO-BEV-18128</t>
  </si>
  <si>
    <t>AMZ26-00379</t>
  </si>
  <si>
    <t>ELE-LAP-65187</t>
  </si>
  <si>
    <t>AMZ26-00380</t>
  </si>
  <si>
    <t>Meera Singh</t>
  </si>
  <si>
    <t>GRO-BEV-33544</t>
  </si>
  <si>
    <t>AMZ26-00381</t>
  </si>
  <si>
    <t>GRO-STA-39990</t>
  </si>
  <si>
    <t>AMZ26-00382</t>
  </si>
  <si>
    <t>GRO-BEV-34710</t>
  </si>
  <si>
    <t>AMZ26-00383</t>
  </si>
  <si>
    <t>HOM-KIT-61158</t>
  </si>
  <si>
    <t>AMZ26-00384</t>
  </si>
  <si>
    <t>HOM-COO-76709</t>
  </si>
  <si>
    <t>AMZ26-00385</t>
  </si>
  <si>
    <t>Aditya Sharma</t>
  </si>
  <si>
    <t>HOM-HOM-35399</t>
  </si>
  <si>
    <t>AMZ26-00386</t>
  </si>
  <si>
    <t>ELE-LAP-40091</t>
  </si>
  <si>
    <t>AMZ26-00387</t>
  </si>
  <si>
    <t>GRO-BEV-91474</t>
  </si>
  <si>
    <t>AMZ26-00388</t>
  </si>
  <si>
    <t>ELE-MOB-83609</t>
  </si>
  <si>
    <t>AMZ26-00389</t>
  </si>
  <si>
    <t>GRO-SNA-54671</t>
  </si>
  <si>
    <t>AMZ26-00390</t>
  </si>
  <si>
    <t>HOM-COO-89118</t>
  </si>
  <si>
    <t>AMZ26-00391</t>
  </si>
  <si>
    <t>BEA-MAK-99019</t>
  </si>
  <si>
    <t>AMZ26-00392</t>
  </si>
  <si>
    <t>Kiran Shetty</t>
  </si>
  <si>
    <t>FAS-FOO-51172</t>
  </si>
  <si>
    <t>AMZ26-00393</t>
  </si>
  <si>
    <t>GRO-STA-75088</t>
  </si>
  <si>
    <t>AMZ26-00394</t>
  </si>
  <si>
    <t>FAS-MEN-98420</t>
  </si>
  <si>
    <t>AMZ26-00395</t>
  </si>
  <si>
    <t>Aarav Jain</t>
  </si>
  <si>
    <t>FAS-MEN-27986</t>
  </si>
  <si>
    <t>AMZ26-00396</t>
  </si>
  <si>
    <t>ELE-LAP-86970</t>
  </si>
  <si>
    <t>AMZ26-00397</t>
  </si>
  <si>
    <t>ELE-MOB-58465</t>
  </si>
  <si>
    <t>AMZ26-00398</t>
  </si>
  <si>
    <t>Meera Verma</t>
  </si>
  <si>
    <t>FAS-FOO-75069</t>
  </si>
  <si>
    <t>AMZ26-00399</t>
  </si>
  <si>
    <t>HOM-KIT-63233</t>
  </si>
  <si>
    <t>AMZ26-00400</t>
  </si>
  <si>
    <t>FAS-MEN-68943</t>
  </si>
  <si>
    <t>AMZ26-00401</t>
  </si>
  <si>
    <t>ELE-ACC-51040</t>
  </si>
  <si>
    <t>AMZ26-00402</t>
  </si>
  <si>
    <t>Kiran Jain</t>
  </si>
  <si>
    <t>FAS-FOO-94856</t>
  </si>
  <si>
    <t>AMZ26-00403</t>
  </si>
  <si>
    <t>FAS-FOO-55692</t>
  </si>
  <si>
    <t>AMZ26-00404</t>
  </si>
  <si>
    <t>Sneha Nair</t>
  </si>
  <si>
    <t>HOM-HOM-39258</t>
  </si>
  <si>
    <t>AMZ26-00405</t>
  </si>
  <si>
    <t>BEA-HAI-63218</t>
  </si>
  <si>
    <t>AMZ26-00406</t>
  </si>
  <si>
    <t>Pooja Rao</t>
  </si>
  <si>
    <t>BEA-MAK-23575</t>
  </si>
  <si>
    <t>AMZ26-00407</t>
  </si>
  <si>
    <t>FAS-FOO-32607</t>
  </si>
  <si>
    <t>AMZ26-00408</t>
  </si>
  <si>
    <t>Aditi Reddy</t>
  </si>
  <si>
    <t>GRO-STA-61336</t>
  </si>
  <si>
    <t>AMZ26-00409</t>
  </si>
  <si>
    <t>BEA-SKI-48874</t>
  </si>
  <si>
    <t>AMZ26-00410</t>
  </si>
  <si>
    <t>GRO-BEV-46663</t>
  </si>
  <si>
    <t>AMZ26-00411</t>
  </si>
  <si>
    <t>GRO-STA-68035</t>
  </si>
  <si>
    <t>AMZ26-00412</t>
  </si>
  <si>
    <t>FAS-MEN-60123</t>
  </si>
  <si>
    <t>AMZ26-00413</t>
  </si>
  <si>
    <t>HOM-COO-87314</t>
  </si>
  <si>
    <t>AMZ26-00414</t>
  </si>
  <si>
    <t>Nikhil Shetty</t>
  </si>
  <si>
    <t>ELE-ACC-92639</t>
  </si>
  <si>
    <t>AMZ26-00415</t>
  </si>
  <si>
    <t>HOM-COO-62281</t>
  </si>
  <si>
    <t>AMZ26-00416</t>
  </si>
  <si>
    <t>FAS-WOM-49141</t>
  </si>
  <si>
    <t>AMZ26-00417</t>
  </si>
  <si>
    <t>FAS-WOM-64750</t>
  </si>
  <si>
    <t>AMZ26-00418</t>
  </si>
  <si>
    <t>GRO-STA-84892</t>
  </si>
  <si>
    <t>AMZ26-00419</t>
  </si>
  <si>
    <t>ELE-ACC-28311</t>
  </si>
  <si>
    <t>AMZ26-00420</t>
  </si>
  <si>
    <t>Isha Jain</t>
  </si>
  <si>
    <t>GRO-STA-88178</t>
  </si>
  <si>
    <t>AMZ26-00421</t>
  </si>
  <si>
    <t>HOM-HOM-47057</t>
  </si>
  <si>
    <t>AMZ26-00422</t>
  </si>
  <si>
    <t>HOM-COO-45468</t>
  </si>
  <si>
    <t>AMZ26-00423</t>
  </si>
  <si>
    <t>HOM-HOM-94675</t>
  </si>
  <si>
    <t>AMZ26-00424</t>
  </si>
  <si>
    <t>GRO-SNA-51391</t>
  </si>
  <si>
    <t>AMZ26-00425</t>
  </si>
  <si>
    <t>HOM-COO-20446</t>
  </si>
  <si>
    <t>AMZ26-00426</t>
  </si>
  <si>
    <t>HOM-COO-99444</t>
  </si>
  <si>
    <t>AMZ26-00427</t>
  </si>
  <si>
    <t>Nandini Singh</t>
  </si>
  <si>
    <t>HOM-COO-29139</t>
  </si>
  <si>
    <t>AMZ26-00428</t>
  </si>
  <si>
    <t>Priya Das</t>
  </si>
  <si>
    <t>HOM-COO-67806</t>
  </si>
  <si>
    <t>AMZ26-00429</t>
  </si>
  <si>
    <t>ELE-ACC-70260</t>
  </si>
  <si>
    <t>AMZ26-00430</t>
  </si>
  <si>
    <t>FAS-FOO-58671</t>
  </si>
  <si>
    <t>AMZ26-00431</t>
  </si>
  <si>
    <t>HOM-COO-96180</t>
  </si>
  <si>
    <t>AMZ26-00432</t>
  </si>
  <si>
    <t>HOM-COO-99797</t>
  </si>
  <si>
    <t>AMZ26-00433</t>
  </si>
  <si>
    <t>FAS-WOM-43314</t>
  </si>
  <si>
    <t>AMZ26-00434</t>
  </si>
  <si>
    <t>FAS-WOM-54321</t>
  </si>
  <si>
    <t>AMZ26-00435</t>
  </si>
  <si>
    <t>Vivek Gupta</t>
  </si>
  <si>
    <t>GRO-SNA-22147</t>
  </si>
  <si>
    <t>AMZ26-00436</t>
  </si>
  <si>
    <t>ELE-MOB-99247</t>
  </si>
  <si>
    <t>AMZ26-00437</t>
  </si>
  <si>
    <t>Aditi Iyer</t>
  </si>
  <si>
    <t>HOM-KIT-22695</t>
  </si>
  <si>
    <t>AMZ26-00438</t>
  </si>
  <si>
    <t>GRO-BEV-21037</t>
  </si>
  <si>
    <t>AMZ26-00439</t>
  </si>
  <si>
    <t>ELE-LAP-67231</t>
  </si>
  <si>
    <t>AMZ26-00440</t>
  </si>
  <si>
    <t>BEA-HAI-89166</t>
  </si>
  <si>
    <t>AMZ26-00441</t>
  </si>
  <si>
    <t>ELE-LAP-15488</t>
  </si>
  <si>
    <t>AMZ26-00442</t>
  </si>
  <si>
    <t>HOM-COO-75184</t>
  </si>
  <si>
    <t>AMZ26-00443</t>
  </si>
  <si>
    <t>FAS-MEN-24774</t>
  </si>
  <si>
    <t>AMZ26-00444</t>
  </si>
  <si>
    <t>GRO-SNA-40212</t>
  </si>
  <si>
    <t>AMZ26-00445</t>
  </si>
  <si>
    <t>HOM-COO-85122</t>
  </si>
  <si>
    <t>AMZ26-00446</t>
  </si>
  <si>
    <t>BEA-SKI-23440</t>
  </si>
  <si>
    <t>AMZ26-00447</t>
  </si>
  <si>
    <t>FAS-WOM-21500</t>
  </si>
  <si>
    <t>AMZ26-00448</t>
  </si>
  <si>
    <t>HOM-HOM-87742</t>
  </si>
  <si>
    <t>AMZ26-00449</t>
  </si>
  <si>
    <t>GRO-SNA-56032</t>
  </si>
  <si>
    <t>AMZ26-00450</t>
  </si>
  <si>
    <t>HOM-KIT-51702</t>
  </si>
  <si>
    <t>AMZ26-00451</t>
  </si>
  <si>
    <t>Rahul Nair</t>
  </si>
  <si>
    <t>BEA-SKI-93329</t>
  </si>
  <si>
    <t>AMZ26-00452</t>
  </si>
  <si>
    <t>Aarav Joshi</t>
  </si>
  <si>
    <t>FAS-WOM-72100</t>
  </si>
  <si>
    <t>AMZ26-00453</t>
  </si>
  <si>
    <t>ELE-MOB-63266</t>
  </si>
  <si>
    <t>AMZ26-00454</t>
  </si>
  <si>
    <t>ELE-ACC-70920</t>
  </si>
  <si>
    <t>AMZ26-00455</t>
  </si>
  <si>
    <t>FAS-WOM-34020</t>
  </si>
  <si>
    <t>AMZ26-00456</t>
  </si>
  <si>
    <t>Arjun Kumar</t>
  </si>
  <si>
    <t>GRO-BEV-19236</t>
  </si>
  <si>
    <t>AMZ26-00457</t>
  </si>
  <si>
    <t>GRO-BEV-31681</t>
  </si>
  <si>
    <t>AMZ26-00458</t>
  </si>
  <si>
    <t>HOM-HOM-12103</t>
  </si>
  <si>
    <t>AMZ26-00459</t>
  </si>
  <si>
    <t>FAS-MEN-25502</t>
  </si>
  <si>
    <t>AMZ26-00460</t>
  </si>
  <si>
    <t>GRO-BEV-81758</t>
  </si>
  <si>
    <t>AMZ26-00461</t>
  </si>
  <si>
    <t>Aarav Iyer</t>
  </si>
  <si>
    <t>ELE-ACC-27442</t>
  </si>
  <si>
    <t>AMZ26-00462</t>
  </si>
  <si>
    <t>Vivek Reddy</t>
  </si>
  <si>
    <t>BEA-MAK-40616</t>
  </si>
  <si>
    <t>AMZ26-00463</t>
  </si>
  <si>
    <t>FAS-WOM-47752</t>
  </si>
  <si>
    <t>AMZ26-00464</t>
  </si>
  <si>
    <t>Aditi Gupta</t>
  </si>
  <si>
    <t>FAS-WOM-58707</t>
  </si>
  <si>
    <t>AMZ26-00465</t>
  </si>
  <si>
    <t>GRO-BEV-54733</t>
  </si>
  <si>
    <t>AMZ26-00466</t>
  </si>
  <si>
    <t>FAS-MEN-18861</t>
  </si>
  <si>
    <t>AMZ26-00467</t>
  </si>
  <si>
    <t>FAS-MEN-61208</t>
  </si>
  <si>
    <t>AMZ26-00468</t>
  </si>
  <si>
    <t>BEA-HAI-89856</t>
  </si>
  <si>
    <t>AMZ26-00469</t>
  </si>
  <si>
    <t>HOM-KIT-82283</t>
  </si>
  <si>
    <t>AMZ26-00470</t>
  </si>
  <si>
    <t>HOM-KIT-26784</t>
  </si>
  <si>
    <t>AMZ26-00471</t>
  </si>
  <si>
    <t>GRO-SNA-86793</t>
  </si>
  <si>
    <t>AMZ26-00472</t>
  </si>
  <si>
    <t>ELE-LAP-62192</t>
  </si>
  <si>
    <t>AMZ26-00473</t>
  </si>
  <si>
    <t>FAS-WOM-14887</t>
  </si>
  <si>
    <t>AMZ26-00474</t>
  </si>
  <si>
    <t>Pooja Singh</t>
  </si>
  <si>
    <t>GRO-STA-52611</t>
  </si>
  <si>
    <t>AMZ26-00475</t>
  </si>
  <si>
    <t>Diya Sharma</t>
  </si>
  <si>
    <t>BEA-HAI-59554</t>
  </si>
  <si>
    <t>AMZ26-00476</t>
  </si>
  <si>
    <t>ELE-LAP-10306</t>
  </si>
  <si>
    <t>AMZ26-00477</t>
  </si>
  <si>
    <t>HOM-COO-76972</t>
  </si>
  <si>
    <t>AMZ26-00478</t>
  </si>
  <si>
    <t>BEA-HAI-31921</t>
  </si>
  <si>
    <t>AMZ26-00479</t>
  </si>
  <si>
    <t>GRO-BEV-33978</t>
  </si>
  <si>
    <t>AMZ26-00480</t>
  </si>
  <si>
    <t>GRO-STA-61771</t>
  </si>
  <si>
    <t>AMZ26-00481</t>
  </si>
  <si>
    <t>Arjun Reddy</t>
  </si>
  <si>
    <t>ELE-LAP-39721</t>
  </si>
  <si>
    <t>AMZ26-00482</t>
  </si>
  <si>
    <t>FAS-FOO-85804</t>
  </si>
  <si>
    <t>AMZ26-00483</t>
  </si>
  <si>
    <t>FAS-WOM-26027</t>
  </si>
  <si>
    <t>AMZ26-00484</t>
  </si>
  <si>
    <t>GRO-SNA-51642</t>
  </si>
  <si>
    <t>AMZ26-00485</t>
  </si>
  <si>
    <t>GRO-BEV-29443</t>
  </si>
  <si>
    <t>AMZ26-00486</t>
  </si>
  <si>
    <t>FAS-FOO-60618</t>
  </si>
  <si>
    <t>AMZ26-00487</t>
  </si>
  <si>
    <t>GRO-BEV-73761</t>
  </si>
  <si>
    <t>AMZ26-00488</t>
  </si>
  <si>
    <t>FAS-FOO-96493</t>
  </si>
  <si>
    <t>AMZ26-00489</t>
  </si>
  <si>
    <t>Sai Rao</t>
  </si>
  <si>
    <t>HOM-KIT-73284</t>
  </si>
  <si>
    <t>AMZ26-00490</t>
  </si>
  <si>
    <t>BEA-SKI-55553</t>
  </si>
  <si>
    <t>AMZ26-00491</t>
  </si>
  <si>
    <t>GRO-STA-48760</t>
  </si>
  <si>
    <t>AMZ26-00492</t>
  </si>
  <si>
    <t>Priya Sharma</t>
  </si>
  <si>
    <t>FAS-WOM-39828</t>
  </si>
  <si>
    <t>AMZ26-00493</t>
  </si>
  <si>
    <t>FAS-MEN-41952</t>
  </si>
  <si>
    <t>AMZ26-00494</t>
  </si>
  <si>
    <t>FAS-WOM-21029</t>
  </si>
  <si>
    <t>AMZ26-00495</t>
  </si>
  <si>
    <t>FAS-MEN-18313</t>
  </si>
  <si>
    <t>AMZ26-00496</t>
  </si>
  <si>
    <t>FAS-MEN-27398</t>
  </si>
  <si>
    <t>AMZ26-00497</t>
  </si>
  <si>
    <t>BEA-SKI-19679</t>
  </si>
  <si>
    <t>AMZ26-00498</t>
  </si>
  <si>
    <t>Pooja Shetty</t>
  </si>
  <si>
    <t>GRO-STA-47756</t>
  </si>
  <si>
    <t>AMZ26-00499</t>
  </si>
  <si>
    <t>BEA-HAI-87026</t>
  </si>
  <si>
    <t>AMZ26-00500</t>
  </si>
  <si>
    <t>HOM-HOM-89103</t>
  </si>
  <si>
    <t>AMZ26-00501</t>
  </si>
  <si>
    <t>HOM-KIT-72207</t>
  </si>
  <si>
    <t>AMZ26-00502</t>
  </si>
  <si>
    <t>Arjun Gupta</t>
  </si>
  <si>
    <t>HOM-KIT-37634</t>
  </si>
  <si>
    <t>AMZ26-00503</t>
  </si>
  <si>
    <t>ELE-ACC-66859</t>
  </si>
  <si>
    <t>AMZ26-00504</t>
  </si>
  <si>
    <t>GRO-BEV-51804</t>
  </si>
  <si>
    <t>AMZ26-00505</t>
  </si>
  <si>
    <t>HOM-HOM-69466</t>
  </si>
  <si>
    <t>AMZ26-00506</t>
  </si>
  <si>
    <t>ELE-ACC-35307</t>
  </si>
  <si>
    <t>AMZ26-00507</t>
  </si>
  <si>
    <t>Sai Nair</t>
  </si>
  <si>
    <t>ELE-ACC-80213</t>
  </si>
  <si>
    <t>AMZ26-00508</t>
  </si>
  <si>
    <t>HOM-HOM-67565</t>
  </si>
  <si>
    <t>AMZ26-00509</t>
  </si>
  <si>
    <t>Pooja Gupta</t>
  </si>
  <si>
    <t>GRO-STA-70011</t>
  </si>
  <si>
    <t>AMZ26-00510</t>
  </si>
  <si>
    <t>ELE-LAP-97225</t>
  </si>
  <si>
    <t>AMZ26-00511</t>
  </si>
  <si>
    <t>HOM-HOM-14109</t>
  </si>
  <si>
    <t>AMZ26-00512</t>
  </si>
  <si>
    <t>HOM-HOM-78324</t>
  </si>
  <si>
    <t>AMZ26-00513</t>
  </si>
  <si>
    <t>HOM-KIT-44395</t>
  </si>
  <si>
    <t>AMZ26-00514</t>
  </si>
  <si>
    <t>Kavya Shetty</t>
  </si>
  <si>
    <t>FAS-FOO-32091</t>
  </si>
  <si>
    <t>AMZ26-00515</t>
  </si>
  <si>
    <t>Sai Yadav</t>
  </si>
  <si>
    <t>BEA-SKI-54947</t>
  </si>
  <si>
    <t>AMZ26-00516</t>
  </si>
  <si>
    <t>HOM-KIT-48295</t>
  </si>
  <si>
    <t>AMZ26-00517</t>
  </si>
  <si>
    <t>BEA-HAI-24411</t>
  </si>
  <si>
    <t>AMZ26-00518</t>
  </si>
  <si>
    <t>FAS-MEN-64748</t>
  </si>
  <si>
    <t>AMZ26-00519</t>
  </si>
  <si>
    <t>GRO-STA-48155</t>
  </si>
  <si>
    <t>AMZ26-00520</t>
  </si>
  <si>
    <t>GRO-STA-19201</t>
  </si>
  <si>
    <t>AMZ26-00521</t>
  </si>
  <si>
    <t>ELE-MOB-19572</t>
  </si>
  <si>
    <t>AMZ26-00522</t>
  </si>
  <si>
    <t>ELE-MOB-26818</t>
  </si>
  <si>
    <t>AMZ26-00523</t>
  </si>
  <si>
    <t>Aditi Joshi</t>
  </si>
  <si>
    <t>FAS-WOM-79308</t>
  </si>
  <si>
    <t>AMZ26-00524</t>
  </si>
  <si>
    <t>HOM-HOM-38209</t>
  </si>
  <si>
    <t>AMZ26-00525</t>
  </si>
  <si>
    <t>ELE-ACC-69118</t>
  </si>
  <si>
    <t>AMZ26-00526</t>
  </si>
  <si>
    <t>BEA-HAI-66254</t>
  </si>
  <si>
    <t>AMZ26-00527</t>
  </si>
  <si>
    <t>GRO-BEV-70793</t>
  </si>
  <si>
    <t>AMZ26-00528</t>
  </si>
  <si>
    <t>BEA-SKI-13578</t>
  </si>
  <si>
    <t>AMZ26-00529</t>
  </si>
  <si>
    <t>GRO-BEV-16026</t>
  </si>
  <si>
    <t>AMZ26-00530</t>
  </si>
  <si>
    <t>Vihaan Patel</t>
  </si>
  <si>
    <t>GRO-SNA-10273</t>
  </si>
  <si>
    <t>AMZ26-00531</t>
  </si>
  <si>
    <t>ELE-ACC-19305</t>
  </si>
  <si>
    <t>AMZ26-00532</t>
  </si>
  <si>
    <t>GRO-BEV-30260</t>
  </si>
  <si>
    <t>AMZ26-00533</t>
  </si>
  <si>
    <t>ELE-MOB-28422</t>
  </si>
  <si>
    <t>AMZ26-00534</t>
  </si>
  <si>
    <t>Meera Patel</t>
  </si>
  <si>
    <t>BEA-HAI-65758</t>
  </si>
  <si>
    <t>AMZ26-00535</t>
  </si>
  <si>
    <t>HOM-HOM-15206</t>
  </si>
  <si>
    <t>AMZ26-00536</t>
  </si>
  <si>
    <t>BEA-SKI-98027</t>
  </si>
  <si>
    <t>AMZ26-00537</t>
  </si>
  <si>
    <t>BEA-MAK-33813</t>
  </si>
  <si>
    <t>AMZ26-00538</t>
  </si>
  <si>
    <t>HOM-KIT-51979</t>
  </si>
  <si>
    <t>AMZ26-00539</t>
  </si>
  <si>
    <t>FAS-FOO-72343</t>
  </si>
  <si>
    <t>AMZ26-00540</t>
  </si>
  <si>
    <t>FAS-MEN-26287</t>
  </si>
  <si>
    <t>AMZ26-00541</t>
  </si>
  <si>
    <t>Aditya Joshi</t>
  </si>
  <si>
    <t>FAS-WOM-35649</t>
  </si>
  <si>
    <t>AMZ26-00542</t>
  </si>
  <si>
    <t>BEA-SKI-79635</t>
  </si>
  <si>
    <t>AMZ26-00543</t>
  </si>
  <si>
    <t>BEA-HAI-30671</t>
  </si>
  <si>
    <t>AMZ26-00544</t>
  </si>
  <si>
    <t>GRO-SNA-51950</t>
  </si>
  <si>
    <t>AMZ26-00545</t>
  </si>
  <si>
    <t>ELE-ACC-30787</t>
  </si>
  <si>
    <t>AMZ26-00546</t>
  </si>
  <si>
    <t>Kavya Singh</t>
  </si>
  <si>
    <t>GRO-STA-34225</t>
  </si>
  <si>
    <t>AMZ26-00547</t>
  </si>
  <si>
    <t>FAS-MEN-28143</t>
  </si>
  <si>
    <t>AMZ26-00548</t>
  </si>
  <si>
    <t>FAS-MEN-25319</t>
  </si>
  <si>
    <t>AMZ26-00549</t>
  </si>
  <si>
    <t>Kiran Yadav</t>
  </si>
  <si>
    <t>FAS-FOO-79024</t>
  </si>
  <si>
    <t>AMZ26-00550</t>
  </si>
  <si>
    <t>FAS-FOO-68660</t>
  </si>
  <si>
    <t>AMZ26-00551</t>
  </si>
  <si>
    <t>FAS-WOM-86126</t>
  </si>
  <si>
    <t>AMZ26-00552</t>
  </si>
  <si>
    <t>FAS-WOM-31465</t>
  </si>
  <si>
    <t>AMZ26-00553</t>
  </si>
  <si>
    <t>HOM-HOM-30037</t>
  </si>
  <si>
    <t>AMZ26-00554</t>
  </si>
  <si>
    <t>BEA-HAI-15825</t>
  </si>
  <si>
    <t>AMZ26-00555</t>
  </si>
  <si>
    <t>HOM-COO-22166</t>
  </si>
  <si>
    <t>AMZ26-00556</t>
  </si>
  <si>
    <t>ELE-LAP-25749</t>
  </si>
  <si>
    <t>AMZ26-00557</t>
  </si>
  <si>
    <t>FAS-FOO-12319</t>
  </si>
  <si>
    <t>AMZ26-00558</t>
  </si>
  <si>
    <t>HOM-HOM-52454</t>
  </si>
  <si>
    <t>AMZ26-00559</t>
  </si>
  <si>
    <t>HOM-HOM-63686</t>
  </si>
  <si>
    <t>AMZ26-00560</t>
  </si>
  <si>
    <t>ELE-ACC-29211</t>
  </si>
  <si>
    <t>AMZ26-00561</t>
  </si>
  <si>
    <t>HOM-KIT-55085</t>
  </si>
  <si>
    <t>AMZ26-00562</t>
  </si>
  <si>
    <t>FAS-FOO-56843</t>
  </si>
  <si>
    <t>AMZ26-00563</t>
  </si>
  <si>
    <t>GRO-STA-18797</t>
  </si>
  <si>
    <t>AMZ26-00564</t>
  </si>
  <si>
    <t>GRO-BEV-75793</t>
  </si>
  <si>
    <t>AMZ26-00565</t>
  </si>
  <si>
    <t>GRO-SNA-62920</t>
  </si>
  <si>
    <t>AMZ26-00566</t>
  </si>
  <si>
    <t>BEA-MAK-19317</t>
  </si>
  <si>
    <t>AMZ26-00567</t>
  </si>
  <si>
    <t>GRO-STA-40374</t>
  </si>
  <si>
    <t>AMZ26-00568</t>
  </si>
  <si>
    <t>GRO-BEV-36663</t>
  </si>
  <si>
    <t>AMZ26-00569</t>
  </si>
  <si>
    <t>GRO-STA-59755</t>
  </si>
  <si>
    <t>AMZ26-00570</t>
  </si>
  <si>
    <t>FAS-WOM-54837</t>
  </si>
  <si>
    <t>AMZ26-00571</t>
  </si>
  <si>
    <t>ELE-LAP-96757</t>
  </si>
  <si>
    <t>AMZ26-00572</t>
  </si>
  <si>
    <t>ELE-ACC-84285</t>
  </si>
  <si>
    <t>AMZ26-00573</t>
  </si>
  <si>
    <t>FAS-WOM-44359</t>
  </si>
  <si>
    <t>AMZ26-00574</t>
  </si>
  <si>
    <t>FAS-MEN-55833</t>
  </si>
  <si>
    <t>AMZ26-00575</t>
  </si>
  <si>
    <t>Arjun Joshi</t>
  </si>
  <si>
    <t>ELE-LAP-61218</t>
  </si>
  <si>
    <t>AMZ26-00576</t>
  </si>
  <si>
    <t>BEA-MAK-96767</t>
  </si>
  <si>
    <t>AMZ26-00577</t>
  </si>
  <si>
    <t>BEA-HAI-34918</t>
  </si>
  <si>
    <t>AMZ26-00578</t>
  </si>
  <si>
    <t>GRO-BEV-12012</t>
  </si>
  <si>
    <t>AMZ26-00579</t>
  </si>
  <si>
    <t>BEA-MAK-20813</t>
  </si>
  <si>
    <t>AMZ26-00580</t>
  </si>
  <si>
    <t>Isha Yadav</t>
  </si>
  <si>
    <t>HOM-COO-14775</t>
  </si>
  <si>
    <t>AMZ26-00581</t>
  </si>
  <si>
    <t>BEA-MAK-47400</t>
  </si>
  <si>
    <t>AMZ26-00582</t>
  </si>
  <si>
    <t>HOM-KIT-85353</t>
  </si>
  <si>
    <t>AMZ26-00583</t>
  </si>
  <si>
    <t>Arjun Patel</t>
  </si>
  <si>
    <t>FAS-WOM-46940</t>
  </si>
  <si>
    <t>AMZ26-00584</t>
  </si>
  <si>
    <t>ELE-LAP-44889</t>
  </si>
  <si>
    <t>AMZ26-00585</t>
  </si>
  <si>
    <t>HOM-COO-91645</t>
  </si>
  <si>
    <t>AMZ26-00586</t>
  </si>
  <si>
    <t>Arjun Sharma</t>
  </si>
  <si>
    <t>GRO-STA-81509</t>
  </si>
  <si>
    <t>AMZ26-00587</t>
  </si>
  <si>
    <t>BEA-HAI-98293</t>
  </si>
  <si>
    <t>AMZ26-00588</t>
  </si>
  <si>
    <t>ELE-LAP-35106</t>
  </si>
  <si>
    <t>AMZ26-00589</t>
  </si>
  <si>
    <t>GRO-STA-34761</t>
  </si>
  <si>
    <t>AMZ26-00590</t>
  </si>
  <si>
    <t>GRO-BEV-15881</t>
  </si>
  <si>
    <t>AMZ26-00591</t>
  </si>
  <si>
    <t>FAS-FOO-38776</t>
  </si>
  <si>
    <t>AMZ26-00592</t>
  </si>
  <si>
    <t>HOM-KIT-91297</t>
  </si>
  <si>
    <t>AMZ26-00593</t>
  </si>
  <si>
    <t>Sneha Verma</t>
  </si>
  <si>
    <t>BEA-HAI-70105</t>
  </si>
  <si>
    <t>AMZ26-00594</t>
  </si>
  <si>
    <t>FAS-FOO-52636</t>
  </si>
  <si>
    <t>AMZ26-00595</t>
  </si>
  <si>
    <t>ELE-LAP-52479</t>
  </si>
  <si>
    <t>AMZ26-00596</t>
  </si>
  <si>
    <t>ELE-ACC-50192</t>
  </si>
  <si>
    <t>AMZ26-00597</t>
  </si>
  <si>
    <t>HOM-COO-12602</t>
  </si>
  <si>
    <t>AMZ26-00598</t>
  </si>
  <si>
    <t>ELE-MOB-39913</t>
  </si>
  <si>
    <t>AMZ26-00599</t>
  </si>
  <si>
    <t>GRO-BEV-79815</t>
  </si>
  <si>
    <t>AMZ26-00600</t>
  </si>
  <si>
    <t>FAS-FOO-14670</t>
  </si>
  <si>
    <t>AMZ26-00601</t>
  </si>
  <si>
    <t>FAS-WOM-44101</t>
  </si>
  <si>
    <t>AMZ26-00602</t>
  </si>
  <si>
    <t>HOM-KIT-60189</t>
  </si>
  <si>
    <t>AMZ26-00603</t>
  </si>
  <si>
    <t>FAS-MEN-70575</t>
  </si>
  <si>
    <t>AMZ26-00604</t>
  </si>
  <si>
    <t>HOM-COO-78562</t>
  </si>
  <si>
    <t>AMZ26-00605</t>
  </si>
  <si>
    <t>HOM-COO-98348</t>
  </si>
  <si>
    <t>AMZ26-00606</t>
  </si>
  <si>
    <t>Aditya Patel</t>
  </si>
  <si>
    <t>GRO-SNA-84600</t>
  </si>
  <si>
    <t>AMZ26-00607</t>
  </si>
  <si>
    <t>HOM-COO-87358</t>
  </si>
  <si>
    <t>AMZ26-00608</t>
  </si>
  <si>
    <t>ELE-MOB-93256</t>
  </si>
  <si>
    <t>AMZ26-00609</t>
  </si>
  <si>
    <t>Sai Reddy</t>
  </si>
  <si>
    <t>FAS-WOM-85841</t>
  </si>
  <si>
    <t>AMZ26-00610</t>
  </si>
  <si>
    <t>GRO-BEV-56536</t>
  </si>
  <si>
    <t>AMZ26-00611</t>
  </si>
  <si>
    <t>GRO-STA-40027</t>
  </si>
  <si>
    <t>AMZ26-00612</t>
  </si>
  <si>
    <t>GRO-SNA-51586</t>
  </si>
  <si>
    <t>AMZ26-00613</t>
  </si>
  <si>
    <t>BEA-SKI-42407</t>
  </si>
  <si>
    <t>AMZ26-00614</t>
  </si>
  <si>
    <t>FAS-FOO-95794</t>
  </si>
  <si>
    <t>AMZ26-00615</t>
  </si>
  <si>
    <t>ELE-MOB-64342</t>
  </si>
  <si>
    <t>AMZ26-00616</t>
  </si>
  <si>
    <t>HOM-HOM-83058</t>
  </si>
  <si>
    <t>AMZ26-00617</t>
  </si>
  <si>
    <t>HOM-KIT-86598</t>
  </si>
  <si>
    <t>AMZ26-00618</t>
  </si>
  <si>
    <t>FAS-FOO-27233</t>
  </si>
  <si>
    <t>AMZ26-00619</t>
  </si>
  <si>
    <t>HOM-HOM-45496</t>
  </si>
  <si>
    <t>AMZ26-00620</t>
  </si>
  <si>
    <t>BEA-MAK-40213</t>
  </si>
  <si>
    <t>AMZ26-00621</t>
  </si>
  <si>
    <t>BEA-HAI-88129</t>
  </si>
  <si>
    <t>AMZ26-00622</t>
  </si>
  <si>
    <t>HOM-COO-43643</t>
  </si>
  <si>
    <t>AMZ26-00623</t>
  </si>
  <si>
    <t>GRO-SNA-41003</t>
  </si>
  <si>
    <t>AMZ26-00624</t>
  </si>
  <si>
    <t>BEA-MAK-36859</t>
  </si>
  <si>
    <t>AMZ26-00625</t>
  </si>
  <si>
    <t>ELE-ACC-32337</t>
  </si>
  <si>
    <t>AMZ26-00626</t>
  </si>
  <si>
    <t>Aarav Kumar</t>
  </si>
  <si>
    <t>GRO-SNA-81621</t>
  </si>
  <si>
    <t>AMZ26-00627</t>
  </si>
  <si>
    <t>FAS-WOM-19214</t>
  </si>
  <si>
    <t>AMZ26-00628</t>
  </si>
  <si>
    <t>ELE-MOB-95643</t>
  </si>
  <si>
    <t>AMZ26-00629</t>
  </si>
  <si>
    <t>HOM-COO-46082</t>
  </si>
  <si>
    <t>AMZ26-00630</t>
  </si>
  <si>
    <t>Priya Joshi</t>
  </si>
  <si>
    <t>FAS-MEN-58919</t>
  </si>
  <si>
    <t>AMZ26-00631</t>
  </si>
  <si>
    <t>GRO-STA-30650</t>
  </si>
  <si>
    <t>AMZ26-00632</t>
  </si>
  <si>
    <t>HOM-COO-78056</t>
  </si>
  <si>
    <t>AMZ26-00633</t>
  </si>
  <si>
    <t>HOM-HOM-93946</t>
  </si>
  <si>
    <t>AMZ26-00634</t>
  </si>
  <si>
    <t>BEA-HAI-62290</t>
  </si>
  <si>
    <t>AMZ26-00635</t>
  </si>
  <si>
    <t>FAS-FOO-73695</t>
  </si>
  <si>
    <t>AMZ26-00636</t>
  </si>
  <si>
    <t>HOM-KIT-77315</t>
  </si>
  <si>
    <t>AMZ26-00637</t>
  </si>
  <si>
    <t>GRO-STA-60781</t>
  </si>
  <si>
    <t>AMZ26-00638</t>
  </si>
  <si>
    <t>HOM-HOM-15437</t>
  </si>
  <si>
    <t>AMZ26-00639</t>
  </si>
  <si>
    <t>FAS-WOM-21212</t>
  </si>
  <si>
    <t>AMZ26-00640</t>
  </si>
  <si>
    <t>BEA-MAK-41501</t>
  </si>
  <si>
    <t>AMZ26-00641</t>
  </si>
  <si>
    <t>HOM-HOM-43224</t>
  </si>
  <si>
    <t>AMZ26-00642</t>
  </si>
  <si>
    <t>ELE-MOB-62901</t>
  </si>
  <si>
    <t>AMZ26-00643</t>
  </si>
  <si>
    <t>BEA-HAI-98286</t>
  </si>
  <si>
    <t>AMZ26-00644</t>
  </si>
  <si>
    <t>BEA-HAI-96193</t>
  </si>
  <si>
    <t>AMZ26-00645</t>
  </si>
  <si>
    <t>FAS-WOM-77170</t>
  </si>
  <si>
    <t>AMZ26-00646</t>
  </si>
  <si>
    <t>FAS-FOO-80336</t>
  </si>
  <si>
    <t>AMZ26-00647</t>
  </si>
  <si>
    <t>Nandini Gupta</t>
  </si>
  <si>
    <t>BEA-HAI-86412</t>
  </si>
  <si>
    <t>AMZ26-00648</t>
  </si>
  <si>
    <t>HOM-HOM-98719</t>
  </si>
  <si>
    <t>AMZ26-00649</t>
  </si>
  <si>
    <t>BEA-HAI-60771</t>
  </si>
  <si>
    <t>AMZ26-00650</t>
  </si>
  <si>
    <t>GRO-BEV-83367</t>
  </si>
  <si>
    <t>AMZ26-00651</t>
  </si>
  <si>
    <t>BEA-HAI-64362</t>
  </si>
  <si>
    <t>AMZ26-00652</t>
  </si>
  <si>
    <t>GRO-BEV-42849</t>
  </si>
  <si>
    <t>AMZ26-00653</t>
  </si>
  <si>
    <t>GRO-SNA-22963</t>
  </si>
  <si>
    <t>AMZ26-00654</t>
  </si>
  <si>
    <t>HOM-HOM-10335</t>
  </si>
  <si>
    <t>AMZ26-00655</t>
  </si>
  <si>
    <t>ELE-LAP-34993</t>
  </si>
  <si>
    <t>AMZ26-00656</t>
  </si>
  <si>
    <t>GRO-BEV-35964</t>
  </si>
  <si>
    <t>AMZ26-00657</t>
  </si>
  <si>
    <t>Nikhil Das</t>
  </si>
  <si>
    <t>HOM-HOM-28733</t>
  </si>
  <si>
    <t>AMZ26-00658</t>
  </si>
  <si>
    <t>GRO-BEV-47642</t>
  </si>
  <si>
    <t>AMZ26-00659</t>
  </si>
  <si>
    <t>HOM-KIT-62322</t>
  </si>
  <si>
    <t>AMZ26-00660</t>
  </si>
  <si>
    <t>BEA-MAK-24900</t>
  </si>
  <si>
    <t>AMZ26-00661</t>
  </si>
  <si>
    <t>ELE-LAP-68778</t>
  </si>
  <si>
    <t>AMZ26-00662</t>
  </si>
  <si>
    <t>HOM-KIT-56312</t>
  </si>
  <si>
    <t>AMZ26-00663</t>
  </si>
  <si>
    <t>ELE-MOB-80872</t>
  </si>
  <si>
    <t>AMZ26-00664</t>
  </si>
  <si>
    <t>FAS-FOO-60985</t>
  </si>
  <si>
    <t>AMZ26-00665</t>
  </si>
  <si>
    <t>ELE-LAP-66430</t>
  </si>
  <si>
    <t>AMZ26-00666</t>
  </si>
  <si>
    <t>BEA-SKI-30737</t>
  </si>
  <si>
    <t>AMZ26-00667</t>
  </si>
  <si>
    <t>GRO-STA-35767</t>
  </si>
  <si>
    <t>AMZ26-00668</t>
  </si>
  <si>
    <t>FAS-MEN-31748</t>
  </si>
  <si>
    <t>AMZ26-00669</t>
  </si>
  <si>
    <t>FAS-WOM-86650</t>
  </si>
  <si>
    <t>AMZ26-00670</t>
  </si>
  <si>
    <t>FAS-MEN-12139</t>
  </si>
  <si>
    <t>AMZ26-00671</t>
  </si>
  <si>
    <t>Kiran Das</t>
  </si>
  <si>
    <t>GRO-STA-29866</t>
  </si>
  <si>
    <t>AMZ26-00672</t>
  </si>
  <si>
    <t>ELE-ACC-90060</t>
  </si>
  <si>
    <t>AMZ26-00673</t>
  </si>
  <si>
    <t>GRO-STA-85732</t>
  </si>
  <si>
    <t>AMZ26-00674</t>
  </si>
  <si>
    <t>Diya Joshi</t>
  </si>
  <si>
    <t>BEA-MAK-61055</t>
  </si>
  <si>
    <t>AMZ26-00675</t>
  </si>
  <si>
    <t>BEA-HAI-24613</t>
  </si>
  <si>
    <t>AMZ26-00676</t>
  </si>
  <si>
    <t>FAS-FOO-54139</t>
  </si>
  <si>
    <t>AMZ26-00677</t>
  </si>
  <si>
    <t>HOM-COO-70950</t>
  </si>
  <si>
    <t>AMZ26-00678</t>
  </si>
  <si>
    <t>ELE-ACC-72586</t>
  </si>
  <si>
    <t>AMZ26-00679</t>
  </si>
  <si>
    <t>ELE-ACC-16645</t>
  </si>
  <si>
    <t>AMZ26-00680</t>
  </si>
  <si>
    <t>HOM-COO-36715</t>
  </si>
  <si>
    <t>AMZ26-00681</t>
  </si>
  <si>
    <t>Sneha Rao</t>
  </si>
  <si>
    <t>HOM-KIT-93198</t>
  </si>
  <si>
    <t>AMZ26-00682</t>
  </si>
  <si>
    <t>ELE-MOB-74240</t>
  </si>
  <si>
    <t>AMZ26-00683</t>
  </si>
  <si>
    <t>HOM-HOM-60849</t>
  </si>
  <si>
    <t>AMZ26-00684</t>
  </si>
  <si>
    <t>HOM-COO-32789</t>
  </si>
  <si>
    <t>AMZ26-00685</t>
  </si>
  <si>
    <t>Sai Jain</t>
  </si>
  <si>
    <t>HOM-HOM-53441</t>
  </si>
  <si>
    <t>AMZ26-00686</t>
  </si>
  <si>
    <t>ELE-LAP-85004</t>
  </si>
  <si>
    <t>AMZ26-00687</t>
  </si>
  <si>
    <t>GRO-BEV-77493</t>
  </si>
  <si>
    <t>AMZ26-00688</t>
  </si>
  <si>
    <t>ELE-LAP-58868</t>
  </si>
  <si>
    <t>AMZ26-00689</t>
  </si>
  <si>
    <t>FAS-MEN-80338</t>
  </si>
  <si>
    <t>AMZ26-00690</t>
  </si>
  <si>
    <t>ELE-ACC-28649</t>
  </si>
  <si>
    <t>AMZ26-00691</t>
  </si>
  <si>
    <t>FAS-FOO-14666</t>
  </si>
  <si>
    <t>AMZ26-00692</t>
  </si>
  <si>
    <t>FAS-FOO-54344</t>
  </si>
  <si>
    <t>AMZ26-00693</t>
  </si>
  <si>
    <t>FAS-FOO-67654</t>
  </si>
  <si>
    <t>AMZ26-00694</t>
  </si>
  <si>
    <t>GRO-STA-62017</t>
  </si>
  <si>
    <t>AMZ26-00695</t>
  </si>
  <si>
    <t>BEA-MAK-19505</t>
  </si>
  <si>
    <t>AMZ26-00696</t>
  </si>
  <si>
    <t>ELE-LAP-51867</t>
  </si>
  <si>
    <t>AMZ26-00697</t>
  </si>
  <si>
    <t>HOM-COO-54734</t>
  </si>
  <si>
    <t>AMZ26-00698</t>
  </si>
  <si>
    <t>FAS-FOO-51407</t>
  </si>
  <si>
    <t>AMZ26-00699</t>
  </si>
  <si>
    <t>Meera Iyer</t>
  </si>
  <si>
    <t>GRO-BEV-38311</t>
  </si>
  <si>
    <t>AMZ26-00700</t>
  </si>
  <si>
    <t>BEA-SKI-64103</t>
  </si>
  <si>
    <t>AMZ26-00701</t>
  </si>
  <si>
    <t>Meera Sharma</t>
  </si>
  <si>
    <t>GRO-BEV-55383</t>
  </si>
  <si>
    <t>AMZ26-00702</t>
  </si>
  <si>
    <t>ELE-LAP-20971</t>
  </si>
  <si>
    <t>AMZ26-00703</t>
  </si>
  <si>
    <t>FAS-MEN-65920</t>
  </si>
  <si>
    <t>AMZ26-00704</t>
  </si>
  <si>
    <t>GRO-SNA-64752</t>
  </si>
  <si>
    <t>AMZ26-00705</t>
  </si>
  <si>
    <t>ELE-MOB-82385</t>
  </si>
  <si>
    <t>AMZ26-00706</t>
  </si>
  <si>
    <t>HOM-KIT-45701</t>
  </si>
  <si>
    <t>AMZ26-00707</t>
  </si>
  <si>
    <t>FAS-MEN-34790</t>
  </si>
  <si>
    <t>AMZ26-00708</t>
  </si>
  <si>
    <t>HOM-COO-15114</t>
  </si>
  <si>
    <t>AMZ26-00709</t>
  </si>
  <si>
    <t>Aarav Das</t>
  </si>
  <si>
    <t>ELE-MOB-18562</t>
  </si>
  <si>
    <t>AMZ26-00710</t>
  </si>
  <si>
    <t>ELE-ACC-16249</t>
  </si>
  <si>
    <t>AMZ26-00711</t>
  </si>
  <si>
    <t>HOM-COO-84750</t>
  </si>
  <si>
    <t>AMZ26-00712</t>
  </si>
  <si>
    <t>HOM-COO-29758</t>
  </si>
  <si>
    <t>AMZ26-00713</t>
  </si>
  <si>
    <t>BEA-SKI-15361</t>
  </si>
  <si>
    <t>AMZ26-00714</t>
  </si>
  <si>
    <t>ELE-ACC-32190</t>
  </si>
  <si>
    <t>AMZ26-00715</t>
  </si>
  <si>
    <t>ELE-MOB-30022</t>
  </si>
  <si>
    <t>AMZ26-00716</t>
  </si>
  <si>
    <t>HOM-HOM-83782</t>
  </si>
  <si>
    <t>AMZ26-00717</t>
  </si>
  <si>
    <t>BEA-MAK-46546</t>
  </si>
  <si>
    <t>AMZ26-00718</t>
  </si>
  <si>
    <t>FAS-FOO-16772</t>
  </si>
  <si>
    <t>AMZ26-00719</t>
  </si>
  <si>
    <t>BEA-HAI-43098</t>
  </si>
  <si>
    <t>AMZ26-00720</t>
  </si>
  <si>
    <t>BEA-MAK-36514</t>
  </si>
  <si>
    <t>AMZ26-00721</t>
  </si>
  <si>
    <t>ELE-MOB-25280</t>
  </si>
  <si>
    <t>AMZ26-00722</t>
  </si>
  <si>
    <t>GRO-STA-31807</t>
  </si>
  <si>
    <t>AMZ26-00723</t>
  </si>
  <si>
    <t>HOM-HOM-15993</t>
  </si>
  <si>
    <t>AMZ26-00724</t>
  </si>
  <si>
    <t>HOM-KIT-58396</t>
  </si>
  <si>
    <t>AMZ26-00725</t>
  </si>
  <si>
    <t>HOM-HOM-92240</t>
  </si>
  <si>
    <t>AMZ26-00726</t>
  </si>
  <si>
    <t>GRO-BEV-96473</t>
  </si>
  <si>
    <t>AMZ26-00727</t>
  </si>
  <si>
    <t>ELE-LAP-64410</t>
  </si>
  <si>
    <t>AMZ26-00728</t>
  </si>
  <si>
    <t>ELE-ACC-60725</t>
  </si>
  <si>
    <t>AMZ26-00729</t>
  </si>
  <si>
    <t>FAS-FOO-48543</t>
  </si>
  <si>
    <t>AMZ26-00730</t>
  </si>
  <si>
    <t>FAS-MEN-81437</t>
  </si>
  <si>
    <t>AMZ26-00731</t>
  </si>
  <si>
    <t>Kavya Nair</t>
  </si>
  <si>
    <t>GRO-SNA-77348</t>
  </si>
  <si>
    <t>AMZ26-00732</t>
  </si>
  <si>
    <t>ELE-ACC-35314</t>
  </si>
  <si>
    <t>AMZ26-00733</t>
  </si>
  <si>
    <t>ELE-MOB-62481</t>
  </si>
  <si>
    <t>AMZ26-00734</t>
  </si>
  <si>
    <t>FAS-FOO-68182</t>
  </si>
  <si>
    <t>AMZ26-00735</t>
  </si>
  <si>
    <t>BEA-HAI-79006</t>
  </si>
  <si>
    <t>AMZ26-00736</t>
  </si>
  <si>
    <t>BEA-SKI-73754</t>
  </si>
  <si>
    <t>AMZ26-00737</t>
  </si>
  <si>
    <t>ELE-ACC-61718</t>
  </si>
  <si>
    <t>AMZ26-00738</t>
  </si>
  <si>
    <t>GRO-SNA-10328</t>
  </si>
  <si>
    <t>AMZ26-00739</t>
  </si>
  <si>
    <t>BEA-MAK-76382</t>
  </si>
  <si>
    <t>AMZ26-00740</t>
  </si>
  <si>
    <t>BEA-SKI-60819</t>
  </si>
  <si>
    <t>AMZ26-00741</t>
  </si>
  <si>
    <t>FAS-MEN-49639</t>
  </si>
  <si>
    <t>AMZ26-00742</t>
  </si>
  <si>
    <t>FAS-FOO-81266</t>
  </si>
  <si>
    <t>AMZ26-00743</t>
  </si>
  <si>
    <t>ELE-ACC-66777</t>
  </si>
  <si>
    <t>AMZ26-00744</t>
  </si>
  <si>
    <t>FAS-FOO-12246</t>
  </si>
  <si>
    <t>AMZ26-00745</t>
  </si>
  <si>
    <t>ELE-MOB-67190</t>
  </si>
  <si>
    <t>AMZ26-00746</t>
  </si>
  <si>
    <t>BEA-SKI-58268</t>
  </si>
  <si>
    <t>AMZ26-00747</t>
  </si>
  <si>
    <t>FAS-MEN-72439</t>
  </si>
  <si>
    <t>AMZ26-00748</t>
  </si>
  <si>
    <t>HOM-KIT-10348</t>
  </si>
  <si>
    <t>AMZ26-00749</t>
  </si>
  <si>
    <t>HOM-COO-77797</t>
  </si>
  <si>
    <t>AMZ26-00750</t>
  </si>
  <si>
    <t>HOM-HOM-89832</t>
  </si>
  <si>
    <t>AMZ26-00751</t>
  </si>
  <si>
    <t>GRO-SNA-38078</t>
  </si>
  <si>
    <t>AMZ26-00752</t>
  </si>
  <si>
    <t>GRO-STA-72964</t>
  </si>
  <si>
    <t>AMZ26-00753</t>
  </si>
  <si>
    <t>FAS-FOO-43834</t>
  </si>
  <si>
    <t>AMZ26-00754</t>
  </si>
  <si>
    <t>HOM-COO-35911</t>
  </si>
  <si>
    <t>AMZ26-00755</t>
  </si>
  <si>
    <t>ELE-LAP-31646</t>
  </si>
  <si>
    <t>AMZ26-00756</t>
  </si>
  <si>
    <t>GRO-STA-73289</t>
  </si>
  <si>
    <t>AMZ26-00757</t>
  </si>
  <si>
    <t>ELE-ACC-72844</t>
  </si>
  <si>
    <t>AMZ26-00758</t>
  </si>
  <si>
    <t>ELE-ACC-40899</t>
  </si>
  <si>
    <t>AMZ26-00759</t>
  </si>
  <si>
    <t>FAS-FOO-26370</t>
  </si>
  <si>
    <t>AMZ26-00760</t>
  </si>
  <si>
    <t>ELE-MOB-58245</t>
  </si>
  <si>
    <t>AMZ26-00761</t>
  </si>
  <si>
    <t>HOM-KIT-73648</t>
  </si>
  <si>
    <t>AMZ26-00762</t>
  </si>
  <si>
    <t>HOM-HOM-67408</t>
  </si>
  <si>
    <t>AMZ26-00763</t>
  </si>
  <si>
    <t>ELE-MOB-87763</t>
  </si>
  <si>
    <t>AMZ26-00764</t>
  </si>
  <si>
    <t>BEA-SKI-38050</t>
  </si>
  <si>
    <t>AMZ26-00765</t>
  </si>
  <si>
    <t>ELE-MOB-55586</t>
  </si>
  <si>
    <t>AMZ26-00766</t>
  </si>
  <si>
    <t>HOM-COO-75389</t>
  </si>
  <si>
    <t>AMZ26-00767</t>
  </si>
  <si>
    <t>ELE-LAP-38090</t>
  </si>
  <si>
    <t>AMZ26-00768</t>
  </si>
  <si>
    <t>GRO-SNA-73242</t>
  </si>
  <si>
    <t>AMZ26-00769</t>
  </si>
  <si>
    <t>HOM-KIT-24792</t>
  </si>
  <si>
    <t>AMZ26-00770</t>
  </si>
  <si>
    <t>Vihaan Gupta</t>
  </si>
  <si>
    <t>BEA-MAK-87060</t>
  </si>
  <si>
    <t>AMZ26-00771</t>
  </si>
  <si>
    <t>Diya Rao</t>
  </si>
  <si>
    <t>HOM-COO-11884</t>
  </si>
  <si>
    <t>AMZ26-00772</t>
  </si>
  <si>
    <t>ELE-LAP-97996</t>
  </si>
  <si>
    <t>AMZ26-00773</t>
  </si>
  <si>
    <t>GRO-STA-32242</t>
  </si>
  <si>
    <t>AMZ26-00774</t>
  </si>
  <si>
    <t>HOM-HOM-90507</t>
  </si>
  <si>
    <t>AMZ26-00775</t>
  </si>
  <si>
    <t>ELE-LAP-63903</t>
  </si>
  <si>
    <t>AMZ26-00776</t>
  </si>
  <si>
    <t>FAS-WOM-88454</t>
  </si>
  <si>
    <t>AMZ26-00777</t>
  </si>
  <si>
    <t>BEA-SKI-65728</t>
  </si>
  <si>
    <t>AMZ26-00778</t>
  </si>
  <si>
    <t>ELE-MOB-24436</t>
  </si>
  <si>
    <t>AMZ26-00779</t>
  </si>
  <si>
    <t>ELE-LAP-90179</t>
  </si>
  <si>
    <t>AMZ26-00780</t>
  </si>
  <si>
    <t>Sai Das</t>
  </si>
  <si>
    <t>GRO-SNA-21606</t>
  </si>
  <si>
    <t>AMZ26-00781</t>
  </si>
  <si>
    <t>GRO-BEV-15498</t>
  </si>
  <si>
    <t>AMZ26-00782</t>
  </si>
  <si>
    <t>GRO-STA-85842</t>
  </si>
  <si>
    <t>AMZ26-00783</t>
  </si>
  <si>
    <t>FAS-FOO-16433</t>
  </si>
  <si>
    <t>AMZ26-00784</t>
  </si>
  <si>
    <t>GRO-STA-14489</t>
  </si>
  <si>
    <t>AMZ26-00785</t>
  </si>
  <si>
    <t>BEA-SKI-68314</t>
  </si>
  <si>
    <t>AMZ26-00786</t>
  </si>
  <si>
    <t>ELE-ACC-78592</t>
  </si>
  <si>
    <t>AMZ26-00787</t>
  </si>
  <si>
    <t>Ananya Singh</t>
  </si>
  <si>
    <t>BEA-SKI-80850</t>
  </si>
  <si>
    <t>AMZ26-00788</t>
  </si>
  <si>
    <t>FAS-FOO-37805</t>
  </si>
  <si>
    <t>AMZ26-00789</t>
  </si>
  <si>
    <t>ELE-LAP-67678</t>
  </si>
  <si>
    <t>AMZ26-00790</t>
  </si>
  <si>
    <t>FAS-WOM-87512</t>
  </si>
  <si>
    <t>AMZ26-00791</t>
  </si>
  <si>
    <t>BEA-HAI-28078</t>
  </si>
  <si>
    <t>AMZ26-00792</t>
  </si>
  <si>
    <t>ELE-ACC-46671</t>
  </si>
  <si>
    <t>AMZ26-00793</t>
  </si>
  <si>
    <t>GRO-STA-26130</t>
  </si>
  <si>
    <t>AMZ26-00794</t>
  </si>
  <si>
    <t>HOM-COO-92838</t>
  </si>
  <si>
    <t>AMZ26-00795</t>
  </si>
  <si>
    <t>GRO-BEV-12233</t>
  </si>
  <si>
    <t>AMZ26-00796</t>
  </si>
  <si>
    <t>Vihaan Verma</t>
  </si>
  <si>
    <t>BEA-MAK-78551</t>
  </si>
  <si>
    <t>AMZ26-00797</t>
  </si>
  <si>
    <t>ELE-MOB-17223</t>
  </si>
  <si>
    <t>AMZ26-00798</t>
  </si>
  <si>
    <t>FAS-MEN-21965</t>
  </si>
  <si>
    <t>AMZ26-00799</t>
  </si>
  <si>
    <t>GRO-SNA-53008</t>
  </si>
  <si>
    <t>AMZ26-00800</t>
  </si>
  <si>
    <t>ELE-ACC-45981</t>
  </si>
  <si>
    <t>AMZ26-00801</t>
  </si>
  <si>
    <t>FAS-MEN-33584</t>
  </si>
  <si>
    <t>AMZ26-00802</t>
  </si>
  <si>
    <t>BEA-SKI-68590</t>
  </si>
  <si>
    <t>AMZ26-00803</t>
  </si>
  <si>
    <t>Aarav Shetty</t>
  </si>
  <si>
    <t>FAS-MEN-50595</t>
  </si>
  <si>
    <t>AMZ26-00804</t>
  </si>
  <si>
    <t>GRO-BEV-98783</t>
  </si>
  <si>
    <t>AMZ26-00805</t>
  </si>
  <si>
    <t>ELE-LAP-80746</t>
  </si>
  <si>
    <t>AMZ26-00806</t>
  </si>
  <si>
    <t>ELE-MOB-74604</t>
  </si>
  <si>
    <t>AMZ26-00807</t>
  </si>
  <si>
    <t>BEA-HAI-19510</t>
  </si>
  <si>
    <t>AMZ26-00808</t>
  </si>
  <si>
    <t>ELE-LAP-33693</t>
  </si>
  <si>
    <t>AMZ26-00809</t>
  </si>
  <si>
    <t>HOM-COO-76618</t>
  </si>
  <si>
    <t>AMZ26-00810</t>
  </si>
  <si>
    <t>BEA-MAK-76100</t>
  </si>
  <si>
    <t>AMZ26-00811</t>
  </si>
  <si>
    <t>ELE-LAP-55707</t>
  </si>
  <si>
    <t>AMZ26-00812</t>
  </si>
  <si>
    <t>BEA-MAK-99566</t>
  </si>
  <si>
    <t>AMZ26-00813</t>
  </si>
  <si>
    <t>GRO-SNA-53923</t>
  </si>
  <si>
    <t>AMZ26-00814</t>
  </si>
  <si>
    <t>ELE-MOB-62317</t>
  </si>
  <si>
    <t>AMZ26-00815</t>
  </si>
  <si>
    <t>GRO-SNA-64548</t>
  </si>
  <si>
    <t>AMZ26-00816</t>
  </si>
  <si>
    <t>ELE-MOB-83455</t>
  </si>
  <si>
    <t>AMZ26-00817</t>
  </si>
  <si>
    <t>ELE-MOB-14212</t>
  </si>
  <si>
    <t>AMZ26-00818</t>
  </si>
  <si>
    <t>GRO-BEV-26728</t>
  </si>
  <si>
    <t>AMZ26-00819</t>
  </si>
  <si>
    <t>HOM-COO-98272</t>
  </si>
  <si>
    <t>AMZ26-00820</t>
  </si>
  <si>
    <t>ELE-LAP-35776</t>
  </si>
  <si>
    <t>AMZ26-00821</t>
  </si>
  <si>
    <t>BEA-HAI-69111</t>
  </si>
  <si>
    <t>AMZ26-00822</t>
  </si>
  <si>
    <t>HOM-COO-40314</t>
  </si>
  <si>
    <t>AMZ26-00823</t>
  </si>
  <si>
    <t>GRO-BEV-96636</t>
  </si>
  <si>
    <t>AMZ26-00824</t>
  </si>
  <si>
    <t>GRO-STA-24872</t>
  </si>
  <si>
    <t>AMZ26-00825</t>
  </si>
  <si>
    <t>BEA-SKI-10478</t>
  </si>
  <si>
    <t>AMZ26-00826</t>
  </si>
  <si>
    <t>ELE-ACC-91143</t>
  </si>
  <si>
    <t>AMZ26-00827</t>
  </si>
  <si>
    <t>BEA-SKI-32320</t>
  </si>
  <si>
    <t>AMZ26-00828</t>
  </si>
  <si>
    <t>GRO-SNA-31493</t>
  </si>
  <si>
    <t>AMZ26-00829</t>
  </si>
  <si>
    <t>FAS-WOM-38249</t>
  </si>
  <si>
    <t>AMZ26-00830</t>
  </si>
  <si>
    <t>GRO-BEV-10890</t>
  </si>
  <si>
    <t>AMZ26-00831</t>
  </si>
  <si>
    <t>HOM-COO-78403</t>
  </si>
  <si>
    <t>AMZ26-00832</t>
  </si>
  <si>
    <t>ELE-ACC-30812</t>
  </si>
  <si>
    <t>AMZ26-00833</t>
  </si>
  <si>
    <t>HOM-HOM-13378</t>
  </si>
  <si>
    <t>AMZ26-00834</t>
  </si>
  <si>
    <t>GRO-SNA-76630</t>
  </si>
  <si>
    <t>AMZ26-00835</t>
  </si>
  <si>
    <t>BEA-SKI-39678</t>
  </si>
  <si>
    <t>AMZ26-00836</t>
  </si>
  <si>
    <t>FAS-WOM-19517</t>
  </si>
  <si>
    <t>AMZ26-00837</t>
  </si>
  <si>
    <t>FAS-WOM-67827</t>
  </si>
  <si>
    <t>AMZ26-00838</t>
  </si>
  <si>
    <t>FAS-WOM-72147</t>
  </si>
  <si>
    <t>AMZ26-00839</t>
  </si>
  <si>
    <t>HOM-KIT-29092</t>
  </si>
  <si>
    <t>AMZ26-00840</t>
  </si>
  <si>
    <t>HOM-KIT-68201</t>
  </si>
  <si>
    <t>AMZ26-00841</t>
  </si>
  <si>
    <t>HOM-COO-11751</t>
  </si>
  <si>
    <t>AMZ26-00842</t>
  </si>
  <si>
    <t>FAS-WOM-33202</t>
  </si>
  <si>
    <t>AMZ26-00843</t>
  </si>
  <si>
    <t>FAS-MEN-72419</t>
  </si>
  <si>
    <t>AMZ26-00844</t>
  </si>
  <si>
    <t>Isha Patel</t>
  </si>
  <si>
    <t>ELE-MOB-30589</t>
  </si>
  <si>
    <t>AMZ26-00845</t>
  </si>
  <si>
    <t>BEA-MAK-90909</t>
  </si>
  <si>
    <t>AMZ26-00846</t>
  </si>
  <si>
    <t>BEA-SKI-18975</t>
  </si>
  <si>
    <t>AMZ26-00847</t>
  </si>
  <si>
    <t>HOM-KIT-69779</t>
  </si>
  <si>
    <t>AMZ26-00848</t>
  </si>
  <si>
    <t>BEA-HAI-91457</t>
  </si>
  <si>
    <t>AMZ26-00849</t>
  </si>
  <si>
    <t>BEA-HAI-53804</t>
  </si>
  <si>
    <t>AMZ26-00850</t>
  </si>
  <si>
    <t>BEA-MAK-33660</t>
  </si>
  <si>
    <t>AMZ26-00851</t>
  </si>
  <si>
    <t>ELE-ACC-40598</t>
  </si>
  <si>
    <t>AMZ26-00852</t>
  </si>
  <si>
    <t>BEA-SKI-81716</t>
  </si>
  <si>
    <t>AMZ26-00853</t>
  </si>
  <si>
    <t>FAS-WOM-59692</t>
  </si>
  <si>
    <t>AMZ26-00854</t>
  </si>
  <si>
    <t>HOM-KIT-15013</t>
  </si>
  <si>
    <t>AMZ26-00855</t>
  </si>
  <si>
    <t>ELE-LAP-31702</t>
  </si>
  <si>
    <t>AMZ26-00856</t>
  </si>
  <si>
    <t>ELE-ACC-39767</t>
  </si>
  <si>
    <t>AMZ26-00857</t>
  </si>
  <si>
    <t>ELE-ACC-94514</t>
  </si>
  <si>
    <t>AMZ26-00858</t>
  </si>
  <si>
    <t>FAS-MEN-13853</t>
  </si>
  <si>
    <t>AMZ26-00859</t>
  </si>
  <si>
    <t>GRO-SNA-58835</t>
  </si>
  <si>
    <t>AMZ26-00860</t>
  </si>
  <si>
    <t>BEA-MAK-33601</t>
  </si>
  <si>
    <t>AMZ26-00861</t>
  </si>
  <si>
    <t>FAS-FOO-26259</t>
  </si>
  <si>
    <t>AMZ26-00862</t>
  </si>
  <si>
    <t>GRO-BEV-22731</t>
  </si>
  <si>
    <t>AMZ26-00863</t>
  </si>
  <si>
    <t>HOM-KIT-29105</t>
  </si>
  <si>
    <t>AMZ26-00864</t>
  </si>
  <si>
    <t>HOM-HOM-81219</t>
  </si>
  <si>
    <t>AMZ26-00865</t>
  </si>
  <si>
    <t>ELE-ACC-85428</t>
  </si>
  <si>
    <t>AMZ26-00866</t>
  </si>
  <si>
    <t>BEA-SKI-54892</t>
  </si>
  <si>
    <t>AMZ26-00867</t>
  </si>
  <si>
    <t>Kiran Kumar</t>
  </si>
  <si>
    <t>HOM-HOM-13438</t>
  </si>
  <si>
    <t>AMZ26-00868</t>
  </si>
  <si>
    <t>ELE-ACC-71511</t>
  </si>
  <si>
    <t>AMZ26-00869</t>
  </si>
  <si>
    <t>ELE-ACC-59383</t>
  </si>
  <si>
    <t>AMZ26-00870</t>
  </si>
  <si>
    <t>ELE-MOB-27991</t>
  </si>
  <si>
    <t>AMZ26-00871</t>
  </si>
  <si>
    <t>BEA-HAI-52696</t>
  </si>
  <si>
    <t>AMZ26-00872</t>
  </si>
  <si>
    <t>HOM-KIT-57216</t>
  </si>
  <si>
    <t>AMZ26-00873</t>
  </si>
  <si>
    <t>HOM-HOM-89926</t>
  </si>
  <si>
    <t>AMZ26-00874</t>
  </si>
  <si>
    <t>HOM-COO-13991</t>
  </si>
  <si>
    <t>AMZ26-00875</t>
  </si>
  <si>
    <t>ELE-LAP-54624</t>
  </si>
  <si>
    <t>AMZ26-00876</t>
  </si>
  <si>
    <t>GRO-STA-36430</t>
  </si>
  <si>
    <t>AMZ26-00877</t>
  </si>
  <si>
    <t>FAS-MEN-16492</t>
  </si>
  <si>
    <t>AMZ26-00878</t>
  </si>
  <si>
    <t>ELE-LAP-68060</t>
  </si>
  <si>
    <t>AMZ26-00879</t>
  </si>
  <si>
    <t>HOM-KIT-13729</t>
  </si>
  <si>
    <t>AMZ26-00880</t>
  </si>
  <si>
    <t>GRO-STA-90279</t>
  </si>
  <si>
    <t>AMZ26-00881</t>
  </si>
  <si>
    <t>GRO-SNA-78230</t>
  </si>
  <si>
    <t>AMZ26-00882</t>
  </si>
  <si>
    <t>ELE-LAP-52210</t>
  </si>
  <si>
    <t>AMZ26-00883</t>
  </si>
  <si>
    <t>BEA-MAK-76077</t>
  </si>
  <si>
    <t>AMZ26-00884</t>
  </si>
  <si>
    <t>ELE-LAP-99075</t>
  </si>
  <si>
    <t>AMZ26-00885</t>
  </si>
  <si>
    <t>HOM-KIT-35220</t>
  </si>
  <si>
    <t>AMZ26-00886</t>
  </si>
  <si>
    <t>BEA-SKI-59483</t>
  </si>
  <si>
    <t>AMZ26-00887</t>
  </si>
  <si>
    <t>GRO-SNA-36893</t>
  </si>
  <si>
    <t>AMZ26-00888</t>
  </si>
  <si>
    <t>FAS-WOM-79864</t>
  </si>
  <si>
    <t>AMZ26-00889</t>
  </si>
  <si>
    <t>ELE-MOB-62558</t>
  </si>
  <si>
    <t>AMZ26-00890</t>
  </si>
  <si>
    <t>HOM-HOM-56757</t>
  </si>
  <si>
    <t>AMZ26-00891</t>
  </si>
  <si>
    <t>HOM-COO-13626</t>
  </si>
  <si>
    <t>AMZ26-00892</t>
  </si>
  <si>
    <t>GRO-SNA-63882</t>
  </si>
  <si>
    <t>AMZ26-00893</t>
  </si>
  <si>
    <t>ELE-ACC-37219</t>
  </si>
  <si>
    <t>AMZ26-00894</t>
  </si>
  <si>
    <t>Nikhil Joshi</t>
  </si>
  <si>
    <t>GRO-SNA-47811</t>
  </si>
  <si>
    <t>AMZ26-00895</t>
  </si>
  <si>
    <t>FAS-FOO-31273</t>
  </si>
  <si>
    <t>AMZ26-00896</t>
  </si>
  <si>
    <t>ELE-MOB-19462</t>
  </si>
  <si>
    <t>AMZ26-00897</t>
  </si>
  <si>
    <t>GRO-BEV-47319</t>
  </si>
  <si>
    <t>AMZ26-00898</t>
  </si>
  <si>
    <t>HOM-KIT-33776</t>
  </si>
  <si>
    <t>AMZ26-00899</t>
  </si>
  <si>
    <t>FAS-WOM-33781</t>
  </si>
  <si>
    <t>AMZ26-00900</t>
  </si>
  <si>
    <t>HOM-KIT-80245</t>
  </si>
  <si>
    <t>AMZ26-00901</t>
  </si>
  <si>
    <t>BEA-MAK-38740</t>
  </si>
  <si>
    <t>AMZ26-00902</t>
  </si>
  <si>
    <t>HOM-KIT-81138</t>
  </si>
  <si>
    <t>AMZ26-00903</t>
  </si>
  <si>
    <t>ELE-ACC-77598</t>
  </si>
  <si>
    <t>AMZ26-00904</t>
  </si>
  <si>
    <t>HOM-HOM-51556</t>
  </si>
  <si>
    <t>AMZ26-00905</t>
  </si>
  <si>
    <t>FAS-WOM-77335</t>
  </si>
  <si>
    <t>AMZ26-00906</t>
  </si>
  <si>
    <t>GRO-BEV-80612</t>
  </si>
  <si>
    <t>AMZ26-00907</t>
  </si>
  <si>
    <t>GRO-BEV-28048</t>
  </si>
  <si>
    <t>AMZ26-00908</t>
  </si>
  <si>
    <t>ELE-ACC-96354</t>
  </si>
  <si>
    <t>AMZ26-00909</t>
  </si>
  <si>
    <t>BEA-SKI-68111</t>
  </si>
  <si>
    <t>AMZ26-00910</t>
  </si>
  <si>
    <t>ELE-MOB-63263</t>
  </si>
  <si>
    <t>AMZ26-00911</t>
  </si>
  <si>
    <t>HOM-KIT-37238</t>
  </si>
  <si>
    <t>AMZ26-00912</t>
  </si>
  <si>
    <t>FAS-WOM-85025</t>
  </si>
  <si>
    <t>AMZ26-00913</t>
  </si>
  <si>
    <t>ELE-MOB-86465</t>
  </si>
  <si>
    <t>AMZ26-00914</t>
  </si>
  <si>
    <t>FAS-WOM-87354</t>
  </si>
  <si>
    <t>AMZ26-00915</t>
  </si>
  <si>
    <t>FAS-WOM-48885</t>
  </si>
  <si>
    <t>AMZ26-00916</t>
  </si>
  <si>
    <t>Rahul Gupta</t>
  </si>
  <si>
    <t>BEA-MAK-21986</t>
  </si>
  <si>
    <t>AMZ26-00917</t>
  </si>
  <si>
    <t>BEA-MAK-24593</t>
  </si>
  <si>
    <t>AMZ26-00918</t>
  </si>
  <si>
    <t>FAS-WOM-33366</t>
  </si>
  <si>
    <t>AMZ26-00919</t>
  </si>
  <si>
    <t>HOM-KIT-56730</t>
  </si>
  <si>
    <t>AMZ26-00920</t>
  </si>
  <si>
    <t>GRO-STA-61037</t>
  </si>
  <si>
    <t>AMZ26-00921</t>
  </si>
  <si>
    <t>ELE-ACC-39368</t>
  </si>
  <si>
    <t>AMZ26-00922</t>
  </si>
  <si>
    <t>BEA-HAI-56323</t>
  </si>
  <si>
    <t>AMZ26-00923</t>
  </si>
  <si>
    <t>HOM-COO-80711</t>
  </si>
  <si>
    <t>AMZ26-00924</t>
  </si>
  <si>
    <t>HOM-KIT-57240</t>
  </si>
  <si>
    <t>AMZ26-00925</t>
  </si>
  <si>
    <t>HOM-KIT-65427</t>
  </si>
  <si>
    <t>AMZ26-00926</t>
  </si>
  <si>
    <t>ELE-ACC-52932</t>
  </si>
  <si>
    <t>AMZ26-00927</t>
  </si>
  <si>
    <t>HOM-COO-10086</t>
  </si>
  <si>
    <t>AMZ26-00928</t>
  </si>
  <si>
    <t>BEA-HAI-57121</t>
  </si>
  <si>
    <t>AMZ26-00929</t>
  </si>
  <si>
    <t>GRO-STA-79481</t>
  </si>
  <si>
    <t>AMZ26-00930</t>
  </si>
  <si>
    <t>HOM-COO-46042</t>
  </si>
  <si>
    <t>AMZ26-00931</t>
  </si>
  <si>
    <t>HOM-HOM-79646</t>
  </si>
  <si>
    <t>AMZ26-00932</t>
  </si>
  <si>
    <t>BEA-HAI-23570</t>
  </si>
  <si>
    <t>AMZ26-00933</t>
  </si>
  <si>
    <t>FAS-WOM-55349</t>
  </si>
  <si>
    <t>AMZ26-00934</t>
  </si>
  <si>
    <t>ELE-LAP-35004</t>
  </si>
  <si>
    <t>AMZ26-00935</t>
  </si>
  <si>
    <t>GRO-STA-23597</t>
  </si>
  <si>
    <t>AMZ26-00936</t>
  </si>
  <si>
    <t>Nikhil Nair</t>
  </si>
  <si>
    <t>BEA-HAI-16378</t>
  </si>
  <si>
    <t>AMZ26-00937</t>
  </si>
  <si>
    <t>ELE-MOB-30268</t>
  </si>
  <si>
    <t>AMZ26-00938</t>
  </si>
  <si>
    <t>FAS-WOM-12875</t>
  </si>
  <si>
    <t>AMZ26-00939</t>
  </si>
  <si>
    <t>Aarav Gupta</t>
  </si>
  <si>
    <t>BEA-MAK-97368</t>
  </si>
  <si>
    <t>AMZ26-00940</t>
  </si>
  <si>
    <t>GRO-BEV-17161</t>
  </si>
  <si>
    <t>AMZ26-00941</t>
  </si>
  <si>
    <t>BEA-MAK-94119</t>
  </si>
  <si>
    <t>AMZ26-00942</t>
  </si>
  <si>
    <t>FAS-WOM-28586</t>
  </si>
  <si>
    <t>AMZ26-00943</t>
  </si>
  <si>
    <t>FAS-WOM-19262</t>
  </si>
  <si>
    <t>AMZ26-00944</t>
  </si>
  <si>
    <t>FAS-WOM-66395</t>
  </si>
  <si>
    <t>AMZ26-00945</t>
  </si>
  <si>
    <t>HOM-COO-89035</t>
  </si>
  <si>
    <t>AMZ26-00946</t>
  </si>
  <si>
    <t>ELE-ACC-46762</t>
  </si>
  <si>
    <t>AMZ26-00947</t>
  </si>
  <si>
    <t>BEA-SKI-56399</t>
  </si>
  <si>
    <t>AMZ26-00948</t>
  </si>
  <si>
    <t>ELE-LAP-91009</t>
  </si>
  <si>
    <t>AMZ26-00949</t>
  </si>
  <si>
    <t>HOM-COO-63361</t>
  </si>
  <si>
    <t>AMZ26-00950</t>
  </si>
  <si>
    <t>BEA-HAI-95269</t>
  </si>
  <si>
    <t>AMZ26-00951</t>
  </si>
  <si>
    <t>FAS-WOM-99527</t>
  </si>
  <si>
    <t>AMZ26-00952</t>
  </si>
  <si>
    <t>HOM-KIT-34501</t>
  </si>
  <si>
    <t>AMZ26-00953</t>
  </si>
  <si>
    <t>GRO-STA-59952</t>
  </si>
  <si>
    <t>AMZ26-00954</t>
  </si>
  <si>
    <t>FAS-WOM-82021</t>
  </si>
  <si>
    <t>AMZ26-00955</t>
  </si>
  <si>
    <t>HOM-HOM-79760</t>
  </si>
  <si>
    <t>AMZ26-00956</t>
  </si>
  <si>
    <t>BEA-MAK-78656</t>
  </si>
  <si>
    <t>AMZ26-00957</t>
  </si>
  <si>
    <t>BEA-SKI-65544</t>
  </si>
  <si>
    <t>AMZ26-00958</t>
  </si>
  <si>
    <t>GRO-STA-10173</t>
  </si>
  <si>
    <t>AMZ26-00959</t>
  </si>
  <si>
    <t>Isha Kumar</t>
  </si>
  <si>
    <t>BEA-MAK-87110</t>
  </si>
  <si>
    <t>AMZ26-00960</t>
  </si>
  <si>
    <t>FAS-FOO-76626</t>
  </si>
  <si>
    <t>AMZ26-00961</t>
  </si>
  <si>
    <t>ELE-MOB-88176</t>
  </si>
  <si>
    <t>AMZ26-00962</t>
  </si>
  <si>
    <t>FAS-WOM-95115</t>
  </si>
  <si>
    <t>AMZ26-00963</t>
  </si>
  <si>
    <t>ELE-ACC-57387</t>
  </si>
  <si>
    <t>AMZ26-00964</t>
  </si>
  <si>
    <t>Priya Shetty</t>
  </si>
  <si>
    <t>ELE-ACC-96238</t>
  </si>
  <si>
    <t>AMZ26-00965</t>
  </si>
  <si>
    <t>BEA-HAI-55237</t>
  </si>
  <si>
    <t>AMZ26-00966</t>
  </si>
  <si>
    <t>BEA-MAK-79381</t>
  </si>
  <si>
    <t>AMZ26-00967</t>
  </si>
  <si>
    <t>FAS-WOM-20000</t>
  </si>
  <si>
    <t>AMZ26-00968</t>
  </si>
  <si>
    <t>BEA-SKI-36921</t>
  </si>
  <si>
    <t>AMZ26-00969</t>
  </si>
  <si>
    <t>ELE-ACC-32457</t>
  </si>
  <si>
    <t>AMZ26-00970</t>
  </si>
  <si>
    <t>FAS-WOM-91615</t>
  </si>
  <si>
    <t>AMZ26-00971</t>
  </si>
  <si>
    <t>HOM-KIT-91687</t>
  </si>
  <si>
    <t>AMZ26-00972</t>
  </si>
  <si>
    <t>ELE-LAP-45284</t>
  </si>
  <si>
    <t>AMZ26-00973</t>
  </si>
  <si>
    <t>BEA-SKI-61280</t>
  </si>
  <si>
    <t>AMZ26-00974</t>
  </si>
  <si>
    <t>GRO-BEV-33174</t>
  </si>
  <si>
    <t>AMZ26-00975</t>
  </si>
  <si>
    <t>BEA-SKI-76974</t>
  </si>
  <si>
    <t>AMZ26-00976</t>
  </si>
  <si>
    <t>GRO-BEV-29403</t>
  </si>
  <si>
    <t>AMZ26-00977</t>
  </si>
  <si>
    <t>BEA-MAK-56563</t>
  </si>
  <si>
    <t>AMZ26-00978</t>
  </si>
  <si>
    <t>GRO-BEV-90927</t>
  </si>
  <si>
    <t>AMZ26-00979</t>
  </si>
  <si>
    <t>HOM-KIT-97810</t>
  </si>
  <si>
    <t>AMZ26-00980</t>
  </si>
  <si>
    <t>BEA-MAK-46077</t>
  </si>
  <si>
    <t>AMZ26-00981</t>
  </si>
  <si>
    <t>FAS-MEN-72281</t>
  </si>
  <si>
    <t>AMZ26-00982</t>
  </si>
  <si>
    <t>GRO-SNA-46437</t>
  </si>
  <si>
    <t>AMZ26-00983</t>
  </si>
  <si>
    <t>BEA-HAI-61235</t>
  </si>
  <si>
    <t>AMZ26-00984</t>
  </si>
  <si>
    <t>FAS-WOM-14731</t>
  </si>
  <si>
    <t>AMZ26-00985</t>
  </si>
  <si>
    <t>HOM-HOM-54932</t>
  </si>
  <si>
    <t>AMZ26-00986</t>
  </si>
  <si>
    <t>ELE-MOB-12177</t>
  </si>
  <si>
    <t>AMZ26-00987</t>
  </si>
  <si>
    <t>ELE-ACC-56015</t>
  </si>
  <si>
    <t>AMZ26-00988</t>
  </si>
  <si>
    <t>HOM-KIT-68387</t>
  </si>
  <si>
    <t>AMZ26-00989</t>
  </si>
  <si>
    <t>ELE-MOB-39150</t>
  </si>
  <si>
    <t>AMZ26-00990</t>
  </si>
  <si>
    <t>GRO-BEV-57451</t>
  </si>
  <si>
    <t>AMZ26-00991</t>
  </si>
  <si>
    <t>Ananya Kumar</t>
  </si>
  <si>
    <t>ELE-LAP-88469</t>
  </si>
  <si>
    <t>AMZ26-00992</t>
  </si>
  <si>
    <t>BEA-MAK-75749</t>
  </si>
  <si>
    <t>AMZ26-00993</t>
  </si>
  <si>
    <t>HOM-HOM-71316</t>
  </si>
  <si>
    <t>AMZ26-00994</t>
  </si>
  <si>
    <t>BEA-SKI-12702</t>
  </si>
  <si>
    <t>AMZ26-00995</t>
  </si>
  <si>
    <t>BEA-HAI-71663</t>
  </si>
  <si>
    <t>AMZ26-00996</t>
  </si>
  <si>
    <t>GRO-BEV-88577</t>
  </si>
  <si>
    <t>AMZ26-00997</t>
  </si>
  <si>
    <t>FAS-FOO-80747</t>
  </si>
  <si>
    <t>AMZ26-00998</t>
  </si>
  <si>
    <t>ELE-MOB-43654</t>
  </si>
  <si>
    <t>AMZ26-00999</t>
  </si>
  <si>
    <t>BEA-HAI-66026</t>
  </si>
  <si>
    <t>AMZ26-01000</t>
  </si>
  <si>
    <t>BEA-MAK-75155</t>
  </si>
  <si>
    <t>Grand Total</t>
  </si>
  <si>
    <t>Sum of Net Sales</t>
  </si>
  <si>
    <t>Jan</t>
  </si>
  <si>
    <t>Feb</t>
  </si>
  <si>
    <t>Mar</t>
  </si>
  <si>
    <t>Apr</t>
  </si>
  <si>
    <t>May</t>
  </si>
  <si>
    <t>Jun</t>
  </si>
  <si>
    <t>Jul</t>
  </si>
  <si>
    <t>Aug</t>
  </si>
  <si>
    <t>Sep</t>
  </si>
  <si>
    <t>Oct</t>
  </si>
  <si>
    <t>Nov</t>
  </si>
  <si>
    <t>Dec</t>
  </si>
  <si>
    <t>Values</t>
  </si>
  <si>
    <t>Count of Order ID</t>
  </si>
  <si>
    <t>Sum of Sales Target</t>
  </si>
  <si>
    <t>Sum of Profit</t>
  </si>
  <si>
    <t>Actual Sales</t>
  </si>
  <si>
    <t>Amount</t>
  </si>
  <si>
    <t>1.Total sales by Region</t>
  </si>
  <si>
    <t>2.Total sales by Category</t>
  </si>
  <si>
    <t>3.Total net sales per month</t>
  </si>
  <si>
    <t xml:space="preserve"> 5. Payment Method</t>
  </si>
  <si>
    <t>6.Regional Sales Performance</t>
  </si>
  <si>
    <t>4.Order status Analysis</t>
  </si>
  <si>
    <t>TOTAL SALES</t>
  </si>
  <si>
    <t>TOTAL PROFIT</t>
  </si>
  <si>
    <t>TOTAL REVENUE</t>
  </si>
  <si>
    <t>NET REVENUE</t>
  </si>
  <si>
    <t>order_id</t>
  </si>
  <si>
    <t>sales</t>
  </si>
  <si>
    <t>profit</t>
  </si>
  <si>
    <t>city</t>
  </si>
  <si>
    <t>North sales</t>
  </si>
  <si>
    <t>East sales</t>
  </si>
  <si>
    <t>West sales</t>
  </si>
  <si>
    <t>South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</si>
</sst>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164" formatCode="dd\-mmm\-yyyy"/>
    <numFmt numFmtId="165" formatCode="#,##0,&quot;K&quot;"/>
    <numFmt numFmtId="166" formatCode="0.0%"/>
  </numFmts>
  <fonts count="7">
    <font>
      <sz val="11"/>
      <name val="Carlito"/>
    </font>
    <font>
      <b/>
      <sz val="11"/>
      <color rgb="FFFFFFFF"/>
      <name val="Carlito"/>
    </font>
    <font>
      <sz val="10"/>
      <name val="Aptos"/>
      <family val="2"/>
    </font>
    <font>
      <sz val="11"/>
      <name val="Carlito"/>
    </font>
    <font>
      <sz val="11"/>
      <color theme="1"/>
      <name val="Carlito"/>
    </font>
    <font>
      <b/>
      <sz val="14"/>
      <name val="Carlito"/>
    </font>
    <font>
      <b/>
      <sz val="14"/>
      <color theme="1"/>
      <name val="Cambria"/>
      <family val="1"/>
    </font>
  </fonts>
  <fills count="7">
    <fill>
      <patternFill patternType="none"/>
    </fill>
    <fill>
      <patternFill patternType="gray125"/>
    </fill>
    <fill>
      <patternFill patternType="solid">
        <fgColor rgb="FF0F4C1F"/>
        <bgColor indexed="64"/>
      </patternFill>
    </fill>
    <fill>
      <patternFill patternType="solid">
        <fgColor rgb="FFF6FAF4"/>
        <bgColor indexed="64"/>
      </patternFill>
    </fill>
    <fill>
      <patternFill patternType="solid">
        <fgColor theme="6" tint="0.79998168889431442"/>
        <bgColor theme="6" tint="0.79998168889431442"/>
      </patternFill>
    </fill>
    <fill>
      <patternFill patternType="solid">
        <fgColor rgb="FFFFFF00"/>
        <bgColor indexed="64"/>
      </patternFill>
    </fill>
    <fill>
      <patternFill patternType="solid">
        <fgColor rgb="FF00B0F0"/>
        <bgColor indexed="64"/>
      </patternFill>
    </fill>
  </fills>
  <borders count="2">
    <border>
      <left/>
      <right/>
      <top/>
      <bottom/>
      <diagonal/>
    </border>
    <border>
      <left style="thin">
        <color theme="6" tint="0.39997558519241921"/>
      </left>
      <right/>
      <top style="thin">
        <color theme="6" tint="0.39997558519241921"/>
      </top>
      <bottom style="thin">
        <color theme="6" tint="0.39997558519241921"/>
      </bottom>
      <diagonal/>
    </border>
  </borders>
  <cellStyleXfs count="2">
    <xf numFmtId="0" fontId="0" fillId="0" borderId="0"/>
    <xf numFmtId="44" fontId="3" fillId="0" borderId="0" applyFont="0" applyFill="0" applyBorder="0" applyAlignment="0" applyProtection="0"/>
  </cellStyleXfs>
  <cellXfs count="30">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4" fillId="4" borderId="1" xfId="0" applyFont="1" applyFill="1" applyBorder="1"/>
    <xf numFmtId="0" fontId="4" fillId="0" borderId="1" xfId="0" applyFont="1" applyBorder="1"/>
    <xf numFmtId="10" fontId="1" fillId="2" borderId="0" xfId="0" applyNumberFormat="1" applyFont="1" applyFill="1"/>
    <xf numFmtId="10" fontId="0" fillId="0" borderId="0" xfId="0" applyNumberFormat="1"/>
    <xf numFmtId="44" fontId="1" fillId="2" borderId="0" xfId="1" applyFont="1" applyFill="1"/>
    <xf numFmtId="44" fontId="0" fillId="0" borderId="0" xfId="1" applyFont="1"/>
    <xf numFmtId="0" fontId="0" fillId="5" borderId="0" xfId="0" applyFill="1"/>
    <xf numFmtId="44" fontId="0" fillId="0" borderId="0" xfId="0" applyNumberFormat="1"/>
    <xf numFmtId="44" fontId="0" fillId="5" borderId="0" xfId="1" applyFont="1" applyFill="1"/>
    <xf numFmtId="44" fontId="0" fillId="5" borderId="0" xfId="0" applyNumberFormat="1" applyFill="1"/>
    <xf numFmtId="0" fontId="0" fillId="6" borderId="0" xfId="0" applyFill="1"/>
    <xf numFmtId="44" fontId="0" fillId="6" borderId="0" xfId="1" applyFont="1" applyFill="1"/>
    <xf numFmtId="0" fontId="5" fillId="6" borderId="0" xfId="0" applyFont="1" applyFill="1"/>
    <xf numFmtId="0" fontId="6" fillId="6" borderId="0" xfId="0" applyFont="1" applyFill="1" applyAlignment="1">
      <alignment horizontal="center" vertical="center"/>
    </xf>
  </cellXfs>
  <cellStyles count="2">
    <cellStyle name="Currency" xfId="1" builtinId="4"/>
    <cellStyle name="Normal" xfId="0" builtinId="0"/>
  </cellStyles>
  <dxfs count="97">
    <dxf>
      <numFmt numFmtId="3" formatCode="#,##0"/>
    </dxf>
    <dxf>
      <numFmt numFmtId="165" formatCode="#,##0,&quot;K&quot;"/>
    </dxf>
    <dxf>
      <font>
        <sz val="10"/>
      </font>
    </dxf>
    <dxf>
      <font>
        <sz val="10"/>
      </font>
    </dxf>
    <dxf>
      <font>
        <sz val="10"/>
      </fon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numFmt numFmtId="3" formatCode="#,##0"/>
    </dxf>
    <dxf>
      <numFmt numFmtId="165" formatCode="#,##0,&quot;K&quo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font>
        <sz val="10"/>
      </font>
    </dxf>
    <dxf>
      <font>
        <sz val="10"/>
      </font>
    </dxf>
    <dxf>
      <font>
        <sz val="10"/>
      </font>
    </dxf>
    <dxf>
      <font>
        <sz val="10"/>
      </font>
    </dxf>
    <dxf>
      <font>
        <sz val="10"/>
      </font>
    </dxf>
    <dxf>
      <font>
        <sz val="10"/>
      </font>
    </dxf>
    <dxf>
      <font>
        <name val="Aptos"/>
        <family val="2"/>
      </font>
    </dxf>
    <dxf>
      <font>
        <name val="Aptos"/>
        <family val="2"/>
      </font>
    </dxf>
    <dxf>
      <font>
        <name val="Aptos"/>
        <family val="2"/>
      </font>
    </dxf>
    <dxf>
      <font>
        <name val="Aptos"/>
        <family val="2"/>
      </font>
    </dxf>
    <dxf>
      <font>
        <name val="Aptos"/>
        <family val="2"/>
      </font>
    </dxf>
    <dxf>
      <font>
        <name val="Aptos"/>
        <family val="2"/>
      </font>
    </dxf>
    <dxf>
      <numFmt numFmtId="165" formatCode="#,##0,&quot;K&quot;"/>
    </dxf>
    <dxf>
      <numFmt numFmtId="34" formatCode="_ &quot;₹&quot;\ * #,##0.00_ ;_ &quot;₹&quot;\ * \-#,##0.00_ ;_ &quot;₹&quot;\ * &quot;-&quot;??_ ;_ @_ "/>
    </dxf>
    <dxf>
      <numFmt numFmtId="165" formatCode="#,##0,&quot;K&quot;"/>
    </dxf>
    <dxf>
      <numFmt numFmtId="165" formatCode="#,##0,&quot;K&quot;"/>
    </dxf>
    <dxf>
      <numFmt numFmtId="165" formatCode="#,##0,&quot;K&quot;"/>
    </dxf>
    <dxf>
      <numFmt numFmtId="14" formatCode="0.00%"/>
    </dxf>
    <dxf>
      <numFmt numFmtId="164" formatCode="dd\-mmm\-yyyy"/>
    </dxf>
    <dxf>
      <font>
        <b/>
        <i val="0"/>
        <strike val="0"/>
        <condense val="0"/>
        <extend val="0"/>
        <outline val="0"/>
        <shadow val="0"/>
        <u val="none"/>
        <vertAlign val="baseline"/>
        <sz val="11"/>
        <color rgb="FFFFFFFF"/>
        <name val="Carlito"/>
        <scheme val="none"/>
      </font>
      <fill>
        <patternFill patternType="solid">
          <fgColor indexed="64"/>
          <bgColor rgb="FF0F4C1F"/>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[Dataset-Amazon.xlsm]Pivot!PT_SalesByRegion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Pivot!$A$4:$A$8</c:f>
              <c:strCache>
                <c:ptCount val="4"/>
                <c:pt idx="0">
                  <c:v>East</c:v>
                </c:pt>
                <c:pt idx="1">
                  <c:v>North</c:v>
                </c:pt>
                <c:pt idx="2">
                  <c:v>South</c:v>
                </c:pt>
                <c:pt idx="3">
                  <c:v>West</c:v>
                </c:pt>
              </c:strCache>
            </c:strRef>
          </c:cat>
          <c:val>
            <c:numRef>
              <c:f>Pivot!$B$4:$B$8</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D95D-4535-83A5-43A8188818EA}"/>
            </c:ext>
          </c:extLst>
        </c:ser>
        <c:dLbls>
          <c:showLegendKey val="0"/>
          <c:showVal val="1"/>
          <c:showCatName val="0"/>
          <c:showSerName val="0"/>
          <c:showPercent val="0"/>
          <c:showBubbleSize val="0"/>
        </c:dLbls>
        <c:gapWidth val="150"/>
        <c:shape val="box"/>
        <c:axId val="930379839"/>
        <c:axId val="930379423"/>
        <c:axId val="1245767711"/>
      </c:bar3DChart>
      <c:catAx>
        <c:axId val="93037983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379423"/>
        <c:crosses val="autoZero"/>
        <c:auto val="1"/>
        <c:lblAlgn val="ctr"/>
        <c:lblOffset val="100"/>
        <c:noMultiLvlLbl val="0"/>
      </c:catAx>
      <c:valAx>
        <c:axId val="930379423"/>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379839"/>
        <c:crosses val="autoZero"/>
        <c:crossBetween val="between"/>
      </c:valAx>
      <c:serAx>
        <c:axId val="1245767711"/>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379423"/>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[Dataset-Amazon.xlsm]Pivot!PT_SalesByCategory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3"/>
          </a:solidFill>
          <a:ln w="19050">
            <a:solidFill>
              <a:schemeClr val="lt1"/>
            </a:solidFill>
          </a:ln>
          <a:effectLst/>
        </c:spPr>
      </c:pivotFmt>
      <c:pivotFmt>
        <c:idx val="11"/>
        <c:spPr>
          <a:solidFill>
            <a:schemeClr val="accent4"/>
          </a:solidFill>
          <a:ln w="19050">
            <a:solidFill>
              <a:schemeClr val="lt1"/>
            </a:solidFill>
          </a:ln>
          <a:effectLst/>
        </c:spPr>
      </c:pivotFmt>
      <c:pivotFmt>
        <c:idx val="12"/>
        <c:spPr>
          <a:solidFill>
            <a:schemeClr val="accent5"/>
          </a:solidFill>
          <a:ln w="19050">
            <a:solidFill>
              <a:schemeClr val="lt1"/>
            </a:solidFill>
          </a:ln>
          <a:effectLst/>
        </c:spPr>
      </c:pivotFmt>
    </c:pivotFmts>
    <c:plotArea>
      <c:layout/>
      <c:pieChart>
        <c:varyColors val="1"/>
        <c:ser>
          <c:idx val="0"/>
          <c:order val="0"/>
          <c:tx>
            <c:strRef>
              <c:f>Pivot!$E$3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10-4511-80C6-9979B7E457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10-4511-80C6-9979B7E457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10-4511-80C6-9979B7E457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E10-4511-80C6-9979B7E457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E10-4511-80C6-9979B7E4573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Pivot!$D$4:$D$9</c:f>
              <c:strCache>
                <c:ptCount val="5"/>
                <c:pt idx="0">
                  <c:v>Beauty</c:v>
                </c:pt>
                <c:pt idx="1">
                  <c:v>Electronics</c:v>
                </c:pt>
                <c:pt idx="2">
                  <c:v>Fashion</c:v>
                </c:pt>
                <c:pt idx="3">
                  <c:v>Grocery</c:v>
                </c:pt>
                <c:pt idx="4">
                  <c:v>Home &amp; Kitchen</c:v>
                </c:pt>
              </c:strCache>
            </c:strRef>
          </c:cat>
          <c:val>
            <c:numRef>
              <c:f>Pivot!$E$4:$E$9</c:f>
              <c:numCache>
                <c:formatCode>#,##0,"K"</c:formatCode>
                <c:ptCount val="5"/>
                <c:pt idx="0">
                  <c:v>519977.15</c:v>
                </c:pt>
                <c:pt idx="1">
                  <c:v>11657759.399999997</c:v>
                </c:pt>
                <c:pt idx="2">
                  <c:v>1169169.46</c:v>
                </c:pt>
                <c:pt idx="3">
                  <c:v>350345.81000000006</c:v>
                </c:pt>
                <c:pt idx="4">
                  <c:v>2506473.370000001</c:v>
                </c:pt>
              </c:numCache>
            </c:numRef>
          </c:val>
          <c:extLst>
            <c:ext xmlns:c16="http://schemas.microsoft.com/office/drawing/2014/chart" uri="{C3380CC4-5D6E-409C-BE32-E72D297353CC}">
              <c16:uniqueId val="{0000000A-EE10-4511-80C6-9979B7E4573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[Dataset-Amazon.xlsm]Pivot!PT_MonthlyTrend</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Monthy</a:t>
            </a:r>
            <a:r>
              <a:rPr lang="en-US" baseline="0"/>
              <a:t>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Pivot!$H$4:$H$16</c:f>
              <c:numCache>
                <c:formatCode>#,##0,"K"</c:formatCode>
                <c:ptCount val="12"/>
                <c:pt idx="0">
                  <c:v>1260468.3800000001</c:v>
                </c:pt>
                <c:pt idx="1">
                  <c:v>1105988.57</c:v>
                </c:pt>
                <c:pt idx="2">
                  <c:v>2249344.2799999998</c:v>
                </c:pt>
                <c:pt idx="3">
                  <c:v>1626918.77</c:v>
                </c:pt>
                <c:pt idx="4">
                  <c:v>1283694.0299999993</c:v>
                </c:pt>
                <c:pt idx="5">
                  <c:v>908053.93</c:v>
                </c:pt>
                <c:pt idx="6">
                  <c:v>1188128.0399999993</c:v>
                </c:pt>
                <c:pt idx="7">
                  <c:v>1241088.1600000001</c:v>
                </c:pt>
                <c:pt idx="8">
                  <c:v>1652361.9899999998</c:v>
                </c:pt>
                <c:pt idx="9">
                  <c:v>503389.91999999993</c:v>
                </c:pt>
                <c:pt idx="10">
                  <c:v>1301591.4999999995</c:v>
                </c:pt>
                <c:pt idx="11">
                  <c:v>1882697.62</c:v>
                </c:pt>
              </c:numCache>
            </c:numRef>
          </c:val>
          <c:smooth val="0"/>
          <c:extLst>
            <c:ext xmlns:c16="http://schemas.microsoft.com/office/drawing/2014/chart" uri="{C3380CC4-5D6E-409C-BE32-E72D297353CC}">
              <c16:uniqueId val="{00000000-D550-468C-B632-189ABCC15FFF}"/>
            </c:ext>
          </c:extLst>
        </c:ser>
        <c:dLbls>
          <c:showLegendKey val="0"/>
          <c:showVal val="0"/>
          <c:showCatName val="0"/>
          <c:showSerName val="0"/>
          <c:showPercent val="0"/>
          <c:showBubbleSize val="0"/>
        </c:dLbls>
        <c:marker val="1"/>
        <c:smooth val="0"/>
        <c:axId val="1325799695"/>
        <c:axId val="1325798863"/>
      </c:lineChart>
      <c:catAx>
        <c:axId val="1325799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798863"/>
        <c:crosses val="autoZero"/>
        <c:auto val="1"/>
        <c:lblAlgn val="ctr"/>
        <c:lblOffset val="100"/>
        <c:noMultiLvlLbl val="0"/>
      </c:catAx>
      <c:valAx>
        <c:axId val="1325798863"/>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799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[Dataset-Amazon.xlsm]Pivot!PT_TargetVsActual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Target</a:t>
            </a:r>
            <a:r>
              <a:rPr lang="en-IN" baseline="0"/>
              <a:t> vs Actual</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Pivot!$E$25:$E$26</c:f>
              <c:strCache>
                <c:ptCount val="1"/>
                <c:pt idx="0">
                  <c:v>Actual Sales</c:v>
                </c:pt>
              </c:strCache>
            </c:strRef>
          </c:tx>
          <c:spPr>
            <a:solidFill>
              <a:schemeClr val="accent1"/>
            </a:solidFill>
            <a:ln>
              <a:noFill/>
            </a:ln>
            <a:effectLst/>
            <a:sp3d/>
          </c:spPr>
          <c:invertIfNegative val="0"/>
          <c:cat>
            <c:strRef>
              <c:f>Pivot!$D$27:$D$31</c:f>
              <c:strCache>
                <c:ptCount val="4"/>
                <c:pt idx="0">
                  <c:v>East</c:v>
                </c:pt>
                <c:pt idx="1">
                  <c:v>North</c:v>
                </c:pt>
                <c:pt idx="2">
                  <c:v>South</c:v>
                </c:pt>
                <c:pt idx="3">
                  <c:v>West</c:v>
                </c:pt>
              </c:strCache>
            </c:strRef>
          </c:cat>
          <c:val>
            <c:numRef>
              <c:f>Pivot!$E$27:$E$31</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3437-41BF-BA32-1B3CDF4AD4F7}"/>
            </c:ext>
          </c:extLst>
        </c:ser>
        <c:ser>
          <c:idx val="1"/>
          <c:order val="1"/>
          <c:tx>
            <c:strRef>
              <c:f>Pivot!$F$25:$F$26</c:f>
              <c:strCache>
                <c:ptCount val="1"/>
                <c:pt idx="0">
                  <c:v>Sum of Sales Target</c:v>
                </c:pt>
              </c:strCache>
            </c:strRef>
          </c:tx>
          <c:spPr>
            <a:solidFill>
              <a:schemeClr val="accent2"/>
            </a:solidFill>
            <a:ln>
              <a:noFill/>
            </a:ln>
            <a:effectLst/>
            <a:sp3d/>
          </c:spPr>
          <c:invertIfNegative val="0"/>
          <c:cat>
            <c:strRef>
              <c:f>Pivot!$D$27:$D$31</c:f>
              <c:strCache>
                <c:ptCount val="4"/>
                <c:pt idx="0">
                  <c:v>East</c:v>
                </c:pt>
                <c:pt idx="1">
                  <c:v>North</c:v>
                </c:pt>
                <c:pt idx="2">
                  <c:v>South</c:v>
                </c:pt>
                <c:pt idx="3">
                  <c:v>West</c:v>
                </c:pt>
              </c:strCache>
            </c:strRef>
          </c:cat>
          <c:val>
            <c:numRef>
              <c:f>Pivot!$F$27:$F$31</c:f>
              <c:numCache>
                <c:formatCode>#,##0,"K"</c:formatCode>
                <c:ptCount val="4"/>
                <c:pt idx="0">
                  <c:v>4948025.46</c:v>
                </c:pt>
                <c:pt idx="1">
                  <c:v>4112629.8400000022</c:v>
                </c:pt>
                <c:pt idx="2">
                  <c:v>3461107.8199999984</c:v>
                </c:pt>
                <c:pt idx="3">
                  <c:v>4414685.8699999982</c:v>
                </c:pt>
              </c:numCache>
            </c:numRef>
          </c:val>
          <c:extLst>
            <c:ext xmlns:c16="http://schemas.microsoft.com/office/drawing/2014/chart" uri="{C3380CC4-5D6E-409C-BE32-E72D297353CC}">
              <c16:uniqueId val="{00000001-3437-41BF-BA32-1B3CDF4AD4F7}"/>
            </c:ext>
          </c:extLst>
        </c:ser>
        <c:dLbls>
          <c:showLegendKey val="0"/>
          <c:showVal val="0"/>
          <c:showCatName val="0"/>
          <c:showSerName val="0"/>
          <c:showPercent val="0"/>
          <c:showBubbleSize val="0"/>
        </c:dLbls>
        <c:gapWidth val="150"/>
        <c:shape val="box"/>
        <c:axId val="1325395743"/>
        <c:axId val="1325394495"/>
        <c:axId val="1533958127"/>
      </c:bar3DChart>
      <c:catAx>
        <c:axId val="1325395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394495"/>
        <c:crosses val="autoZero"/>
        <c:auto val="1"/>
        <c:lblAlgn val="ctr"/>
        <c:lblOffset val="100"/>
        <c:noMultiLvlLbl val="0"/>
      </c:catAx>
      <c:valAx>
        <c:axId val="1325394495"/>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395743"/>
        <c:crosses val="autoZero"/>
        <c:crossBetween val="between"/>
      </c:valAx>
      <c:serAx>
        <c:axId val="153395812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39449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IN" sz="1200" b="1">
                <a:solidFill>
                  <a:srgbClr val="0B2A5B"/>
                </a:solidFill>
              </a:rPr>
              <a:t>Sales by Region</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B2A5B"/>
                </a:gs>
                <a:gs pos="100000">
                  <a:srgbClr val="0B2A5B"/>
                </a:gs>
              </a:gsLst>
              <a:lin ang="0" scaled="1"/>
              <a:tileRect/>
            </a:gradFill>
            <a:ln>
              <a:solidFill>
                <a:srgbClr val="081E4A"/>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Pivot!$A$51:$A$54</c:f>
              <c:strCache>
                <c:ptCount val="4"/>
                <c:pt idx="0">
                  <c:v>East</c:v>
                </c:pt>
                <c:pt idx="1">
                  <c:v>North</c:v>
                </c:pt>
                <c:pt idx="2">
                  <c:v>South</c:v>
                </c:pt>
                <c:pt idx="3">
                  <c:v>West</c:v>
                </c:pt>
              </c:strCache>
            </c:strRef>
          </c:cat>
          <c:val>
            <c:numRef>
              <c:f>Pivot!$B$51:$B$54</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4884-40CE-B6E5-505CAC03550F}"/>
            </c:ext>
          </c:extLst>
        </c:ser>
        <c:dLbls>
          <c:showLegendKey val="0"/>
          <c:showVal val="0"/>
          <c:showCatName val="0"/>
          <c:showSerName val="0"/>
          <c:showPercent val="0"/>
          <c:showBubbleSize val="0"/>
        </c:dLbls>
        <c:gapWidth val="150"/>
        <c:axId val="869971504"/>
        <c:axId val="869969008"/>
      </c:barChart>
      <c:catAx>
        <c:axId val="869971504"/>
        <c:scaling>
          <c:orientation val="minMax"/>
        </c:scaling>
        <c:delete val="0"/>
        <c:axPos val="b"/>
        <c:numFmt formatCode="General" sourceLinked="1"/>
        <c:majorTickMark val="out"/>
        <c:minorTickMark val="none"/>
        <c:tickLblPos val="nextTo"/>
        <c:spPr>
          <a:ln>
            <a:solidFill>
              <a:srgbClr val="D2D2D2"/>
            </a:solidFill>
          </a:ln>
        </c:spPr>
        <c:crossAx val="869969008"/>
        <c:crosses val="autoZero"/>
        <c:auto val="1"/>
        <c:lblAlgn val="ctr"/>
        <c:lblOffset val="100"/>
        <c:noMultiLvlLbl val="0"/>
      </c:catAx>
      <c:valAx>
        <c:axId val="869969008"/>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869971504"/>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7E0EC"/>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IN" sz="1200" b="1">
                <a:solidFill>
                  <a:srgbClr val="0B2A5B"/>
                </a:solidFill>
              </a:rPr>
              <a:t>Sales by Category</a:t>
            </a:r>
          </a:p>
        </c:rich>
      </c:tx>
      <c:overlay val="0"/>
    </c:title>
    <c:autoTitleDeleted val="0"/>
    <c:plotArea>
      <c:layout>
        <c:manualLayout>
          <c:xMode val="edge"/>
          <c:yMode val="edge"/>
          <c:x val="3.802083333333333E-2"/>
          <c:y val="0.14053121077256647"/>
          <c:w val="0.26097500000000001"/>
          <c:h val="0.75644927536231887"/>
        </c:manualLayout>
      </c:layout>
      <c:doughnutChart>
        <c:varyColors val="1"/>
        <c:ser>
          <c:idx val="0"/>
          <c:order val="0"/>
          <c:tx>
            <c:strRef>
              <c:f>Pivot!$E$50</c:f>
              <c:strCache>
                <c:ptCount val="1"/>
                <c:pt idx="0">
                  <c:v>Amount</c:v>
                </c:pt>
              </c:strCache>
            </c:strRef>
          </c:tx>
          <c:spPr>
            <a:solidFill>
              <a:srgbClr val="C00000"/>
            </a:solidFill>
          </c:spPr>
          <c:dPt>
            <c:idx val="0"/>
            <c:bubble3D val="0"/>
            <c:spPr>
              <a:solidFill>
                <a:srgbClr val="FFFF00"/>
              </a:solidFill>
              <a:ln>
                <a:solidFill>
                  <a:srgbClr val="FFFFFF"/>
                </a:solidFill>
              </a:ln>
            </c:spPr>
            <c:extLst>
              <c:ext xmlns:c16="http://schemas.microsoft.com/office/drawing/2014/chart" uri="{C3380CC4-5D6E-409C-BE32-E72D297353CC}">
                <c16:uniqueId val="{00000001-B036-4F90-B2B3-9AFE322347EF}"/>
              </c:ext>
            </c:extLst>
          </c:dPt>
          <c:dPt>
            <c:idx val="1"/>
            <c:bubble3D val="0"/>
            <c:spPr>
              <a:solidFill>
                <a:srgbClr val="0070C0"/>
              </a:solidFill>
              <a:ln>
                <a:solidFill>
                  <a:srgbClr val="FFFFFF"/>
                </a:solidFill>
              </a:ln>
            </c:spPr>
            <c:extLst>
              <c:ext xmlns:c16="http://schemas.microsoft.com/office/drawing/2014/chart" uri="{C3380CC4-5D6E-409C-BE32-E72D297353CC}">
                <c16:uniqueId val="{00000002-B036-4F90-B2B3-9AFE322347EF}"/>
              </c:ext>
            </c:extLst>
          </c:dPt>
          <c:dPt>
            <c:idx val="2"/>
            <c:bubble3D val="0"/>
            <c:spPr>
              <a:solidFill>
                <a:srgbClr val="00B050"/>
              </a:solidFill>
              <a:ln>
                <a:solidFill>
                  <a:srgbClr val="FFFFFF"/>
                </a:solidFill>
              </a:ln>
            </c:spPr>
            <c:extLst>
              <c:ext xmlns:c16="http://schemas.microsoft.com/office/drawing/2014/chart" uri="{C3380CC4-5D6E-409C-BE32-E72D297353CC}">
                <c16:uniqueId val="{00000003-B036-4F90-B2B3-9AFE322347EF}"/>
              </c:ext>
            </c:extLst>
          </c:dPt>
          <c:dPt>
            <c:idx val="3"/>
            <c:bubble3D val="0"/>
            <c:spPr>
              <a:solidFill>
                <a:srgbClr val="C00000"/>
              </a:solidFill>
              <a:ln>
                <a:solidFill>
                  <a:srgbClr val="FFFFFF"/>
                </a:solidFill>
              </a:ln>
            </c:spPr>
            <c:extLst>
              <c:ext xmlns:c16="http://schemas.microsoft.com/office/drawing/2014/chart" uri="{C3380CC4-5D6E-409C-BE32-E72D297353CC}">
                <c16:uniqueId val="{00000004-B036-4F90-B2B3-9AFE322347EF}"/>
              </c:ext>
            </c:extLst>
          </c:dPt>
          <c:dPt>
            <c:idx val="4"/>
            <c:bubble3D val="0"/>
            <c:spPr>
              <a:solidFill>
                <a:schemeClr val="accent6">
                  <a:lumMod val="40000"/>
                  <a:lumOff val="60000"/>
                </a:schemeClr>
              </a:solidFill>
              <a:ln>
                <a:solidFill>
                  <a:srgbClr val="FFFFFF"/>
                </a:solidFill>
              </a:ln>
            </c:spPr>
            <c:extLst>
              <c:ext xmlns:c16="http://schemas.microsoft.com/office/drawing/2014/chart" uri="{C3380CC4-5D6E-409C-BE32-E72D297353CC}">
                <c16:uniqueId val="{00000005-B036-4F90-B2B3-9AFE322347EF}"/>
              </c:ext>
            </c:extLst>
          </c:dPt>
          <c:dLbls>
            <c:numFmt formatCode="#,##0,&quot;K&quot;" sourceLinked="0"/>
            <c:spPr>
              <a:noFill/>
              <a:ln>
                <a:noFill/>
              </a:ln>
              <a:effectLst/>
            </c:spPr>
            <c:txPr>
              <a:bodyPr wrap="square" lIns="38100" tIns="19050" rIns="38100" bIns="19050" anchor="ctr">
                <a:spAutoFit/>
              </a:bodyPr>
              <a:lstStyle/>
              <a:p>
                <a:pPr>
                  <a:defRPr sz="800" b="1">
                    <a:solidFill>
                      <a:schemeClr val="tx1">
                        <a:lumMod val="95000"/>
                        <a:lumOff val="5000"/>
                      </a:schemeClr>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Pivot!$D$51:$D$55</c:f>
              <c:strCache>
                <c:ptCount val="5"/>
                <c:pt idx="0">
                  <c:v>Beauty</c:v>
                </c:pt>
                <c:pt idx="1">
                  <c:v>Electronics</c:v>
                </c:pt>
                <c:pt idx="2">
                  <c:v>Fashion</c:v>
                </c:pt>
                <c:pt idx="3">
                  <c:v>Grocery</c:v>
                </c:pt>
                <c:pt idx="4">
                  <c:v>Home &amp; Kitchen</c:v>
                </c:pt>
              </c:strCache>
            </c:strRef>
          </c:cat>
          <c:val>
            <c:numRef>
              <c:f>Pivot!$E$51:$E$55</c:f>
              <c:numCache>
                <c:formatCode>#,##0,"K"</c:formatCode>
                <c:ptCount val="5"/>
                <c:pt idx="0">
                  <c:v>519977.15</c:v>
                </c:pt>
                <c:pt idx="1">
                  <c:v>11657759.399999997</c:v>
                </c:pt>
                <c:pt idx="2">
                  <c:v>1169169.46</c:v>
                </c:pt>
                <c:pt idx="3">
                  <c:v>350345.81000000006</c:v>
                </c:pt>
                <c:pt idx="4">
                  <c:v>2506473.370000001</c:v>
                </c:pt>
              </c:numCache>
            </c:numRef>
          </c:val>
          <c:extLst>
            <c:ext xmlns:c16="http://schemas.microsoft.com/office/drawing/2014/chart" uri="{C3380CC4-5D6E-409C-BE32-E72D297353CC}">
              <c16:uniqueId val="{00000000-B036-4F90-B2B3-9AFE322347EF}"/>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8669583333333333"/>
          <c:y val="0.1502294685990338"/>
          <c:w val="0.42976041666666664"/>
          <c:h val="0.72463768115942029"/>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7E0EC"/>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IN" sz="1200" b="1">
                <a:solidFill>
                  <a:srgbClr val="0B2A5B"/>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B2A5B"/>
              </a:solidFill>
            </a:ln>
          </c:spPr>
          <c:marker>
            <c:symbol val="circle"/>
            <c:size val="6"/>
            <c:spPr>
              <a:solidFill>
                <a:srgbClr val="6F92C9"/>
              </a:solidFill>
              <a:ln w="28575">
                <a:solidFill>
                  <a:srgbClr val="0B2A5B"/>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B2A5B"/>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1260468.3800000001</c:v>
                </c:pt>
                <c:pt idx="1">
                  <c:v>1105988.57</c:v>
                </c:pt>
                <c:pt idx="2">
                  <c:v>2249344.2799999998</c:v>
                </c:pt>
                <c:pt idx="3">
                  <c:v>1626918.77</c:v>
                </c:pt>
                <c:pt idx="4">
                  <c:v>1283694.0299999993</c:v>
                </c:pt>
                <c:pt idx="5">
                  <c:v>908053.93</c:v>
                </c:pt>
                <c:pt idx="6">
                  <c:v>1188128.0399999993</c:v>
                </c:pt>
                <c:pt idx="7">
                  <c:v>1241088.1600000001</c:v>
                </c:pt>
                <c:pt idx="8">
                  <c:v>1652361.9899999998</c:v>
                </c:pt>
                <c:pt idx="9">
                  <c:v>503389.91999999993</c:v>
                </c:pt>
                <c:pt idx="10">
                  <c:v>1301591.4999999995</c:v>
                </c:pt>
                <c:pt idx="11">
                  <c:v>1882697.62</c:v>
                </c:pt>
              </c:numCache>
            </c:numRef>
          </c:val>
          <c:smooth val="0"/>
          <c:extLst>
            <c:ext xmlns:c16="http://schemas.microsoft.com/office/drawing/2014/chart" uri="{C3380CC4-5D6E-409C-BE32-E72D297353CC}">
              <c16:uniqueId val="{00000000-79A9-4A03-8C12-76F25D3645AD}"/>
            </c:ext>
          </c:extLst>
        </c:ser>
        <c:dLbls>
          <c:showLegendKey val="0"/>
          <c:showVal val="0"/>
          <c:showCatName val="0"/>
          <c:showSerName val="0"/>
          <c:showPercent val="0"/>
          <c:showBubbleSize val="0"/>
        </c:dLbls>
        <c:marker val="1"/>
        <c:smooth val="0"/>
        <c:axId val="863289232"/>
        <c:axId val="863300880"/>
      </c:lineChart>
      <c:catAx>
        <c:axId val="863289232"/>
        <c:scaling>
          <c:orientation val="minMax"/>
        </c:scaling>
        <c:delete val="0"/>
        <c:axPos val="b"/>
        <c:numFmt formatCode="General" sourceLinked="1"/>
        <c:majorTickMark val="out"/>
        <c:minorTickMark val="none"/>
        <c:tickLblPos val="nextTo"/>
        <c:spPr>
          <a:ln>
            <a:solidFill>
              <a:srgbClr val="D2D2D2"/>
            </a:solidFill>
          </a:ln>
        </c:spPr>
        <c:crossAx val="863300880"/>
        <c:crosses val="autoZero"/>
        <c:auto val="1"/>
        <c:lblAlgn val="ctr"/>
        <c:lblOffset val="100"/>
        <c:noMultiLvlLbl val="0"/>
      </c:catAx>
      <c:valAx>
        <c:axId val="863300880"/>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863289232"/>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7E0EC"/>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IN" sz="1200" b="1">
                <a:solidFill>
                  <a:srgbClr val="0B2A5B"/>
                </a:solidFill>
              </a:rPr>
              <a:t>Target vs Actual</a:t>
            </a:r>
          </a:p>
        </c:rich>
      </c:tx>
      <c:overlay val="0"/>
    </c:title>
    <c:autoTitleDeleted val="0"/>
    <c:plotArea>
      <c:layout/>
      <c:barChart>
        <c:barDir val="col"/>
        <c:grouping val="clustered"/>
        <c:varyColors val="0"/>
        <c:ser>
          <c:idx val="0"/>
          <c:order val="0"/>
          <c:tx>
            <c:strRef>
              <c:f>Pivot!$N$50</c:f>
              <c:strCache>
                <c:ptCount val="1"/>
                <c:pt idx="0">
                  <c:v>Actual Sales</c:v>
                </c:pt>
              </c:strCache>
            </c:strRef>
          </c:tx>
          <c:spPr>
            <a:solidFill>
              <a:srgbClr val="0B2A5B"/>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Pivot!$M$51:$M$54</c:f>
              <c:strCache>
                <c:ptCount val="4"/>
                <c:pt idx="0">
                  <c:v>East</c:v>
                </c:pt>
                <c:pt idx="1">
                  <c:v>North</c:v>
                </c:pt>
                <c:pt idx="2">
                  <c:v>South</c:v>
                </c:pt>
                <c:pt idx="3">
                  <c:v>West</c:v>
                </c:pt>
              </c:strCache>
            </c:strRef>
          </c:cat>
          <c:val>
            <c:numRef>
              <c:f>Pivot!$N$51:$N$54</c:f>
              <c:numCache>
                <c:formatCode>#,##0,"K"</c:formatCode>
                <c:ptCount val="4"/>
                <c:pt idx="0">
                  <c:v>4666206.8900000015</c:v>
                </c:pt>
                <c:pt idx="1">
                  <c:v>3888060.4499999988</c:v>
                </c:pt>
                <c:pt idx="2">
                  <c:v>3362551.2899999996</c:v>
                </c:pt>
                <c:pt idx="3">
                  <c:v>4286906.5599999996</c:v>
                </c:pt>
              </c:numCache>
            </c:numRef>
          </c:val>
          <c:extLst>
            <c:ext xmlns:c16="http://schemas.microsoft.com/office/drawing/2014/chart" uri="{C3380CC4-5D6E-409C-BE32-E72D297353CC}">
              <c16:uniqueId val="{00000000-F125-422D-A048-966E687DEC49}"/>
            </c:ext>
          </c:extLst>
        </c:ser>
        <c:ser>
          <c:idx val="1"/>
          <c:order val="1"/>
          <c:tx>
            <c:strRef>
              <c:f>Pivot!$O$50</c:f>
              <c:strCache>
                <c:ptCount val="1"/>
                <c:pt idx="0">
                  <c:v>Sales Target</c:v>
                </c:pt>
              </c:strCache>
            </c:strRef>
          </c:tx>
          <c:spPr>
            <a:solidFill>
              <a:srgbClr val="6F92C9"/>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Pivot!$M$51:$M$54</c:f>
              <c:strCache>
                <c:ptCount val="4"/>
                <c:pt idx="0">
                  <c:v>East</c:v>
                </c:pt>
                <c:pt idx="1">
                  <c:v>North</c:v>
                </c:pt>
                <c:pt idx="2">
                  <c:v>South</c:v>
                </c:pt>
                <c:pt idx="3">
                  <c:v>West</c:v>
                </c:pt>
              </c:strCache>
            </c:strRef>
          </c:cat>
          <c:val>
            <c:numRef>
              <c:f>Pivot!$O$51:$O$54</c:f>
              <c:numCache>
                <c:formatCode>#,##0,"K"</c:formatCode>
                <c:ptCount val="4"/>
                <c:pt idx="0">
                  <c:v>4948025.46</c:v>
                </c:pt>
                <c:pt idx="1">
                  <c:v>4112629.8400000022</c:v>
                </c:pt>
                <c:pt idx="2">
                  <c:v>3461107.8199999984</c:v>
                </c:pt>
                <c:pt idx="3">
                  <c:v>4414685.8699999982</c:v>
                </c:pt>
              </c:numCache>
            </c:numRef>
          </c:val>
          <c:extLst>
            <c:ext xmlns:c16="http://schemas.microsoft.com/office/drawing/2014/chart" uri="{C3380CC4-5D6E-409C-BE32-E72D297353CC}">
              <c16:uniqueId val="{00000001-F125-422D-A048-966E687DEC49}"/>
            </c:ext>
          </c:extLst>
        </c:ser>
        <c:dLbls>
          <c:showLegendKey val="0"/>
          <c:showVal val="0"/>
          <c:showCatName val="0"/>
          <c:showSerName val="0"/>
          <c:showPercent val="0"/>
          <c:showBubbleSize val="0"/>
        </c:dLbls>
        <c:gapWidth val="150"/>
        <c:axId val="863316272"/>
        <c:axId val="863317936"/>
      </c:barChart>
      <c:catAx>
        <c:axId val="863316272"/>
        <c:scaling>
          <c:orientation val="minMax"/>
        </c:scaling>
        <c:delete val="0"/>
        <c:axPos val="b"/>
        <c:numFmt formatCode="General" sourceLinked="1"/>
        <c:majorTickMark val="out"/>
        <c:minorTickMark val="none"/>
        <c:tickLblPos val="nextTo"/>
        <c:spPr>
          <a:ln>
            <a:solidFill>
              <a:srgbClr val="D2D2D2"/>
            </a:solidFill>
          </a:ln>
        </c:spPr>
        <c:crossAx val="863317936"/>
        <c:crosses val="autoZero"/>
        <c:auto val="1"/>
        <c:lblAlgn val="ctr"/>
        <c:lblOffset val="100"/>
        <c:noMultiLvlLbl val="0"/>
      </c:catAx>
      <c:valAx>
        <c:axId val="863317936"/>
        <c:scaling>
          <c:orientation val="minMax"/>
        </c:scaling>
        <c:delete val="0"/>
        <c:axPos val="l"/>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863316272"/>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7E0EC"/>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B2A5B"/>
                </a:solidFill>
              </a:defRPr>
            </a:pPr>
            <a:r>
              <a:rPr lang="en-IN" sz="1200" b="1">
                <a:solidFill>
                  <a:srgbClr val="0B2A5B"/>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B2A5B"/>
                </a:gs>
                <a:gs pos="100000">
                  <a:srgbClr val="0B2A5B"/>
                </a:gs>
              </a:gsLst>
              <a:lin ang="5400000" scaled="1"/>
              <a:tileRect/>
            </a:gradFill>
          </c:spPr>
          <c:invertIfNegative val="0"/>
          <c:dLbls>
            <c:dLbl>
              <c:idx val="4"/>
              <c:layout>
                <c:manualLayout>
                  <c:x val="0"/>
                  <c:y val="8.2014324683644078E-3"/>
                </c:manualLayout>
              </c:layout>
              <c:numFmt formatCode="#,##0,&quot;K&quot;" sourceLinked="0"/>
              <c:spPr>
                <a:noFill/>
                <a:ln>
                  <a:noFill/>
                </a:ln>
                <a:effectLst/>
              </c:spPr>
              <c:txPr>
                <a:bodyPr wrap="square" lIns="38100" tIns="19050" rIns="38100" bIns="19050" anchor="ctr">
                  <a:noAutofit/>
                </a:bodyPr>
                <a:lstStyle/>
                <a:p>
                  <a:pPr>
                    <a:defRPr sz="800" b="1">
                      <a:solidFill>
                        <a:srgbClr val="373737"/>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4635416666666662E-2"/>
                      <c:h val="0.10807059358402964"/>
                    </c:manualLayout>
                  </c15:layout>
                </c:ext>
                <c:ext xmlns:c16="http://schemas.microsoft.com/office/drawing/2014/chart" uri="{C3380CC4-5D6E-409C-BE32-E72D297353CC}">
                  <c16:uniqueId val="{00000000-B709-4ED2-A61F-7555E1319CFF}"/>
                </c:ext>
              </c:extLst>
            </c:dLbl>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Pivot!$J$51:$J$56</c:f>
              <c:strCache>
                <c:ptCount val="6"/>
                <c:pt idx="0">
                  <c:v>Amazon Pay</c:v>
                </c:pt>
                <c:pt idx="1">
                  <c:v>Cash on Delivery</c:v>
                </c:pt>
                <c:pt idx="2">
                  <c:v>Credit Card</c:v>
                </c:pt>
                <c:pt idx="3">
                  <c:v>Debit Card</c:v>
                </c:pt>
                <c:pt idx="4">
                  <c:v>Net Banking</c:v>
                </c:pt>
                <c:pt idx="5">
                  <c:v>UPI</c:v>
                </c:pt>
              </c:strCache>
            </c:strRef>
          </c:cat>
          <c:val>
            <c:numRef>
              <c:f>Pivot!$K$51:$K$56</c:f>
              <c:numCache>
                <c:formatCode>#,##0,"K"</c:formatCode>
                <c:ptCount val="6"/>
                <c:pt idx="0">
                  <c:v>2942527.7799999979</c:v>
                </c:pt>
                <c:pt idx="1">
                  <c:v>2608018.8299999996</c:v>
                </c:pt>
                <c:pt idx="2">
                  <c:v>3440435.5300000026</c:v>
                </c:pt>
                <c:pt idx="3">
                  <c:v>1433609.8499999996</c:v>
                </c:pt>
                <c:pt idx="4">
                  <c:v>3473681.42</c:v>
                </c:pt>
                <c:pt idx="5">
                  <c:v>2305451.7800000003</c:v>
                </c:pt>
              </c:numCache>
            </c:numRef>
          </c:val>
          <c:extLst>
            <c:ext xmlns:c16="http://schemas.microsoft.com/office/drawing/2014/chart" uri="{C3380CC4-5D6E-409C-BE32-E72D297353CC}">
              <c16:uniqueId val="{00000000-6021-4A5C-9E6F-BDBBE0DED934}"/>
            </c:ext>
          </c:extLst>
        </c:ser>
        <c:dLbls>
          <c:showLegendKey val="0"/>
          <c:showVal val="0"/>
          <c:showCatName val="0"/>
          <c:showSerName val="0"/>
          <c:showPercent val="0"/>
          <c:showBubbleSize val="0"/>
        </c:dLbls>
        <c:gapWidth val="70"/>
        <c:axId val="847626048"/>
        <c:axId val="847618560"/>
      </c:barChart>
      <c:catAx>
        <c:axId val="847626048"/>
        <c:scaling>
          <c:orientation val="minMax"/>
        </c:scaling>
        <c:delete val="0"/>
        <c:axPos val="l"/>
        <c:numFmt formatCode="General" sourceLinked="1"/>
        <c:majorTickMark val="out"/>
        <c:minorTickMark val="none"/>
        <c:tickLblPos val="nextTo"/>
        <c:spPr>
          <a:ln>
            <a:solidFill>
              <a:srgbClr val="D2D2D2"/>
            </a:solidFill>
          </a:ln>
        </c:spPr>
        <c:crossAx val="847618560"/>
        <c:crosses val="autoZero"/>
        <c:auto val="1"/>
        <c:lblAlgn val="ctr"/>
        <c:lblOffset val="100"/>
        <c:noMultiLvlLbl val="0"/>
      </c:catAx>
      <c:valAx>
        <c:axId val="847618560"/>
        <c:scaling>
          <c:orientation val="minMax"/>
        </c:scaling>
        <c:delete val="0"/>
        <c:axPos val="b"/>
        <c:majorGridlines>
          <c:spPr>
            <a:ln w="6350">
              <a:solidFill>
                <a:srgbClr val="E6EBF2"/>
              </a:solidFill>
            </a:ln>
          </c:spPr>
        </c:majorGridlines>
        <c:numFmt formatCode="#,##0,&quot;K&quot;" sourceLinked="0"/>
        <c:majorTickMark val="out"/>
        <c:minorTickMark val="none"/>
        <c:tickLblPos val="nextTo"/>
        <c:spPr>
          <a:ln>
            <a:solidFill>
              <a:srgbClr val="D2D2D2"/>
            </a:solidFill>
          </a:ln>
        </c:spPr>
        <c:crossAx val="847626048"/>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7E0EC"/>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2.sv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png"/><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297180</xdr:colOff>
      <xdr:row>1</xdr:row>
      <xdr:rowOff>152400</xdr:rowOff>
    </xdr:from>
    <xdr:to>
      <xdr:col>7</xdr:col>
      <xdr:colOff>175260</xdr:colOff>
      <xdr:row>17</xdr:row>
      <xdr:rowOff>91440</xdr:rowOff>
    </xdr:to>
    <xdr:graphicFrame macro="">
      <xdr:nvGraphicFramePr>
        <xdr:cNvPr id="2" name="Chart 1">
          <a:extLst>
            <a:ext uri="{FF2B5EF4-FFF2-40B4-BE49-F238E27FC236}">
              <a16:creationId xmlns:a16="http://schemas.microsoft.com/office/drawing/2014/main" id="{57FC2E54-E4D6-44F9-A0F5-D34CA479CA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419100</xdr:colOff>
      <xdr:row>1</xdr:row>
      <xdr:rowOff>60960</xdr:rowOff>
    </xdr:from>
    <xdr:to>
      <xdr:col>14</xdr:col>
      <xdr:colOff>297180</xdr:colOff>
      <xdr:row>17</xdr:row>
      <xdr:rowOff>0</xdr:rowOff>
    </xdr:to>
    <xdr:graphicFrame macro="">
      <xdr:nvGraphicFramePr>
        <xdr:cNvPr id="3" name="Chart 2">
          <a:extLst>
            <a:ext uri="{FF2B5EF4-FFF2-40B4-BE49-F238E27FC236}">
              <a16:creationId xmlns:a16="http://schemas.microsoft.com/office/drawing/2014/main" id="{077EA01A-363C-4006-A0C9-1B9AB6B533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327660</xdr:colOff>
      <xdr:row>1</xdr:row>
      <xdr:rowOff>15240</xdr:rowOff>
    </xdr:from>
    <xdr:to>
      <xdr:col>21</xdr:col>
      <xdr:colOff>205740</xdr:colOff>
      <xdr:row>16</xdr:row>
      <xdr:rowOff>129540</xdr:rowOff>
    </xdr:to>
    <xdr:graphicFrame macro="">
      <xdr:nvGraphicFramePr>
        <xdr:cNvPr id="4" name="Chart 3">
          <a:extLst>
            <a:ext uri="{FF2B5EF4-FFF2-40B4-BE49-F238E27FC236}">
              <a16:creationId xmlns:a16="http://schemas.microsoft.com/office/drawing/2014/main" id="{ECC6D405-42F3-40B5-BC5A-491C41A209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624840</xdr:colOff>
      <xdr:row>18</xdr:row>
      <xdr:rowOff>38100</xdr:rowOff>
    </xdr:from>
    <xdr:to>
      <xdr:col>7</xdr:col>
      <xdr:colOff>502920</xdr:colOff>
      <xdr:row>33</xdr:row>
      <xdr:rowOff>152400</xdr:rowOff>
    </xdr:to>
    <xdr:graphicFrame macro="">
      <xdr:nvGraphicFramePr>
        <xdr:cNvPr id="6" name="Chart 5">
          <a:extLst>
            <a:ext uri="{FF2B5EF4-FFF2-40B4-BE49-F238E27FC236}">
              <a16:creationId xmlns:a16="http://schemas.microsoft.com/office/drawing/2014/main" id="{A4036B12-98C5-43FB-A5B0-407C86496E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2</xdr:row>
      <xdr:rowOff>99060</xdr:rowOff>
    </xdr:from>
    <xdr:to>
      <xdr:col>7</xdr:col>
      <xdr:colOff>182880</xdr:colOff>
      <xdr:row>4</xdr:row>
      <xdr:rowOff>152400</xdr:rowOff>
    </xdr:to>
    <xdr:sp macro="" textlink="">
      <xdr:nvSpPr>
        <xdr:cNvPr id="2" name="Rectangle 1">
          <a:extLst>
            <a:ext uri="{FF2B5EF4-FFF2-40B4-BE49-F238E27FC236}">
              <a16:creationId xmlns:a16="http://schemas.microsoft.com/office/drawing/2014/main" id="{A1EF527D-F164-11E2-2AF5-5278955EC4DA}"/>
            </a:ext>
          </a:extLst>
        </xdr:cNvPr>
        <xdr:cNvSpPr/>
      </xdr:nvSpPr>
      <xdr:spPr>
        <a:xfrm>
          <a:off x="3497580" y="449580"/>
          <a:ext cx="2171700" cy="40386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IN" sz="2000"/>
            <a:t>KPI</a:t>
          </a:r>
          <a:r>
            <a:rPr lang="en-IN" sz="2000" baseline="0"/>
            <a:t> CALCULATION</a:t>
          </a:r>
        </a:p>
        <a:p>
          <a:pPr algn="l"/>
          <a:endParaRPr lang="en-IN" sz="2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746760</xdr:colOff>
      <xdr:row>1</xdr:row>
      <xdr:rowOff>106680</xdr:rowOff>
    </xdr:from>
    <xdr:to>
      <xdr:col>4</xdr:col>
      <xdr:colOff>685800</xdr:colOff>
      <xdr:row>4</xdr:row>
      <xdr:rowOff>114300</xdr:rowOff>
    </xdr:to>
    <xdr:sp macro="" textlink="">
      <xdr:nvSpPr>
        <xdr:cNvPr id="2" name="Rectangle 1">
          <a:extLst>
            <a:ext uri="{FF2B5EF4-FFF2-40B4-BE49-F238E27FC236}">
              <a16:creationId xmlns:a16="http://schemas.microsoft.com/office/drawing/2014/main" id="{9330389E-9F4E-1CFF-5A54-8F2F4DBFE2FD}"/>
            </a:ext>
          </a:extLst>
        </xdr:cNvPr>
        <xdr:cNvSpPr/>
      </xdr:nvSpPr>
      <xdr:spPr>
        <a:xfrm>
          <a:off x="2087880" y="281940"/>
          <a:ext cx="1836420" cy="53340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IN" sz="2000"/>
            <a:t>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3A44A476-0FA0-AA71-3837-F4AB0C8E0497}"/>
            </a:ext>
          </a:extLst>
        </xdr:cNvPr>
        <xdr:cNvSpPr/>
      </xdr:nvSpPr>
      <xdr:spPr>
        <a:xfrm>
          <a:off x="0" y="0"/>
          <a:ext cx="18288000" cy="822960"/>
        </a:xfrm>
        <a:prstGeom prst="roundRect">
          <a:avLst/>
        </a:prstGeom>
        <a:gradFill flip="none" rotWithShape="1">
          <a:gsLst>
            <a:gs pos="0">
              <a:srgbClr val="081E4A"/>
            </a:gs>
            <a:gs pos="100000">
              <a:srgbClr val="14468C"/>
            </a:gs>
          </a:gsLst>
          <a:lin ang="54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76200</xdr:colOff>
      <xdr:row>2</xdr:row>
      <xdr:rowOff>129540</xdr:rowOff>
    </xdr:to>
    <xdr:sp macro="" textlink="">
      <xdr:nvSpPr>
        <xdr:cNvPr id="3" name="Oval 2">
          <a:extLst>
            <a:ext uri="{FF2B5EF4-FFF2-40B4-BE49-F238E27FC236}">
              <a16:creationId xmlns:a16="http://schemas.microsoft.com/office/drawing/2014/main" id="{512A4AD4-3880-946D-FF06-1474519B7B19}"/>
            </a:ext>
          </a:extLst>
        </xdr:cNvPr>
        <xdr:cNvSpPr/>
      </xdr:nvSpPr>
      <xdr:spPr>
        <a:xfrm>
          <a:off x="152400" y="144780"/>
          <a:ext cx="533400" cy="533400"/>
        </a:xfrm>
        <a:prstGeom prst="ellipse">
          <a:avLst/>
        </a:prstGeom>
        <a:solidFill>
          <a:srgbClr val="0E3A6E"/>
        </a:solidFill>
        <a:ln>
          <a:solidFill>
            <a:srgbClr val="E6EEF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177800</xdr:colOff>
      <xdr:row>0</xdr:row>
      <xdr:rowOff>0</xdr:rowOff>
    </xdr:from>
    <xdr:to>
      <xdr:col>25</xdr:col>
      <xdr:colOff>406400</xdr:colOff>
      <xdr:row>3</xdr:row>
      <xdr:rowOff>0</xdr:rowOff>
    </xdr:to>
    <xdr:sp macro="" textlink="">
      <xdr:nvSpPr>
        <xdr:cNvPr id="4" name="TextBox 3">
          <a:extLst>
            <a:ext uri="{FF2B5EF4-FFF2-40B4-BE49-F238E27FC236}">
              <a16:creationId xmlns:a16="http://schemas.microsoft.com/office/drawing/2014/main" id="{813A1D48-146E-29C1-EBD6-F2F10421CE25}"/>
            </a:ext>
          </a:extLst>
        </xdr:cNvPr>
        <xdr:cNvSpPr txBox="1"/>
      </xdr:nvSpPr>
      <xdr:spPr>
        <a:xfrm>
          <a:off x="787400" y="0"/>
          <a:ext cx="148590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AMAZON SALES DASHBOARD | FY 2026</a:t>
          </a:r>
        </a:p>
      </xdr:txBody>
    </xdr:sp>
    <xdr:clientData/>
  </xdr:twoCellAnchor>
  <xdr:twoCellAnchor>
    <xdr:from>
      <xdr:col>25</xdr:col>
      <xdr:colOff>508000</xdr:colOff>
      <xdr:row>0</xdr:row>
      <xdr:rowOff>50800</xdr:rowOff>
    </xdr:from>
    <xdr:to>
      <xdr:col>29</xdr:col>
      <xdr:colOff>482600</xdr:colOff>
      <xdr:row>2</xdr:row>
      <xdr:rowOff>223520</xdr:rowOff>
    </xdr:to>
    <xdr:sp macro="" textlink="">
      <xdr:nvSpPr>
        <xdr:cNvPr id="5" name="TextBox 4">
          <a:extLst>
            <a:ext uri="{FF2B5EF4-FFF2-40B4-BE49-F238E27FC236}">
              <a16:creationId xmlns:a16="http://schemas.microsoft.com/office/drawing/2014/main" id="{D568B592-93D4-1C58-45AD-6CFEC4661D4F}"/>
            </a:ext>
          </a:extLst>
        </xdr:cNvPr>
        <xdr:cNvSpPr txBox="1"/>
      </xdr:nvSpPr>
      <xdr:spPr>
        <a:xfrm>
          <a:off x="157480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Oct 04,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EA319D80-5556-A35E-340C-889080906271}"/>
            </a:ext>
          </a:extLst>
        </xdr:cNvPr>
        <xdr:cNvSpPr/>
      </xdr:nvSpPr>
      <xdr:spPr>
        <a:xfrm>
          <a:off x="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0</xdr:colOff>
      <xdr:row>7</xdr:row>
      <xdr:rowOff>0</xdr:rowOff>
    </xdr:to>
    <xdr:sp macro="" textlink="">
      <xdr:nvSpPr>
        <xdr:cNvPr id="7" name="Oval 6">
          <a:extLst>
            <a:ext uri="{FF2B5EF4-FFF2-40B4-BE49-F238E27FC236}">
              <a16:creationId xmlns:a16="http://schemas.microsoft.com/office/drawing/2014/main" id="{A523F2D1-DB47-5E2D-BFE5-2224459D3E99}"/>
            </a:ext>
          </a:extLst>
        </xdr:cNvPr>
        <xdr:cNvSpPr/>
      </xdr:nvSpPr>
      <xdr:spPr>
        <a:xfrm>
          <a:off x="127000" y="1254760"/>
          <a:ext cx="482600" cy="482600"/>
        </a:xfrm>
        <a:prstGeom prst="ellipse">
          <a:avLst/>
        </a:prstGeom>
        <a:gradFill flip="none" rotWithShape="1">
          <a:gsLst>
            <a:gs pos="0">
              <a:srgbClr val="155A96"/>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76200</xdr:colOff>
      <xdr:row>4</xdr:row>
      <xdr:rowOff>101600</xdr:rowOff>
    </xdr:from>
    <xdr:to>
      <xdr:col>4</xdr:col>
      <xdr:colOff>558800</xdr:colOff>
      <xdr:row>5</xdr:row>
      <xdr:rowOff>152400</xdr:rowOff>
    </xdr:to>
    <xdr:sp macro="" textlink="">
      <xdr:nvSpPr>
        <xdr:cNvPr id="8" name="TextBox 7">
          <a:extLst>
            <a:ext uri="{FF2B5EF4-FFF2-40B4-BE49-F238E27FC236}">
              <a16:creationId xmlns:a16="http://schemas.microsoft.com/office/drawing/2014/main" id="{6B085AD7-14C9-EBF4-8F65-F19A5A4B3D52}"/>
            </a:ext>
          </a:extLst>
        </xdr:cNvPr>
        <xdr:cNvSpPr txBox="1"/>
      </xdr:nvSpPr>
      <xdr:spPr>
        <a:xfrm>
          <a:off x="68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Total Sales</a:t>
          </a:r>
        </a:p>
      </xdr:txBody>
    </xdr:sp>
    <xdr:clientData/>
  </xdr:twoCellAnchor>
  <xdr:twoCellAnchor>
    <xdr:from>
      <xdr:col>1</xdr:col>
      <xdr:colOff>76200</xdr:colOff>
      <xdr:row>5</xdr:row>
      <xdr:rowOff>139700</xdr:rowOff>
    </xdr:from>
    <xdr:to>
      <xdr:col>4</xdr:col>
      <xdr:colOff>558800</xdr:colOff>
      <xdr:row>7</xdr:row>
      <xdr:rowOff>114300</xdr:rowOff>
    </xdr:to>
    <xdr:sp macro="" textlink="Dashboard!$AF$2">
      <xdr:nvSpPr>
        <xdr:cNvPr id="9" name="TextBox 8">
          <a:extLst>
            <a:ext uri="{FF2B5EF4-FFF2-40B4-BE49-F238E27FC236}">
              <a16:creationId xmlns:a16="http://schemas.microsoft.com/office/drawing/2014/main" id="{9D27C195-CA0B-4703-DE34-009E55F1FB81}"/>
            </a:ext>
          </a:extLst>
        </xdr:cNvPr>
        <xdr:cNvSpPr txBox="1"/>
      </xdr:nvSpPr>
      <xdr:spPr>
        <a:xfrm>
          <a:off x="68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2EBCAD1-822B-4F9B-8BED-A9AB07DFDEA0}" type="TxLink">
            <a:rPr lang="en-US" sz="2800" b="1" i="0" u="none" strike="noStrike">
              <a:solidFill>
                <a:srgbClr val="08285A"/>
              </a:solidFill>
              <a:latin typeface="Aptos"/>
            </a:rPr>
            <a:pPr algn="ctr"/>
            <a:t>16,204K</a:t>
          </a:fld>
          <a:endParaRPr lang="en-IN" sz="2800" b="1">
            <a:solidFill>
              <a:srgbClr val="08285A"/>
            </a:solidFill>
          </a:endParaRPr>
        </a:p>
      </xdr:txBody>
    </xdr:sp>
    <xdr:clientData/>
  </xdr:twoCellAnchor>
  <xdr:twoCellAnchor>
    <xdr:from>
      <xdr:col>1</xdr:col>
      <xdr:colOff>76200</xdr:colOff>
      <xdr:row>7</xdr:row>
      <xdr:rowOff>50800</xdr:rowOff>
    </xdr:from>
    <xdr:to>
      <xdr:col>4</xdr:col>
      <xdr:colOff>558800</xdr:colOff>
      <xdr:row>7</xdr:row>
      <xdr:rowOff>215900</xdr:rowOff>
    </xdr:to>
    <xdr:sp macro="" textlink="">
      <xdr:nvSpPr>
        <xdr:cNvPr id="10" name="TextBox 9">
          <a:extLst>
            <a:ext uri="{FF2B5EF4-FFF2-40B4-BE49-F238E27FC236}">
              <a16:creationId xmlns:a16="http://schemas.microsoft.com/office/drawing/2014/main" id="{F39C8C22-79BB-4D9D-41AC-1F7F0B8CD9EC}"/>
            </a:ext>
          </a:extLst>
        </xdr:cNvPr>
        <xdr:cNvSpPr txBox="1"/>
      </xdr:nvSpPr>
      <xdr:spPr>
        <a:xfrm>
          <a:off x="68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Total Revenue</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382620B2-0117-AD5C-7249-F18DF251FF04}"/>
            </a:ext>
          </a:extLst>
        </xdr:cNvPr>
        <xdr:cNvSpPr/>
      </xdr:nvSpPr>
      <xdr:spPr>
        <a:xfrm>
          <a:off x="304800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0</xdr:colOff>
      <xdr:row>7</xdr:row>
      <xdr:rowOff>0</xdr:rowOff>
    </xdr:to>
    <xdr:sp macro="" textlink="">
      <xdr:nvSpPr>
        <xdr:cNvPr id="12" name="Oval 11">
          <a:extLst>
            <a:ext uri="{FF2B5EF4-FFF2-40B4-BE49-F238E27FC236}">
              <a16:creationId xmlns:a16="http://schemas.microsoft.com/office/drawing/2014/main" id="{EE99B488-C5D5-9DF1-2C44-E55E25AEA378}"/>
            </a:ext>
          </a:extLst>
        </xdr:cNvPr>
        <xdr:cNvSpPr/>
      </xdr:nvSpPr>
      <xdr:spPr>
        <a:xfrm>
          <a:off x="3175000" y="1254760"/>
          <a:ext cx="482600" cy="482600"/>
        </a:xfrm>
        <a:prstGeom prst="ellipse">
          <a:avLst/>
        </a:prstGeom>
        <a:gradFill flip="none" rotWithShape="1">
          <a:gsLst>
            <a:gs pos="0">
              <a:srgbClr val="337AB7"/>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76200</xdr:colOff>
      <xdr:row>4</xdr:row>
      <xdr:rowOff>101600</xdr:rowOff>
    </xdr:from>
    <xdr:to>
      <xdr:col>9</xdr:col>
      <xdr:colOff>558800</xdr:colOff>
      <xdr:row>5</xdr:row>
      <xdr:rowOff>152400</xdr:rowOff>
    </xdr:to>
    <xdr:sp macro="" textlink="">
      <xdr:nvSpPr>
        <xdr:cNvPr id="13" name="TextBox 12">
          <a:extLst>
            <a:ext uri="{FF2B5EF4-FFF2-40B4-BE49-F238E27FC236}">
              <a16:creationId xmlns:a16="http://schemas.microsoft.com/office/drawing/2014/main" id="{5581E3A8-166B-EC1F-D016-D70C5ECFC767}"/>
            </a:ext>
          </a:extLst>
        </xdr:cNvPr>
        <xdr:cNvSpPr txBox="1"/>
      </xdr:nvSpPr>
      <xdr:spPr>
        <a:xfrm>
          <a:off x="3733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Sales Target</a:t>
          </a:r>
        </a:p>
      </xdr:txBody>
    </xdr:sp>
    <xdr:clientData/>
  </xdr:twoCellAnchor>
  <xdr:twoCellAnchor>
    <xdr:from>
      <xdr:col>6</xdr:col>
      <xdr:colOff>76200</xdr:colOff>
      <xdr:row>5</xdr:row>
      <xdr:rowOff>139700</xdr:rowOff>
    </xdr:from>
    <xdr:to>
      <xdr:col>9</xdr:col>
      <xdr:colOff>558800</xdr:colOff>
      <xdr:row>7</xdr:row>
      <xdr:rowOff>114300</xdr:rowOff>
    </xdr:to>
    <xdr:sp macro="" textlink="Dashboard!$AF$3">
      <xdr:nvSpPr>
        <xdr:cNvPr id="14" name="TextBox 13">
          <a:extLst>
            <a:ext uri="{FF2B5EF4-FFF2-40B4-BE49-F238E27FC236}">
              <a16:creationId xmlns:a16="http://schemas.microsoft.com/office/drawing/2014/main" id="{F5BBF469-3945-11B0-0F0C-68414D00D8DF}"/>
            </a:ext>
          </a:extLst>
        </xdr:cNvPr>
        <xdr:cNvSpPr txBox="1"/>
      </xdr:nvSpPr>
      <xdr:spPr>
        <a:xfrm>
          <a:off x="3733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5EBB876-A808-4C96-ADBB-BF5B38973D9E}" type="TxLink">
            <a:rPr lang="en-US" sz="2800" b="1" i="0" u="none" strike="noStrike">
              <a:solidFill>
                <a:srgbClr val="08285A"/>
              </a:solidFill>
              <a:latin typeface="Aptos"/>
            </a:rPr>
            <a:pPr algn="ctr"/>
            <a:t>16,936K</a:t>
          </a:fld>
          <a:endParaRPr lang="en-IN" sz="2800" b="1">
            <a:solidFill>
              <a:srgbClr val="08285A"/>
            </a:solidFill>
          </a:endParaRPr>
        </a:p>
      </xdr:txBody>
    </xdr:sp>
    <xdr:clientData/>
  </xdr:twoCellAnchor>
  <xdr:twoCellAnchor>
    <xdr:from>
      <xdr:col>6</xdr:col>
      <xdr:colOff>76200</xdr:colOff>
      <xdr:row>7</xdr:row>
      <xdr:rowOff>50800</xdr:rowOff>
    </xdr:from>
    <xdr:to>
      <xdr:col>9</xdr:col>
      <xdr:colOff>558800</xdr:colOff>
      <xdr:row>7</xdr:row>
      <xdr:rowOff>215900</xdr:rowOff>
    </xdr:to>
    <xdr:sp macro="" textlink="">
      <xdr:nvSpPr>
        <xdr:cNvPr id="15" name="TextBox 14">
          <a:extLst>
            <a:ext uri="{FF2B5EF4-FFF2-40B4-BE49-F238E27FC236}">
              <a16:creationId xmlns:a16="http://schemas.microsoft.com/office/drawing/2014/main" id="{95F88482-CD89-3961-F0D7-AB028CA60482}"/>
            </a:ext>
          </a:extLst>
        </xdr:cNvPr>
        <xdr:cNvSpPr txBox="1"/>
      </xdr:nvSpPr>
      <xdr:spPr>
        <a:xfrm>
          <a:off x="3733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Target Set</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B68B634A-BB1E-55DA-3562-6ACDE59C421E}"/>
            </a:ext>
          </a:extLst>
        </xdr:cNvPr>
        <xdr:cNvSpPr/>
      </xdr:nvSpPr>
      <xdr:spPr>
        <a:xfrm>
          <a:off x="609600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0</xdr:colOff>
      <xdr:row>7</xdr:row>
      <xdr:rowOff>0</xdr:rowOff>
    </xdr:to>
    <xdr:sp macro="" textlink="">
      <xdr:nvSpPr>
        <xdr:cNvPr id="17" name="Oval 16">
          <a:extLst>
            <a:ext uri="{FF2B5EF4-FFF2-40B4-BE49-F238E27FC236}">
              <a16:creationId xmlns:a16="http://schemas.microsoft.com/office/drawing/2014/main" id="{125B21B4-BF90-4C13-C453-FF70BF76B9FD}"/>
            </a:ext>
          </a:extLst>
        </xdr:cNvPr>
        <xdr:cNvSpPr/>
      </xdr:nvSpPr>
      <xdr:spPr>
        <a:xfrm>
          <a:off x="6223000" y="1254760"/>
          <a:ext cx="482600" cy="482600"/>
        </a:xfrm>
        <a:prstGeom prst="ellipse">
          <a:avLst/>
        </a:prstGeom>
        <a:gradFill flip="none" rotWithShape="1">
          <a:gsLst>
            <a:gs pos="0">
              <a:srgbClr val="4892C9"/>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76200</xdr:colOff>
      <xdr:row>4</xdr:row>
      <xdr:rowOff>101600</xdr:rowOff>
    </xdr:from>
    <xdr:to>
      <xdr:col>14</xdr:col>
      <xdr:colOff>558800</xdr:colOff>
      <xdr:row>5</xdr:row>
      <xdr:rowOff>152400</xdr:rowOff>
    </xdr:to>
    <xdr:sp macro="" textlink="">
      <xdr:nvSpPr>
        <xdr:cNvPr id="18" name="TextBox 17">
          <a:extLst>
            <a:ext uri="{FF2B5EF4-FFF2-40B4-BE49-F238E27FC236}">
              <a16:creationId xmlns:a16="http://schemas.microsoft.com/office/drawing/2014/main" id="{E6353947-FF20-D553-E669-4391D1F01D5D}"/>
            </a:ext>
          </a:extLst>
        </xdr:cNvPr>
        <xdr:cNvSpPr txBox="1"/>
      </xdr:nvSpPr>
      <xdr:spPr>
        <a:xfrm>
          <a:off x="6781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Total Profit</a:t>
          </a:r>
        </a:p>
      </xdr:txBody>
    </xdr:sp>
    <xdr:clientData/>
  </xdr:twoCellAnchor>
  <xdr:twoCellAnchor>
    <xdr:from>
      <xdr:col>11</xdr:col>
      <xdr:colOff>76200</xdr:colOff>
      <xdr:row>5</xdr:row>
      <xdr:rowOff>139700</xdr:rowOff>
    </xdr:from>
    <xdr:to>
      <xdr:col>14</xdr:col>
      <xdr:colOff>558800</xdr:colOff>
      <xdr:row>7</xdr:row>
      <xdr:rowOff>114300</xdr:rowOff>
    </xdr:to>
    <xdr:sp macro="" textlink="Dashboard!$AF$4">
      <xdr:nvSpPr>
        <xdr:cNvPr id="19" name="TextBox 18">
          <a:extLst>
            <a:ext uri="{FF2B5EF4-FFF2-40B4-BE49-F238E27FC236}">
              <a16:creationId xmlns:a16="http://schemas.microsoft.com/office/drawing/2014/main" id="{9DAAC7DD-423A-2FC2-0E5B-CD9AEE7DBDFD}"/>
            </a:ext>
          </a:extLst>
        </xdr:cNvPr>
        <xdr:cNvSpPr txBox="1"/>
      </xdr:nvSpPr>
      <xdr:spPr>
        <a:xfrm>
          <a:off x="6781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FD42193-0D8F-4960-9795-38AB6587D956}" type="TxLink">
            <a:rPr lang="en-US" sz="2800" b="1" i="0" u="none" strike="noStrike">
              <a:solidFill>
                <a:srgbClr val="08285A"/>
              </a:solidFill>
              <a:latin typeface="Aptos"/>
            </a:rPr>
            <a:pPr algn="ctr"/>
            <a:t>5,759K</a:t>
          </a:fld>
          <a:endParaRPr lang="en-IN" sz="2800" b="1">
            <a:solidFill>
              <a:srgbClr val="08285A"/>
            </a:solidFill>
          </a:endParaRPr>
        </a:p>
      </xdr:txBody>
    </xdr:sp>
    <xdr:clientData/>
  </xdr:twoCellAnchor>
  <xdr:twoCellAnchor>
    <xdr:from>
      <xdr:col>11</xdr:col>
      <xdr:colOff>76200</xdr:colOff>
      <xdr:row>7</xdr:row>
      <xdr:rowOff>50800</xdr:rowOff>
    </xdr:from>
    <xdr:to>
      <xdr:col>14</xdr:col>
      <xdr:colOff>558800</xdr:colOff>
      <xdr:row>7</xdr:row>
      <xdr:rowOff>215900</xdr:rowOff>
    </xdr:to>
    <xdr:sp macro="" textlink="">
      <xdr:nvSpPr>
        <xdr:cNvPr id="20" name="TextBox 19">
          <a:extLst>
            <a:ext uri="{FF2B5EF4-FFF2-40B4-BE49-F238E27FC236}">
              <a16:creationId xmlns:a16="http://schemas.microsoft.com/office/drawing/2014/main" id="{A114B033-AF9D-9D4F-CEC9-5E307E4F467C}"/>
            </a:ext>
          </a:extLst>
        </xdr:cNvPr>
        <xdr:cNvSpPr txBox="1"/>
      </xdr:nvSpPr>
      <xdr:spPr>
        <a:xfrm>
          <a:off x="6781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Net Profit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957B426F-6B54-FB65-C97F-0F95D9E0D21B}"/>
            </a:ext>
          </a:extLst>
        </xdr:cNvPr>
        <xdr:cNvSpPr/>
      </xdr:nvSpPr>
      <xdr:spPr>
        <a:xfrm>
          <a:off x="914400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0</xdr:colOff>
      <xdr:row>7</xdr:row>
      <xdr:rowOff>0</xdr:rowOff>
    </xdr:to>
    <xdr:sp macro="" textlink="">
      <xdr:nvSpPr>
        <xdr:cNvPr id="22" name="Oval 21">
          <a:extLst>
            <a:ext uri="{FF2B5EF4-FFF2-40B4-BE49-F238E27FC236}">
              <a16:creationId xmlns:a16="http://schemas.microsoft.com/office/drawing/2014/main" id="{86377DC7-63B2-2B45-E4C9-87870B2E3D99}"/>
            </a:ext>
          </a:extLst>
        </xdr:cNvPr>
        <xdr:cNvSpPr/>
      </xdr:nvSpPr>
      <xdr:spPr>
        <a:xfrm>
          <a:off x="9271000" y="1254760"/>
          <a:ext cx="482600" cy="482600"/>
        </a:xfrm>
        <a:prstGeom prst="ellipse">
          <a:avLst/>
        </a:prstGeom>
        <a:gradFill flip="none" rotWithShape="1">
          <a:gsLst>
            <a:gs pos="0">
              <a:srgbClr val="115A8C"/>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76200</xdr:colOff>
      <xdr:row>4</xdr:row>
      <xdr:rowOff>101600</xdr:rowOff>
    </xdr:from>
    <xdr:to>
      <xdr:col>19</xdr:col>
      <xdr:colOff>558800</xdr:colOff>
      <xdr:row>5</xdr:row>
      <xdr:rowOff>152400</xdr:rowOff>
    </xdr:to>
    <xdr:sp macro="" textlink="">
      <xdr:nvSpPr>
        <xdr:cNvPr id="23" name="TextBox 22">
          <a:extLst>
            <a:ext uri="{FF2B5EF4-FFF2-40B4-BE49-F238E27FC236}">
              <a16:creationId xmlns:a16="http://schemas.microsoft.com/office/drawing/2014/main" id="{3F30161A-492D-84C0-1E01-86349F08932C}"/>
            </a:ext>
          </a:extLst>
        </xdr:cNvPr>
        <xdr:cNvSpPr txBox="1"/>
      </xdr:nvSpPr>
      <xdr:spPr>
        <a:xfrm>
          <a:off x="9829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Total Orders</a:t>
          </a:r>
        </a:p>
      </xdr:txBody>
    </xdr:sp>
    <xdr:clientData/>
  </xdr:twoCellAnchor>
  <xdr:twoCellAnchor>
    <xdr:from>
      <xdr:col>16</xdr:col>
      <xdr:colOff>76200</xdr:colOff>
      <xdr:row>5</xdr:row>
      <xdr:rowOff>139700</xdr:rowOff>
    </xdr:from>
    <xdr:to>
      <xdr:col>19</xdr:col>
      <xdr:colOff>558800</xdr:colOff>
      <xdr:row>7</xdr:row>
      <xdr:rowOff>114300</xdr:rowOff>
    </xdr:to>
    <xdr:sp macro="" textlink="Dashboard!$AF$5">
      <xdr:nvSpPr>
        <xdr:cNvPr id="24" name="TextBox 23">
          <a:extLst>
            <a:ext uri="{FF2B5EF4-FFF2-40B4-BE49-F238E27FC236}">
              <a16:creationId xmlns:a16="http://schemas.microsoft.com/office/drawing/2014/main" id="{799E0100-DAAA-439B-2DE4-BBA9ABADB316}"/>
            </a:ext>
          </a:extLst>
        </xdr:cNvPr>
        <xdr:cNvSpPr txBox="1"/>
      </xdr:nvSpPr>
      <xdr:spPr>
        <a:xfrm>
          <a:off x="9829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BD29075-2BBF-4FE8-9D12-1BE3FE20B5B6}" type="TxLink">
            <a:rPr lang="en-US" sz="2800" b="1" i="0" u="none" strike="noStrike">
              <a:solidFill>
                <a:srgbClr val="08285A"/>
              </a:solidFill>
              <a:latin typeface="Aptos"/>
            </a:rPr>
            <a:pPr algn="ctr"/>
            <a:t>1,000</a:t>
          </a:fld>
          <a:endParaRPr lang="en-IN" sz="2800" b="1">
            <a:solidFill>
              <a:srgbClr val="08285A"/>
            </a:solidFill>
          </a:endParaRPr>
        </a:p>
      </xdr:txBody>
    </xdr:sp>
    <xdr:clientData/>
  </xdr:twoCellAnchor>
  <xdr:twoCellAnchor>
    <xdr:from>
      <xdr:col>16</xdr:col>
      <xdr:colOff>76200</xdr:colOff>
      <xdr:row>7</xdr:row>
      <xdr:rowOff>50800</xdr:rowOff>
    </xdr:from>
    <xdr:to>
      <xdr:col>19</xdr:col>
      <xdr:colOff>558800</xdr:colOff>
      <xdr:row>7</xdr:row>
      <xdr:rowOff>215900</xdr:rowOff>
    </xdr:to>
    <xdr:sp macro="" textlink="">
      <xdr:nvSpPr>
        <xdr:cNvPr id="25" name="TextBox 24">
          <a:extLst>
            <a:ext uri="{FF2B5EF4-FFF2-40B4-BE49-F238E27FC236}">
              <a16:creationId xmlns:a16="http://schemas.microsoft.com/office/drawing/2014/main" id="{01248F7D-392E-3736-0F45-9D8D3CF4DA59}"/>
            </a:ext>
          </a:extLst>
        </xdr:cNvPr>
        <xdr:cNvSpPr txBox="1"/>
      </xdr:nvSpPr>
      <xdr:spPr>
        <a:xfrm>
          <a:off x="9829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Total Orders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39939BC9-3456-F4FF-8E21-A827BE7A3B25}"/>
            </a:ext>
          </a:extLst>
        </xdr:cNvPr>
        <xdr:cNvSpPr/>
      </xdr:nvSpPr>
      <xdr:spPr>
        <a:xfrm>
          <a:off x="1219200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0</xdr:colOff>
      <xdr:row>7</xdr:row>
      <xdr:rowOff>0</xdr:rowOff>
    </xdr:to>
    <xdr:sp macro="" textlink="">
      <xdr:nvSpPr>
        <xdr:cNvPr id="27" name="Oval 26">
          <a:extLst>
            <a:ext uri="{FF2B5EF4-FFF2-40B4-BE49-F238E27FC236}">
              <a16:creationId xmlns:a16="http://schemas.microsoft.com/office/drawing/2014/main" id="{CB000372-B16A-1D4A-71DA-4C746AFD6427}"/>
            </a:ext>
          </a:extLst>
        </xdr:cNvPr>
        <xdr:cNvSpPr/>
      </xdr:nvSpPr>
      <xdr:spPr>
        <a:xfrm>
          <a:off x="12319000" y="1254760"/>
          <a:ext cx="482600" cy="482600"/>
        </a:xfrm>
        <a:prstGeom prst="ellipse">
          <a:avLst/>
        </a:prstGeom>
        <a:gradFill flip="none" rotWithShape="1">
          <a:gsLst>
            <a:gs pos="0">
              <a:srgbClr val="236EAA"/>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76200</xdr:colOff>
      <xdr:row>4</xdr:row>
      <xdr:rowOff>101600</xdr:rowOff>
    </xdr:from>
    <xdr:to>
      <xdr:col>24</xdr:col>
      <xdr:colOff>558800</xdr:colOff>
      <xdr:row>5</xdr:row>
      <xdr:rowOff>152400</xdr:rowOff>
    </xdr:to>
    <xdr:sp macro="" textlink="">
      <xdr:nvSpPr>
        <xdr:cNvPr id="28" name="TextBox 27">
          <a:extLst>
            <a:ext uri="{FF2B5EF4-FFF2-40B4-BE49-F238E27FC236}">
              <a16:creationId xmlns:a16="http://schemas.microsoft.com/office/drawing/2014/main" id="{80C7C2D2-6AF4-0D99-28D5-B3CEB29D046F}"/>
            </a:ext>
          </a:extLst>
        </xdr:cNvPr>
        <xdr:cNvSpPr txBox="1"/>
      </xdr:nvSpPr>
      <xdr:spPr>
        <a:xfrm>
          <a:off x="12877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Delivery Rate</a:t>
          </a:r>
        </a:p>
      </xdr:txBody>
    </xdr:sp>
    <xdr:clientData/>
  </xdr:twoCellAnchor>
  <xdr:twoCellAnchor>
    <xdr:from>
      <xdr:col>21</xdr:col>
      <xdr:colOff>76200</xdr:colOff>
      <xdr:row>5</xdr:row>
      <xdr:rowOff>139700</xdr:rowOff>
    </xdr:from>
    <xdr:to>
      <xdr:col>24</xdr:col>
      <xdr:colOff>558800</xdr:colOff>
      <xdr:row>7</xdr:row>
      <xdr:rowOff>114300</xdr:rowOff>
    </xdr:to>
    <xdr:sp macro="" textlink="Dashboard!$AF$6">
      <xdr:nvSpPr>
        <xdr:cNvPr id="29" name="TextBox 28">
          <a:extLst>
            <a:ext uri="{FF2B5EF4-FFF2-40B4-BE49-F238E27FC236}">
              <a16:creationId xmlns:a16="http://schemas.microsoft.com/office/drawing/2014/main" id="{44CA91A3-C6B3-8980-C8F4-38921DC4CA6B}"/>
            </a:ext>
          </a:extLst>
        </xdr:cNvPr>
        <xdr:cNvSpPr txBox="1"/>
      </xdr:nvSpPr>
      <xdr:spPr>
        <a:xfrm>
          <a:off x="12877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9CBFCFF-7211-4D28-AC5D-AE5831E1CBBD}" type="TxLink">
            <a:rPr lang="en-US" sz="2800" b="1" i="0" u="none" strike="noStrike">
              <a:solidFill>
                <a:srgbClr val="08285A"/>
              </a:solidFill>
              <a:latin typeface="Aptos"/>
            </a:rPr>
            <a:pPr algn="ctr"/>
            <a:t>67.8%</a:t>
          </a:fld>
          <a:endParaRPr lang="en-IN" sz="2800" b="1">
            <a:solidFill>
              <a:srgbClr val="08285A"/>
            </a:solidFill>
          </a:endParaRPr>
        </a:p>
      </xdr:txBody>
    </xdr:sp>
    <xdr:clientData/>
  </xdr:twoCellAnchor>
  <xdr:twoCellAnchor>
    <xdr:from>
      <xdr:col>21</xdr:col>
      <xdr:colOff>76200</xdr:colOff>
      <xdr:row>7</xdr:row>
      <xdr:rowOff>50800</xdr:rowOff>
    </xdr:from>
    <xdr:to>
      <xdr:col>24</xdr:col>
      <xdr:colOff>558800</xdr:colOff>
      <xdr:row>7</xdr:row>
      <xdr:rowOff>215900</xdr:rowOff>
    </xdr:to>
    <xdr:sp macro="" textlink="">
      <xdr:nvSpPr>
        <xdr:cNvPr id="30" name="TextBox 29">
          <a:extLst>
            <a:ext uri="{FF2B5EF4-FFF2-40B4-BE49-F238E27FC236}">
              <a16:creationId xmlns:a16="http://schemas.microsoft.com/office/drawing/2014/main" id="{36F701EC-E598-0D7F-75F7-15A273B93D52}"/>
            </a:ext>
          </a:extLst>
        </xdr:cNvPr>
        <xdr:cNvSpPr txBox="1"/>
      </xdr:nvSpPr>
      <xdr:spPr>
        <a:xfrm>
          <a:off x="12877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Delivered Orders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BC0B88D2-E672-40F6-B35F-BD400BD0472F}"/>
            </a:ext>
          </a:extLst>
        </xdr:cNvPr>
        <xdr:cNvSpPr/>
      </xdr:nvSpPr>
      <xdr:spPr>
        <a:xfrm>
          <a:off x="15240000" y="1051560"/>
          <a:ext cx="3048000" cy="914400"/>
        </a:xfrm>
        <a:prstGeom prst="roundRect">
          <a:avLst/>
        </a:prstGeom>
        <a:solidFill>
          <a:srgbClr val="FFFFFF"/>
        </a:solidFill>
        <a:ln w="9525">
          <a:solidFill>
            <a:srgbClr val="CBD9EB"/>
          </a:solidFill>
        </a:ln>
        <a:effectLst>
          <a:outerShdw blurRad="63500" dist="17961" dir="2699987" rotWithShape="0">
            <a:srgbClr val="C8CDDC">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0</xdr:colOff>
      <xdr:row>7</xdr:row>
      <xdr:rowOff>0</xdr:rowOff>
    </xdr:to>
    <xdr:sp macro="" textlink="">
      <xdr:nvSpPr>
        <xdr:cNvPr id="32" name="Oval 31">
          <a:extLst>
            <a:ext uri="{FF2B5EF4-FFF2-40B4-BE49-F238E27FC236}">
              <a16:creationId xmlns:a16="http://schemas.microsoft.com/office/drawing/2014/main" id="{C53AB470-F536-7C09-2D36-0DD7049484A0}"/>
            </a:ext>
          </a:extLst>
        </xdr:cNvPr>
        <xdr:cNvSpPr/>
      </xdr:nvSpPr>
      <xdr:spPr>
        <a:xfrm>
          <a:off x="15367000" y="1254760"/>
          <a:ext cx="482600" cy="482600"/>
        </a:xfrm>
        <a:prstGeom prst="ellipse">
          <a:avLst/>
        </a:prstGeom>
        <a:gradFill flip="none" rotWithShape="1">
          <a:gsLst>
            <a:gs pos="0">
              <a:srgbClr val="164682"/>
            </a:gs>
            <a:gs pos="100000">
              <a:srgbClr val="0A2D5F"/>
            </a:gs>
          </a:gsLst>
          <a:lin ang="2700000" scaled="1"/>
          <a:tileRect/>
        </a:gradFill>
        <a:ln w="19050">
          <a:noFill/>
          <a:prstDash val="solid"/>
        </a:ln>
        <a:effectLst/>
        <a:extLst>
          <a:ext uri="{91240B29-F687-4F45-9708-019B960494DF}">
            <a14:hiddenLine xmlns:a14="http://schemas.microsoft.com/office/drawing/2010/main" w="19050">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76200</xdr:colOff>
      <xdr:row>4</xdr:row>
      <xdr:rowOff>101600</xdr:rowOff>
    </xdr:from>
    <xdr:to>
      <xdr:col>29</xdr:col>
      <xdr:colOff>558800</xdr:colOff>
      <xdr:row>5</xdr:row>
      <xdr:rowOff>152400</xdr:rowOff>
    </xdr:to>
    <xdr:sp macro="" textlink="">
      <xdr:nvSpPr>
        <xdr:cNvPr id="33" name="TextBox 32">
          <a:extLst>
            <a:ext uri="{FF2B5EF4-FFF2-40B4-BE49-F238E27FC236}">
              <a16:creationId xmlns:a16="http://schemas.microsoft.com/office/drawing/2014/main" id="{A830B29E-B8CF-87DE-5061-239EA9D9D724}"/>
            </a:ext>
          </a:extLst>
        </xdr:cNvPr>
        <xdr:cNvSpPr txBox="1"/>
      </xdr:nvSpPr>
      <xdr:spPr>
        <a:xfrm>
          <a:off x="1592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83750"/>
              </a:solidFill>
            </a:rPr>
            <a:t>Avg Order Value</a:t>
          </a:r>
        </a:p>
      </xdr:txBody>
    </xdr:sp>
    <xdr:clientData/>
  </xdr:twoCellAnchor>
  <xdr:twoCellAnchor>
    <xdr:from>
      <xdr:col>26</xdr:col>
      <xdr:colOff>76200</xdr:colOff>
      <xdr:row>5</xdr:row>
      <xdr:rowOff>139700</xdr:rowOff>
    </xdr:from>
    <xdr:to>
      <xdr:col>29</xdr:col>
      <xdr:colOff>558800</xdr:colOff>
      <xdr:row>7</xdr:row>
      <xdr:rowOff>114300</xdr:rowOff>
    </xdr:to>
    <xdr:sp macro="" textlink="Dashboard!$AF$7">
      <xdr:nvSpPr>
        <xdr:cNvPr id="34" name="TextBox 33">
          <a:extLst>
            <a:ext uri="{FF2B5EF4-FFF2-40B4-BE49-F238E27FC236}">
              <a16:creationId xmlns:a16="http://schemas.microsoft.com/office/drawing/2014/main" id="{295F02ED-ED74-6865-0FF6-9032D36D6724}"/>
            </a:ext>
          </a:extLst>
        </xdr:cNvPr>
        <xdr:cNvSpPr txBox="1"/>
      </xdr:nvSpPr>
      <xdr:spPr>
        <a:xfrm>
          <a:off x="1592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9D1078D-4504-4668-AFAC-6CEE3998FB62}" type="TxLink">
            <a:rPr lang="en-US" sz="2800" b="1" i="0" u="none" strike="noStrike">
              <a:solidFill>
                <a:srgbClr val="08285A"/>
              </a:solidFill>
              <a:latin typeface="Aptos"/>
            </a:rPr>
            <a:pPr algn="ctr"/>
            <a:t>16K</a:t>
          </a:fld>
          <a:endParaRPr lang="en-IN" sz="2800" b="1">
            <a:solidFill>
              <a:srgbClr val="08285A"/>
            </a:solidFill>
          </a:endParaRPr>
        </a:p>
      </xdr:txBody>
    </xdr:sp>
    <xdr:clientData/>
  </xdr:twoCellAnchor>
  <xdr:twoCellAnchor>
    <xdr:from>
      <xdr:col>26</xdr:col>
      <xdr:colOff>76200</xdr:colOff>
      <xdr:row>7</xdr:row>
      <xdr:rowOff>50800</xdr:rowOff>
    </xdr:from>
    <xdr:to>
      <xdr:col>29</xdr:col>
      <xdr:colOff>558800</xdr:colOff>
      <xdr:row>7</xdr:row>
      <xdr:rowOff>215900</xdr:rowOff>
    </xdr:to>
    <xdr:sp macro="" textlink="">
      <xdr:nvSpPr>
        <xdr:cNvPr id="35" name="TextBox 34">
          <a:extLst>
            <a:ext uri="{FF2B5EF4-FFF2-40B4-BE49-F238E27FC236}">
              <a16:creationId xmlns:a16="http://schemas.microsoft.com/office/drawing/2014/main" id="{DAFE6B56-41F7-C059-D847-9571DB5380EB}"/>
            </a:ext>
          </a:extLst>
        </xdr:cNvPr>
        <xdr:cNvSpPr txBox="1"/>
      </xdr:nvSpPr>
      <xdr:spPr>
        <a:xfrm>
          <a:off x="1592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A6E"/>
              </a:solidFill>
            </a:rPr>
            <a:t>Per Order</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A138B8B5-135C-4A29-78DB-FD70410734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E0F1FB39-D555-52A6-F455-9925B9CCD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91CF459A-3C9C-7774-5F84-20E063B91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2A805B1B-D51A-CFA3-BA33-D98E742C01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9511B74E-C970-097D-9776-73BA4EF22E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8</xdr:row>
      <xdr:rowOff>203200</xdr:rowOff>
    </xdr:from>
    <xdr:to>
      <xdr:col>30</xdr:col>
      <xdr:colOff>0</xdr:colOff>
      <xdr:row>13</xdr:row>
      <xdr:rowOff>177800</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1A5B9811-B47B-72E6-7E41-4D7D332AEFC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200" y="2162629"/>
              <a:ext cx="4876800" cy="1117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13</xdr:row>
      <xdr:rowOff>177800</xdr:rowOff>
    </xdr:from>
    <xdr:to>
      <xdr:col>30</xdr:col>
      <xdr:colOff>0</xdr:colOff>
      <xdr:row>17</xdr:row>
      <xdr:rowOff>157480</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id="{73CD5328-ADBA-5FEE-9CD9-7106B6F9B1A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411200" y="3280229"/>
              <a:ext cx="4876800" cy="894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446314</xdr:colOff>
      <xdr:row>0</xdr:row>
      <xdr:rowOff>0</xdr:rowOff>
    </xdr:from>
    <xdr:to>
      <xdr:col>5</xdr:col>
      <xdr:colOff>141514</xdr:colOff>
      <xdr:row>3</xdr:row>
      <xdr:rowOff>97971</xdr:rowOff>
    </xdr:to>
    <xdr:pic>
      <xdr:nvPicPr>
        <xdr:cNvPr id="44" name="Graphic 43" descr="Shopping cart with solid fill">
          <a:extLst>
            <a:ext uri="{FF2B5EF4-FFF2-40B4-BE49-F238E27FC236}">
              <a16:creationId xmlns:a16="http://schemas.microsoft.com/office/drawing/2014/main" id="{DB5A97AA-2F29-8ACE-99CA-33C1045076A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275114" y="0"/>
          <a:ext cx="914400" cy="914400"/>
        </a:xfrm>
        <a:prstGeom prst="rect">
          <a:avLst/>
        </a:prstGeom>
      </xdr:spPr>
    </xdr:pic>
    <xdr:clientData/>
  </xdr:twoCellAnchor>
  <xdr:twoCellAnchor editAs="oneCell">
    <xdr:from>
      <xdr:col>0</xdr:col>
      <xdr:colOff>43543</xdr:colOff>
      <xdr:row>27</xdr:row>
      <xdr:rowOff>174171</xdr:rowOff>
    </xdr:from>
    <xdr:to>
      <xdr:col>3</xdr:col>
      <xdr:colOff>43543</xdr:colOff>
      <xdr:row>41</xdr:row>
      <xdr:rowOff>93889</xdr:rowOff>
    </xdr:to>
    <mc:AlternateContent xmlns:mc="http://schemas.openxmlformats.org/markup-compatibility/2006" xmlns:a14="http://schemas.microsoft.com/office/drawing/2010/main">
      <mc:Choice Requires="a14">
        <xdr:graphicFrame macro="">
          <xdr:nvGraphicFramePr>
            <xdr:cNvPr id="45" name="Payment Method">
              <a:extLst>
                <a:ext uri="{FF2B5EF4-FFF2-40B4-BE49-F238E27FC236}">
                  <a16:creationId xmlns:a16="http://schemas.microsoft.com/office/drawing/2014/main" id="{D5C32325-594E-47AB-A0C2-004D17F4B812}"/>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43543" y="64770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65314</xdr:colOff>
      <xdr:row>27</xdr:row>
      <xdr:rowOff>174171</xdr:rowOff>
    </xdr:from>
    <xdr:to>
      <xdr:col>6</xdr:col>
      <xdr:colOff>65314</xdr:colOff>
      <xdr:row>41</xdr:row>
      <xdr:rowOff>93889</xdr:rowOff>
    </xdr:to>
    <mc:AlternateContent xmlns:mc="http://schemas.openxmlformats.org/markup-compatibility/2006" xmlns:a14="http://schemas.microsoft.com/office/drawing/2010/main">
      <mc:Choice Requires="a14">
        <xdr:graphicFrame macro="">
          <xdr:nvGraphicFramePr>
            <xdr:cNvPr id="46" name="Category">
              <a:extLst>
                <a:ext uri="{FF2B5EF4-FFF2-40B4-BE49-F238E27FC236}">
                  <a16:creationId xmlns:a16="http://schemas.microsoft.com/office/drawing/2014/main" id="{9C385D36-C770-421B-84F4-BF0E2782F24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894114" y="64770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raj" refreshedDate="46299.460715740737" createdVersion="3" refreshedVersion="8" minRefreshableVersion="3" recordCount="1000" xr:uid="{098A1E14-5809-47AB-8BAA-C2D0B34737F0}">
  <cacheSource type="worksheet">
    <worksheetSource ref="A1:AR1001" sheet="Amazon_Sales_2026"/>
  </cacheSource>
  <cacheFields count="44">
    <cacheField name="Order ID" numFmtId="0">
      <sharedItems/>
    </cacheField>
    <cacheField name="Order Date" numFmtId="164">
      <sharedItems containsSemiMixedTypes="0" containsNonDate="0" containsDate="1" containsString="0" minDate="2026-01-01T00:00:00" maxDate="2027-01-01T00:00:00"/>
    </cacheField>
    <cacheField name="Month" numFmtId="0">
      <sharedItems count="12">
        <s v="Mar"/>
        <s v="Sep"/>
        <s v="May"/>
        <s v="Jul"/>
        <s v="Aug"/>
        <s v="Jun"/>
        <s v="Nov"/>
        <s v="Feb"/>
        <s v="Oct"/>
        <s v="Apr"/>
        <s v="Jan"/>
        <s v="Dec"/>
      </sharedItems>
    </cacheField>
    <cacheField name="Quarter" numFmtId="0">
      <sharedItems/>
    </cacheField>
    <cacheField name="Year" numFmtId="0">
      <sharedItems containsSemiMixedTypes="0" containsString="0" containsNumber="1" containsInteger="1" minValue="2026" maxValue="2026"/>
    </cacheField>
    <cacheField name="Customer ID" numFmtId="0">
      <sharedItems/>
    </cacheField>
    <cacheField name="Customer Name" numFmtId="0">
      <sharedItems/>
    </cacheField>
    <cacheField name="Customer Segment" numFmtId="0">
      <sharedItems/>
    </cacheField>
    <cacheField name="Country" numFmtId="0">
      <sharedItems/>
    </cacheField>
    <cacheField name="State" numFmtId="0">
      <sharedItems/>
    </cacheField>
    <cacheField name="City" numFmtId="0">
      <sharedItems/>
    </cacheField>
    <cacheField name="Region" numFmtId="0">
      <sharedItems count="4">
        <s v="North"/>
        <s v="South"/>
        <s v="East"/>
        <s v="West"/>
      </sharedItems>
    </cacheField>
    <cacheField name="Sales Channel" numFmtId="0">
      <sharedItems/>
    </cacheField>
    <cacheField name="Device Type" numFmtId="0">
      <sharedItems/>
    </cacheField>
    <cacheField name="Category" numFmtId="0">
      <sharedItems count="5">
        <s v="Fashion"/>
        <s v="Electronics"/>
        <s v="Beauty"/>
        <s v="Grocery"/>
        <s v="Home &amp; Kitchen"/>
      </sharedItems>
    </cacheField>
    <cacheField name="Sub-Category" numFmtId="0">
      <sharedItems/>
    </cacheField>
    <cacheField name="Product Name" numFmtId="0">
      <sharedItems/>
    </cacheField>
    <cacheField name="Brand" numFmtId="0">
      <sharedItems/>
    </cacheField>
    <cacheField name="SKU" numFmtId="0">
      <sharedItems/>
    </cacheField>
    <cacheField name="Fulfillment Type" numFmtId="0">
      <sharedItems/>
    </cacheField>
    <cacheField name="Payment Method" numFmtId="0">
      <sharedItems count="6">
        <s v="Debit Card"/>
        <s v="Cash on Delivery"/>
        <s v="Net Banking"/>
        <s v="Amazon Pay"/>
        <s v="Credit Card"/>
        <s v="UPI"/>
      </sharedItems>
    </cacheField>
    <cacheField name="Order Status" numFmtId="0">
      <sharedItems count="3">
        <s v="Delivered"/>
        <s v="Cancelled"/>
        <s v="Shipped"/>
      </sharedItems>
    </cacheField>
    <cacheField name="Quantity" numFmtId="0">
      <sharedItems containsSemiMixedTypes="0" containsString="0" containsNumber="1" containsInteger="1" minValue="1" maxValue="5"/>
    </cacheField>
    <cacheField name="Unit Price" numFmtId="0">
      <sharedItems containsSemiMixedTypes="0" containsString="0" containsNumber="1" minValue="80" maxValue="64891.51"/>
    </cacheField>
    <cacheField name="Discount %" numFmtId="0">
      <sharedItems containsSemiMixedTypes="0" containsString="0" containsNumber="1" minValue="0" maxValue="0.3"/>
    </cacheField>
    <cacheField name="Discount Amount" numFmtId="0">
      <sharedItems containsSemiMixedTypes="0" containsString="0" containsNumber="1" minValue="0" maxValue="94426.74"/>
    </cacheField>
    <cacheField name="Gross Sales" numFmtId="0">
      <sharedItems containsSemiMixedTypes="0" containsString="0" containsNumber="1" minValue="135.53" maxValue="324457.55"/>
    </cacheField>
    <cacheField name="Net Sales" numFmtId="165">
      <sharedItems containsSemiMixedTypes="0" containsString="0" containsNumber="1" minValue="108.04" maxValue="308234.67"/>
    </cacheField>
    <cacheField name="Shipping Cost" numFmtId="0">
      <sharedItems containsSemiMixedTypes="0" containsString="0" containsNumber="1" minValue="0.52" maxValue="250"/>
    </cacheField>
    <cacheField name="COGS" numFmtId="0">
      <sharedItems containsSemiMixedTypes="0" containsString="0" containsNumber="1" minValue="56.89" maxValue="205291.57"/>
    </cacheField>
    <cacheField name="Profit" numFmtId="165">
      <sharedItems containsSemiMixedTypes="0" containsString="0" containsNumber="1" minValue="-194.46" maxValue="102879.61"/>
    </cacheField>
    <cacheField name="Profit Margin %" numFmtId="0">
      <sharedItems containsSemiMixedTypes="0" containsString="0" containsNumber="1" minValue="-1.7365999999999999" maxValue="0.51770000000000005"/>
    </cacheField>
    <cacheField name="Delivery Days" numFmtId="0">
      <sharedItems containsSemiMixedTypes="0" containsString="0" containsNumber="1" containsInteger="1" minValue="0" maxValue="8"/>
    </cacheField>
    <cacheField name="Delivery Status" numFmtId="0">
      <sharedItems/>
    </cacheField>
    <cacheField name="Return Status" numFmtId="0">
      <sharedItems/>
    </cacheField>
    <cacheField name="Return Reason" numFmtId="0">
      <sharedItems containsBlank="1"/>
    </cacheField>
    <cacheField name="Customer Rating" numFmtId="0">
      <sharedItems containsString="0" containsBlank="1" containsNumber="1" containsInteger="1" minValue="3" maxValue="5"/>
    </cacheField>
    <cacheField name="Review Count" numFmtId="0">
      <sharedItems containsSemiMixedTypes="0" containsString="0" containsNumber="1" containsInteger="1" minValue="0" maxValue="4"/>
    </cacheField>
    <cacheField name="Prime Member" numFmtId="0">
      <sharedItems/>
    </cacheField>
    <cacheField name="Promotion Type" numFmtId="0">
      <sharedItems/>
    </cacheField>
    <cacheField name="Sales Target" numFmtId="165">
      <sharedItems containsSemiMixedTypes="0" containsString="0" containsNumber="1" minValue="95.9" maxValue="290446.58"/>
    </cacheField>
    <cacheField name="Target Achievement %" numFmtId="0">
      <sharedItems containsSemiMixedTypes="0" containsString="0" containsNumber="1" minValue="0.80030000000000001" maxValue="1.1762999999999999"/>
    </cacheField>
    <cacheField name="Inventory Level" numFmtId="0">
      <sharedItems containsSemiMixedTypes="0" containsString="0" containsNumber="1" containsInteger="1" minValue="0" maxValue="500"/>
    </cacheField>
    <cacheField name="Stock Status" numFmtId="0">
      <sharedItems/>
    </cacheField>
  </cacheFields>
  <extLst>
    <ext xmlns:x14="http://schemas.microsoft.com/office/spreadsheetml/2009/9/main" uri="{725AE2AE-9491-48be-B2B4-4EB974FC3084}">
      <x14:pivotCacheDefinition pivotCacheId="21390700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AMZ26-00001"/>
    <d v="2026-03-02T00:00:00"/>
    <x v="0"/>
    <s v="Q1"/>
    <n v="2026"/>
    <s v="CUST-1047"/>
    <s v="Nandini Jain"/>
    <s v="Consumer"/>
    <s v="India"/>
    <s v="Delhi"/>
    <s v="New Delhi"/>
    <x v="0"/>
    <s v="Amazon Website"/>
    <s v="Desktop"/>
    <x v="0"/>
    <s v="Footwear"/>
    <s v="Sandals"/>
    <s v="Bata"/>
    <s v="FAS-FOO-51187"/>
    <s v="FBM"/>
    <x v="0"/>
    <x v="0"/>
    <n v="5"/>
    <n v="1328.24"/>
    <n v="0.3"/>
    <n v="1992.36"/>
    <n v="6641.2"/>
    <n v="4648.84"/>
    <n v="187.76"/>
    <n v="3049.44"/>
    <n v="1411.64"/>
    <n v="0.30370000000000003"/>
    <n v="1"/>
    <s v="On Time"/>
    <s v="No"/>
    <m/>
    <n v="3"/>
    <n v="2"/>
    <s v="Yes"/>
    <s v="Prime Deal"/>
    <n v="5470.31"/>
    <n v="0.8498"/>
    <n v="230"/>
    <s v="In Stock"/>
  </r>
  <r>
    <s v="AMZ26-00002"/>
    <d v="2026-09-20T00:00:00"/>
    <x v="1"/>
    <s v="Q3"/>
    <n v="2026"/>
    <s v="CUST-1476"/>
    <s v="Kavya Das"/>
    <s v="Corporate"/>
    <s v="India"/>
    <s v="Tamil Nadu"/>
    <s v="Chennai"/>
    <x v="1"/>
    <s v="Amazon Website"/>
    <s v="Desktop"/>
    <x v="1"/>
    <s v="Accessories"/>
    <s v="USB-C Hub"/>
    <s v="Portronics"/>
    <s v="ELE-ACC-88664"/>
    <s v="FBM"/>
    <x v="1"/>
    <x v="0"/>
    <n v="3"/>
    <n v="16282.45"/>
    <n v="0.15"/>
    <n v="7327.1"/>
    <n v="48847.35"/>
    <n v="41520.25"/>
    <n v="6.18"/>
    <n v="28784.27"/>
    <n v="12729.8"/>
    <n v="0.30659999999999998"/>
    <n v="8"/>
    <s v="Delayed"/>
    <s v="No"/>
    <m/>
    <n v="4"/>
    <n v="4"/>
    <s v="Yes"/>
    <s v="Bank Offer"/>
    <n v="44500.56"/>
    <n v="0.93300000000000005"/>
    <n v="444"/>
    <s v="In Stock"/>
  </r>
  <r>
    <s v="AMZ26-00003"/>
    <d v="2026-09-23T00:00:00"/>
    <x v="1"/>
    <s v="Q3"/>
    <n v="2026"/>
    <s v="CUST-3761"/>
    <s v="Nandini Verma"/>
    <s v="Corporate"/>
    <s v="India"/>
    <s v="Kerala"/>
    <s v="Kochi"/>
    <x v="1"/>
    <s v="Amazon Website"/>
    <s v="Desktop"/>
    <x v="0"/>
    <s v="Men Clothing"/>
    <s v="Cotton Shirt"/>
    <s v="Allen Solly"/>
    <s v="FAS-MEN-81517"/>
    <s v="FBM"/>
    <x v="2"/>
    <x v="0"/>
    <n v="5"/>
    <n v="4095.94"/>
    <n v="0"/>
    <n v="0"/>
    <n v="20479.7"/>
    <n v="20479.7"/>
    <n v="179.33"/>
    <n v="12468.51"/>
    <n v="7831.86"/>
    <n v="0.38240000000000002"/>
    <n v="8"/>
    <s v="Delayed"/>
    <s v="No"/>
    <m/>
    <n v="5"/>
    <n v="0"/>
    <s v="Yes"/>
    <s v="Amazon Coupon"/>
    <n v="22541.35"/>
    <n v="0.90849999999999997"/>
    <n v="233"/>
    <s v="In Stock"/>
  </r>
  <r>
    <s v="AMZ26-00004"/>
    <d v="2026-05-31T00:00:00"/>
    <x v="2"/>
    <s v="Q2"/>
    <n v="2026"/>
    <s v="CUST-3719"/>
    <s v="Vihaan Iyer"/>
    <s v="Corporate"/>
    <s v="India"/>
    <s v="Delhi"/>
    <s v="New Delhi"/>
    <x v="0"/>
    <s v="Amazon Website"/>
    <s v="Android"/>
    <x v="1"/>
    <s v="Mobiles"/>
    <s v="Moto G"/>
    <s v="Motorola"/>
    <s v="ELE-MOB-48019"/>
    <s v="FBM"/>
    <x v="3"/>
    <x v="0"/>
    <n v="5"/>
    <n v="56768.79"/>
    <n v="0.2"/>
    <n v="56768.79"/>
    <n v="283843.95"/>
    <n v="227075.16"/>
    <n v="230.38"/>
    <n v="126715.47"/>
    <n v="100129.31"/>
    <n v="0.441"/>
    <n v="8"/>
    <s v="Delayed"/>
    <s v="No"/>
    <m/>
    <n v="5"/>
    <n v="3"/>
    <s v="No"/>
    <s v="Bank Offer"/>
    <n v="266400.88"/>
    <n v="0.85240000000000005"/>
    <n v="285"/>
    <s v="In Stock"/>
  </r>
  <r>
    <s v="AMZ26-00005"/>
    <d v="2026-05-13T00:00:00"/>
    <x v="2"/>
    <s v="Q2"/>
    <n v="2026"/>
    <s v="CUST-3238"/>
    <s v="Aditya Shetty"/>
    <s v="Consumer"/>
    <s v="India"/>
    <s v="Odisha"/>
    <s v="Bhubaneswar"/>
    <x v="2"/>
    <s v="Amazon App"/>
    <s v="Android"/>
    <x v="2"/>
    <s v="Makeup"/>
    <s v="Foundation"/>
    <s v="Lakme"/>
    <s v="BEA-MAK-36056"/>
    <s v="FBM"/>
    <x v="3"/>
    <x v="0"/>
    <n v="1"/>
    <n v="1227.8599999999999"/>
    <n v="0.3"/>
    <n v="368.36"/>
    <n v="1227.8599999999999"/>
    <n v="859.5"/>
    <n v="92.53"/>
    <n v="462.73"/>
    <n v="304.24"/>
    <n v="0.35399999999999998"/>
    <n v="3"/>
    <s v="On Time"/>
    <s v="No"/>
    <m/>
    <n v="3"/>
    <n v="0"/>
    <s v="No"/>
    <s v="Lightning Deal"/>
    <n v="730.65"/>
    <n v="1.1762999999999999"/>
    <n v="297"/>
    <s v="In Stock"/>
  </r>
  <r>
    <s v="AMZ26-00006"/>
    <d v="2026-03-21T00:00:00"/>
    <x v="0"/>
    <s v="Q1"/>
    <n v="2026"/>
    <s v="CUST-2711"/>
    <s v="Rohan Joshi"/>
    <s v="Small Business"/>
    <s v="India"/>
    <s v="Tamil Nadu"/>
    <s v="Chennai"/>
    <x v="1"/>
    <s v="Amazon Website"/>
    <s v="Tablet"/>
    <x v="3"/>
    <s v="Staples"/>
    <s v="Atta"/>
    <s v="Aashirvaad"/>
    <s v="GRO-STA-27740"/>
    <s v="FBM"/>
    <x v="4"/>
    <x v="1"/>
    <n v="2"/>
    <n v="658.35"/>
    <n v="0.3"/>
    <n v="395.01"/>
    <n v="1316.7"/>
    <n v="921.69"/>
    <n v="146.97999999999999"/>
    <n v="707.38"/>
    <n v="67.33"/>
    <n v="7.3099999999999998E-2"/>
    <n v="0"/>
    <s v="Not Applicable"/>
    <s v="No"/>
    <m/>
    <m/>
    <n v="0"/>
    <s v="No"/>
    <s v="Amazon Coupon"/>
    <n v="969.52"/>
    <n v="0.95069999999999999"/>
    <n v="43"/>
    <s v="In Stock"/>
  </r>
  <r>
    <s v="AMZ26-00007"/>
    <d v="2026-07-12T00:00:00"/>
    <x v="3"/>
    <s v="Q3"/>
    <n v="2026"/>
    <s v="CUST-4743"/>
    <s v="Arjun Nair"/>
    <s v="Small Business"/>
    <s v="India"/>
    <s v="Karnataka"/>
    <s v="Bengaluru"/>
    <x v="1"/>
    <s v="Amazon App"/>
    <s v="iOS"/>
    <x v="2"/>
    <s v="Skin Care"/>
    <s v="Face Serum"/>
    <s v="Minimalist"/>
    <s v="BEA-SKI-71155"/>
    <s v="FBA"/>
    <x v="2"/>
    <x v="1"/>
    <n v="3"/>
    <n v="1221.07"/>
    <n v="0"/>
    <n v="0"/>
    <n v="3663.21"/>
    <n v="3663.21"/>
    <n v="6.4"/>
    <n v="2281.4699999999998"/>
    <n v="1375.34"/>
    <n v="0.37540000000000001"/>
    <n v="0"/>
    <s v="Not Applicable"/>
    <s v="No"/>
    <m/>
    <m/>
    <n v="0"/>
    <s v="No"/>
    <s v="Lightning Deal"/>
    <n v="3558.69"/>
    <n v="1.0294000000000001"/>
    <n v="166"/>
    <s v="In Stock"/>
  </r>
  <r>
    <s v="AMZ26-00008"/>
    <d v="2026-08-23T00:00:00"/>
    <x v="4"/>
    <s v="Q3"/>
    <n v="2026"/>
    <s v="CUST-4595"/>
    <s v="Aarav Reddy"/>
    <s v="Small Business"/>
    <s v="India"/>
    <s v="Maharashtra"/>
    <s v="Mumbai"/>
    <x v="3"/>
    <s v="Amazon App"/>
    <s v="iOS"/>
    <x v="3"/>
    <s v="Beverages"/>
    <s v="Green Tea"/>
    <s v="Tata Tea"/>
    <s v="GRO-BEV-94626"/>
    <s v="FBA"/>
    <x v="3"/>
    <x v="0"/>
    <n v="2"/>
    <n v="866.02"/>
    <n v="0.05"/>
    <n v="86.6"/>
    <n v="1732.04"/>
    <n v="1645.44"/>
    <n v="11.31"/>
    <n v="1058.73"/>
    <n v="575.4"/>
    <n v="0.34970000000000001"/>
    <n v="8"/>
    <s v="Delayed"/>
    <s v="No"/>
    <m/>
    <n v="5"/>
    <n v="1"/>
    <s v="Yes"/>
    <s v="Festival Sale"/>
    <n v="1717.08"/>
    <n v="0.95830000000000004"/>
    <n v="347"/>
    <s v="In Stock"/>
  </r>
  <r>
    <s v="AMZ26-00009"/>
    <d v="2026-05-20T00:00:00"/>
    <x v="2"/>
    <s v="Q2"/>
    <n v="2026"/>
    <s v="CUST-3159"/>
    <s v="Priya Yadav"/>
    <s v="Consumer"/>
    <s v="India"/>
    <s v="Assam"/>
    <s v="Guwahati"/>
    <x v="2"/>
    <s v="Amazon App"/>
    <s v="iOS"/>
    <x v="1"/>
    <s v="Laptops"/>
    <s v="Vivobook"/>
    <s v="ASUS"/>
    <s v="ELE-LAP-45891"/>
    <s v="FBA"/>
    <x v="5"/>
    <x v="0"/>
    <n v="2"/>
    <n v="9951.81"/>
    <n v="0.15"/>
    <n v="2985.54"/>
    <n v="19903.62"/>
    <n v="16918.080000000002"/>
    <n v="115.98"/>
    <n v="13192.26"/>
    <n v="3609.84"/>
    <n v="0.21340000000000001"/>
    <n v="5"/>
    <s v="Delayed"/>
    <s v="No"/>
    <m/>
    <n v="4"/>
    <n v="4"/>
    <s v="Yes"/>
    <s v="Prime Deal"/>
    <n v="17642.53"/>
    <n v="0.95889999999999997"/>
    <n v="61"/>
    <s v="In Stock"/>
  </r>
  <r>
    <s v="AMZ26-00010"/>
    <d v="2026-06-19T00:00:00"/>
    <x v="5"/>
    <s v="Q2"/>
    <n v="2026"/>
    <s v="CUST-2098"/>
    <s v="Sneha Reddy"/>
    <s v="Corporate"/>
    <s v="India"/>
    <s v="Odisha"/>
    <s v="Bhubaneswar"/>
    <x v="2"/>
    <s v="Amazon App"/>
    <s v="Tablet"/>
    <x v="1"/>
    <s v="Laptops"/>
    <s v="IdeaPad"/>
    <s v="Lenovo"/>
    <s v="ELE-LAP-23298"/>
    <s v="FBA"/>
    <x v="5"/>
    <x v="2"/>
    <n v="3"/>
    <n v="23360.65"/>
    <n v="0.1"/>
    <n v="7008.19"/>
    <n v="70081.95"/>
    <n v="63073.760000000002"/>
    <n v="27.42"/>
    <n v="43823.89"/>
    <n v="19222.45"/>
    <n v="0.30480000000000002"/>
    <n v="4"/>
    <s v="In Transit"/>
    <s v="No"/>
    <m/>
    <m/>
    <n v="0"/>
    <s v="No"/>
    <s v="None"/>
    <n v="67989.350000000006"/>
    <n v="0.92769999999999997"/>
    <n v="288"/>
    <s v="In Stock"/>
  </r>
  <r>
    <s v="AMZ26-00011"/>
    <d v="2026-07-02T00:00:00"/>
    <x v="3"/>
    <s v="Q3"/>
    <n v="2026"/>
    <s v="CUST-1094"/>
    <s v="Vivek Kumar"/>
    <s v="Small Business"/>
    <s v="India"/>
    <s v="Maharashtra"/>
    <s v="Mumbai"/>
    <x v="3"/>
    <s v="Amazon Website"/>
    <s v="Desktop"/>
    <x v="3"/>
    <s v="Beverages"/>
    <s v="Coffee"/>
    <s v="Nescafe"/>
    <s v="GRO-BEV-22303"/>
    <s v="FBM"/>
    <x v="1"/>
    <x v="0"/>
    <n v="5"/>
    <n v="1329.68"/>
    <n v="0.15"/>
    <n v="997.26"/>
    <n v="6648.4"/>
    <n v="5651.14"/>
    <n v="232.95"/>
    <n v="2986.16"/>
    <n v="2432.0300000000002"/>
    <n v="0.4304"/>
    <n v="2"/>
    <s v="On Time"/>
    <s v="Yes"/>
    <s v="Quality Issue"/>
    <n v="4"/>
    <n v="0"/>
    <s v="No"/>
    <s v="Prime Deal"/>
    <n v="4933.0200000000004"/>
    <n v="1.1456"/>
    <n v="120"/>
    <s v="In Stock"/>
  </r>
  <r>
    <s v="AMZ26-00012"/>
    <d v="2026-11-11T00:00:00"/>
    <x v="6"/>
    <s v="Q4"/>
    <n v="2026"/>
    <s v="CUST-2593"/>
    <s v="Vivek Iyer"/>
    <s v="Consumer"/>
    <s v="India"/>
    <s v="Telangana"/>
    <s v="Hyderabad"/>
    <x v="1"/>
    <s v="Amazon Website"/>
    <s v="Android"/>
    <x v="4"/>
    <s v="Cookware"/>
    <s v="Nonstick Pan"/>
    <s v="Prestige"/>
    <s v="HOM-COO-56703"/>
    <s v="FBM"/>
    <x v="3"/>
    <x v="1"/>
    <n v="5"/>
    <n v="3184.45"/>
    <n v="0"/>
    <n v="0"/>
    <n v="15922.25"/>
    <n v="15922.25"/>
    <n v="171.62"/>
    <n v="11756.83"/>
    <n v="3993.8"/>
    <n v="0.25080000000000002"/>
    <n v="0"/>
    <s v="Not Applicable"/>
    <s v="No"/>
    <m/>
    <m/>
    <n v="0"/>
    <s v="Yes"/>
    <s v="Lightning Deal"/>
    <n v="19739.060000000001"/>
    <n v="0.80659999999999998"/>
    <n v="128"/>
    <s v="In Stock"/>
  </r>
  <r>
    <s v="AMZ26-00013"/>
    <d v="2026-03-04T00:00:00"/>
    <x v="0"/>
    <s v="Q1"/>
    <n v="2026"/>
    <s v="CUST-3445"/>
    <s v="Vivek Sharma"/>
    <s v="Small Business"/>
    <s v="India"/>
    <s v="Haryana"/>
    <s v="Gurugram"/>
    <x v="0"/>
    <s v="Amazon App"/>
    <s v="Desktop"/>
    <x v="4"/>
    <s v="Cookware"/>
    <s v="Nonstick Pan"/>
    <s v="Prestige"/>
    <s v="HOM-COO-65675"/>
    <s v="FBM"/>
    <x v="2"/>
    <x v="0"/>
    <n v="5"/>
    <n v="11101.95"/>
    <n v="0.1"/>
    <n v="5550.98"/>
    <n v="55509.75"/>
    <n v="49958.77"/>
    <n v="140.22"/>
    <n v="34796.46"/>
    <n v="15022.09"/>
    <n v="0.30070000000000002"/>
    <n v="3"/>
    <s v="On Time"/>
    <s v="No"/>
    <m/>
    <n v="3"/>
    <n v="0"/>
    <s v="Yes"/>
    <s v="Amazon Coupon"/>
    <n v="44976.52"/>
    <n v="1.1108"/>
    <n v="181"/>
    <s v="In Stock"/>
  </r>
  <r>
    <s v="AMZ26-00014"/>
    <d v="2026-08-04T00:00:00"/>
    <x v="4"/>
    <s v="Q3"/>
    <n v="2026"/>
    <s v="CUST-1567"/>
    <s v="Aditi Kumar"/>
    <s v="Small Business"/>
    <s v="India"/>
    <s v="Maharashtra"/>
    <s v="Pune"/>
    <x v="3"/>
    <s v="Amazon App"/>
    <s v="Desktop"/>
    <x v="0"/>
    <s v="Footwear"/>
    <s v="Running Shoes"/>
    <s v="Adidas"/>
    <s v="FAS-FOO-33501"/>
    <s v="FBM"/>
    <x v="3"/>
    <x v="0"/>
    <n v="5"/>
    <n v="2695.69"/>
    <n v="0.25"/>
    <n v="3369.61"/>
    <n v="13478.45"/>
    <n v="10108.84"/>
    <n v="222.29"/>
    <n v="7237.74"/>
    <n v="2648.81"/>
    <n v="0.26200000000000001"/>
    <n v="1"/>
    <s v="On Time"/>
    <s v="Yes"/>
    <s v="Changed Mind"/>
    <n v="4"/>
    <n v="3"/>
    <s v="No"/>
    <s v="Prime Deal"/>
    <n v="9659.26"/>
    <n v="1.0465"/>
    <n v="161"/>
    <s v="In Stock"/>
  </r>
  <r>
    <s v="AMZ26-00015"/>
    <d v="2026-06-12T00:00:00"/>
    <x v="5"/>
    <s v="Q2"/>
    <n v="2026"/>
    <s v="CUST-4527"/>
    <s v="Kiran Gupta"/>
    <s v="Corporate"/>
    <s v="India"/>
    <s v="Karnataka"/>
    <s v="Bengaluru"/>
    <x v="1"/>
    <s v="Amazon Website"/>
    <s v="Tablet"/>
    <x v="0"/>
    <s v="Women Clothing"/>
    <s v="Printed Kurti"/>
    <s v="BIBA"/>
    <s v="FAS-WOM-57069"/>
    <s v="FBM"/>
    <x v="4"/>
    <x v="0"/>
    <n v="2"/>
    <n v="2667.31"/>
    <n v="0.05"/>
    <n v="266.73"/>
    <n v="5334.62"/>
    <n v="5067.8900000000003"/>
    <n v="231.81"/>
    <n v="3810.11"/>
    <n v="1025.97"/>
    <n v="0.2024"/>
    <n v="6"/>
    <s v="Delayed"/>
    <s v="No"/>
    <m/>
    <n v="4"/>
    <n v="4"/>
    <s v="Yes"/>
    <s v="Prime Deal"/>
    <n v="5988.32"/>
    <n v="0.84630000000000005"/>
    <n v="175"/>
    <s v="In Stock"/>
  </r>
  <r>
    <s v="AMZ26-00016"/>
    <d v="2026-07-30T00:00:00"/>
    <x v="3"/>
    <s v="Q3"/>
    <n v="2026"/>
    <s v="CUST-4476"/>
    <s v="Aditi Singh"/>
    <s v="Consumer"/>
    <s v="India"/>
    <s v="Rajasthan"/>
    <s v="Jaipur"/>
    <x v="3"/>
    <s v="Amazon Website"/>
    <s v="Tablet"/>
    <x v="1"/>
    <s v="Laptops"/>
    <s v="Pavilion"/>
    <s v="HP"/>
    <s v="ELE-LAP-85055"/>
    <s v="FBA"/>
    <x v="1"/>
    <x v="0"/>
    <n v="1"/>
    <n v="29314"/>
    <n v="0"/>
    <n v="0"/>
    <n v="29314"/>
    <n v="29314"/>
    <n v="74.760000000000005"/>
    <n v="18878.72"/>
    <n v="10360.52"/>
    <n v="0.35339999999999999"/>
    <n v="3"/>
    <s v="On Time"/>
    <s v="No"/>
    <m/>
    <n v="3"/>
    <n v="0"/>
    <s v="Yes"/>
    <s v="None"/>
    <n v="31171.52"/>
    <n v="0.94040000000000001"/>
    <n v="435"/>
    <s v="In Stock"/>
  </r>
  <r>
    <s v="AMZ26-00017"/>
    <d v="2026-03-14T00:00:00"/>
    <x v="0"/>
    <s v="Q1"/>
    <n v="2026"/>
    <s v="CUST-2591"/>
    <s v="Kiran Verma"/>
    <s v="Consumer"/>
    <s v="India"/>
    <s v="Bihar"/>
    <s v="Patna"/>
    <x v="2"/>
    <s v="Amazon Website"/>
    <s v="Tablet"/>
    <x v="3"/>
    <s v="Beverages"/>
    <s v="Coffee"/>
    <s v="Nescafe"/>
    <s v="GRO-BEV-92551"/>
    <s v="FBM"/>
    <x v="1"/>
    <x v="2"/>
    <n v="1"/>
    <n v="1073.8499999999999"/>
    <n v="0.1"/>
    <n v="107.38"/>
    <n v="1073.8499999999999"/>
    <n v="966.47"/>
    <n v="40.549999999999997"/>
    <n v="548.83000000000004"/>
    <n v="377.09"/>
    <n v="0.39019999999999999"/>
    <n v="5"/>
    <s v="In Transit"/>
    <s v="No"/>
    <m/>
    <m/>
    <n v="0"/>
    <s v="Yes"/>
    <s v="Prime Deal"/>
    <n v="959.6"/>
    <n v="1.0072000000000001"/>
    <n v="498"/>
    <s v="In Stock"/>
  </r>
  <r>
    <s v="AMZ26-00018"/>
    <d v="2026-09-22T00:00:00"/>
    <x v="1"/>
    <s v="Q3"/>
    <n v="2026"/>
    <s v="CUST-2534"/>
    <s v="Aditya Gupta"/>
    <s v="Consumer"/>
    <s v="India"/>
    <s v="Karnataka"/>
    <s v="Mysuru"/>
    <x v="1"/>
    <s v="Amazon App"/>
    <s v="iOS"/>
    <x v="4"/>
    <s v="Cookware"/>
    <s v="Nonstick Pan"/>
    <s v="Prestige"/>
    <s v="HOM-COO-49668"/>
    <s v="FBA"/>
    <x v="5"/>
    <x v="1"/>
    <n v="2"/>
    <n v="269.33999999999997"/>
    <n v="0"/>
    <n v="0"/>
    <n v="538.67999999999995"/>
    <n v="538.67999999999995"/>
    <n v="128.75"/>
    <n v="401.15"/>
    <n v="8.7799999999999994"/>
    <n v="1.6299999999999999E-2"/>
    <n v="0"/>
    <s v="Not Applicable"/>
    <s v="No"/>
    <m/>
    <m/>
    <n v="0"/>
    <s v="Yes"/>
    <s v="Festival Sale"/>
    <n v="623.1"/>
    <n v="0.86450000000000005"/>
    <n v="431"/>
    <s v="In Stock"/>
  </r>
  <r>
    <s v="AMZ26-00019"/>
    <d v="2026-02-24T00:00:00"/>
    <x v="7"/>
    <s v="Q1"/>
    <n v="2026"/>
    <s v="CUST-1359"/>
    <s v="Nandini Yadav"/>
    <s v="Corporate"/>
    <s v="India"/>
    <s v="Telangana"/>
    <s v="Hyderabad"/>
    <x v="1"/>
    <s v="Amazon App"/>
    <s v="iOS"/>
    <x v="4"/>
    <s v="Cookware"/>
    <s v="Pressure Cooker"/>
    <s v="Hawkins"/>
    <s v="HOM-COO-50897"/>
    <s v="FBM"/>
    <x v="2"/>
    <x v="0"/>
    <n v="1"/>
    <n v="2005.61"/>
    <n v="0.3"/>
    <n v="601.67999999999995"/>
    <n v="2005.61"/>
    <n v="1403.93"/>
    <n v="30.23"/>
    <n v="892.46"/>
    <n v="481.24"/>
    <n v="0.34279999999999999"/>
    <n v="8"/>
    <s v="Delayed"/>
    <s v="No"/>
    <m/>
    <n v="4"/>
    <n v="0"/>
    <s v="No"/>
    <s v="Bank Offer"/>
    <n v="1232.1099999999999"/>
    <n v="1.1395"/>
    <n v="499"/>
    <s v="In Stock"/>
  </r>
  <r>
    <s v="AMZ26-00020"/>
    <d v="2026-06-19T00:00:00"/>
    <x v="5"/>
    <s v="Q2"/>
    <n v="2026"/>
    <s v="CUST-4043"/>
    <s v="Aditi Jain"/>
    <s v="Corporate"/>
    <s v="India"/>
    <s v="Haryana"/>
    <s v="Gurugram"/>
    <x v="0"/>
    <s v="Amazon Website"/>
    <s v="Desktop"/>
    <x v="2"/>
    <s v="Hair Care"/>
    <s v="Hair Serum"/>
    <s v="L'Oreal"/>
    <s v="BEA-HAI-26722"/>
    <s v="FBA"/>
    <x v="0"/>
    <x v="0"/>
    <n v="2"/>
    <n v="1745.28"/>
    <n v="0.1"/>
    <n v="349.06"/>
    <n v="3490.56"/>
    <n v="3141.5"/>
    <n v="216.35"/>
    <n v="2374.73"/>
    <n v="550.41999999999996"/>
    <n v="0.17519999999999999"/>
    <n v="7"/>
    <s v="Delayed"/>
    <s v="No"/>
    <m/>
    <n v="5"/>
    <n v="3"/>
    <s v="Yes"/>
    <s v="Festival Sale"/>
    <n v="2937.77"/>
    <n v="1.0692999999999999"/>
    <n v="226"/>
    <s v="In Stock"/>
  </r>
  <r>
    <s v="AMZ26-00021"/>
    <d v="2026-05-15T00:00:00"/>
    <x v="2"/>
    <s v="Q2"/>
    <n v="2026"/>
    <s v="CUST-4142"/>
    <s v="Nandini Joshi"/>
    <s v="Small Business"/>
    <s v="India"/>
    <s v="Gujarat"/>
    <s v="Ahmedabad"/>
    <x v="3"/>
    <s v="Amazon App"/>
    <s v="Tablet"/>
    <x v="0"/>
    <s v="Women Clothing"/>
    <s v="Printed Kurti"/>
    <s v="BIBA"/>
    <s v="FAS-WOM-98893"/>
    <s v="FBM"/>
    <x v="3"/>
    <x v="0"/>
    <n v="5"/>
    <n v="3271.4"/>
    <n v="0.15"/>
    <n v="2453.5500000000002"/>
    <n v="16357"/>
    <n v="13903.45"/>
    <n v="73.37"/>
    <n v="8584.26"/>
    <n v="5245.82"/>
    <n v="0.37730000000000002"/>
    <n v="7"/>
    <s v="Delayed"/>
    <s v="Yes"/>
    <s v="Late Delivery"/>
    <n v="4"/>
    <n v="3"/>
    <s v="Yes"/>
    <s v="None"/>
    <n v="13691.21"/>
    <n v="1.0155000000000001"/>
    <n v="347"/>
    <s v="In Stock"/>
  </r>
  <r>
    <s v="AMZ26-00022"/>
    <d v="2026-07-24T00:00:00"/>
    <x v="3"/>
    <s v="Q3"/>
    <n v="2026"/>
    <s v="CUST-2100"/>
    <s v="Ananya Sharma"/>
    <s v="Corporate"/>
    <s v="India"/>
    <s v="Maharashtra"/>
    <s v="Mumbai"/>
    <x v="3"/>
    <s v="Amazon Website"/>
    <s v="Desktop"/>
    <x v="4"/>
    <s v="Cookware"/>
    <s v="Cookware Set"/>
    <s v="Pigeon"/>
    <s v="HOM-COO-37423"/>
    <s v="FBA"/>
    <x v="1"/>
    <x v="0"/>
    <n v="3"/>
    <n v="551.11"/>
    <n v="0.25"/>
    <n v="413.33"/>
    <n v="1653.33"/>
    <n v="1240"/>
    <n v="208.23"/>
    <n v="893.58"/>
    <n v="138.19"/>
    <n v="0.1114"/>
    <n v="6"/>
    <s v="Delayed"/>
    <s v="Yes"/>
    <s v="Wrong Item"/>
    <n v="5"/>
    <n v="0"/>
    <s v="No"/>
    <s v="Amazon Coupon"/>
    <n v="1381.7"/>
    <n v="0.89739999999999998"/>
    <n v="482"/>
    <s v="In Stock"/>
  </r>
  <r>
    <s v="AMZ26-00023"/>
    <d v="2026-10-03T00:00:00"/>
    <x v="8"/>
    <s v="Q4"/>
    <n v="2026"/>
    <s v="CUST-4007"/>
    <s v="Priya Patel"/>
    <s v="Small Business"/>
    <s v="India"/>
    <s v="Karnataka"/>
    <s v="Bengaluru"/>
    <x v="1"/>
    <s v="Amazon Website"/>
    <s v="Desktop"/>
    <x v="0"/>
    <s v="Women Clothing"/>
    <s v="Printed Kurti"/>
    <s v="BIBA"/>
    <s v="FAS-WOM-71704"/>
    <s v="FBM"/>
    <x v="0"/>
    <x v="0"/>
    <n v="4"/>
    <n v="621.53"/>
    <n v="0.05"/>
    <n v="124.31"/>
    <n v="2486.12"/>
    <n v="2361.81"/>
    <n v="176.38"/>
    <n v="1193.3900000000001"/>
    <n v="992.04"/>
    <n v="0.42"/>
    <n v="3"/>
    <s v="On Time"/>
    <s v="No"/>
    <m/>
    <n v="4"/>
    <n v="3"/>
    <s v="No"/>
    <s v="Festival Sale"/>
    <n v="2049.56"/>
    <n v="1.1523000000000001"/>
    <n v="281"/>
    <s v="In Stock"/>
  </r>
  <r>
    <s v="AMZ26-00024"/>
    <d v="2026-05-11T00:00:00"/>
    <x v="2"/>
    <s v="Q2"/>
    <n v="2026"/>
    <s v="CUST-1221"/>
    <s v="Kavya Iyer"/>
    <s v="Small Business"/>
    <s v="India"/>
    <s v="Bihar"/>
    <s v="Patna"/>
    <x v="2"/>
    <s v="Amazon Website"/>
    <s v="Tablet"/>
    <x v="4"/>
    <s v="Kitchen Appliances"/>
    <s v="Electric Kettle"/>
    <s v="Pigeon"/>
    <s v="HOM-KIT-18461"/>
    <s v="FBA"/>
    <x v="1"/>
    <x v="0"/>
    <n v="4"/>
    <n v="562.14"/>
    <n v="0.3"/>
    <n v="674.57"/>
    <n v="2248.56"/>
    <n v="1573.99"/>
    <n v="202.24"/>
    <n v="875.38"/>
    <n v="496.37"/>
    <n v="0.31540000000000001"/>
    <n v="4"/>
    <s v="On Time"/>
    <s v="No"/>
    <m/>
    <n v="5"/>
    <n v="3"/>
    <s v="No"/>
    <s v="Bank Offer"/>
    <n v="1529.33"/>
    <n v="1.0291999999999999"/>
    <n v="297"/>
    <s v="In Stock"/>
  </r>
  <r>
    <s v="AMZ26-00025"/>
    <d v="2026-06-16T00:00:00"/>
    <x v="5"/>
    <s v="Q2"/>
    <n v="2026"/>
    <s v="CUST-3495"/>
    <s v="Kiran Sharma"/>
    <s v="Consumer"/>
    <s v="India"/>
    <s v="Bihar"/>
    <s v="Patna"/>
    <x v="2"/>
    <s v="Amazon App"/>
    <s v="Tablet"/>
    <x v="4"/>
    <s v="Home Decor"/>
    <s v="LED Lamp"/>
    <s v="Wipro"/>
    <s v="HOM-HOM-70792"/>
    <s v="FBA"/>
    <x v="1"/>
    <x v="2"/>
    <n v="1"/>
    <n v="11765.36"/>
    <n v="0.05"/>
    <n v="588.27"/>
    <n v="11765.36"/>
    <n v="11177.09"/>
    <n v="189.83"/>
    <n v="8597.27"/>
    <n v="2389.9899999999998"/>
    <n v="0.21379999999999999"/>
    <n v="7"/>
    <s v="In Transit"/>
    <s v="No"/>
    <m/>
    <m/>
    <n v="0"/>
    <s v="Yes"/>
    <s v="Lightning Deal"/>
    <n v="12319.57"/>
    <n v="0.9073"/>
    <n v="473"/>
    <s v="In Stock"/>
  </r>
  <r>
    <s v="AMZ26-00026"/>
    <d v="2026-09-08T00:00:00"/>
    <x v="1"/>
    <s v="Q3"/>
    <n v="2026"/>
    <s v="CUST-4544"/>
    <s v="Vihaan Singh"/>
    <s v="Consumer"/>
    <s v="India"/>
    <s v="Gujarat"/>
    <s v="Ahmedabad"/>
    <x v="3"/>
    <s v="Amazon App"/>
    <s v="Desktop"/>
    <x v="4"/>
    <s v="Cookware"/>
    <s v="Pressure Cooker"/>
    <s v="Hawkins"/>
    <s v="HOM-COO-49235"/>
    <s v="FBM"/>
    <x v="4"/>
    <x v="0"/>
    <n v="5"/>
    <n v="5151.33"/>
    <n v="0.1"/>
    <n v="2575.67"/>
    <n v="25756.65"/>
    <n v="23180.98"/>
    <n v="38"/>
    <n v="14960.83"/>
    <n v="8182.15"/>
    <n v="0.35299999999999998"/>
    <n v="3"/>
    <s v="On Time"/>
    <s v="No"/>
    <m/>
    <n v="5"/>
    <n v="4"/>
    <s v="Yes"/>
    <s v="Amazon Coupon"/>
    <n v="20270.169999999998"/>
    <n v="1.1435999999999999"/>
    <n v="341"/>
    <s v="In Stock"/>
  </r>
  <r>
    <s v="AMZ26-00027"/>
    <d v="2026-04-06T00:00:00"/>
    <x v="9"/>
    <s v="Q2"/>
    <n v="2026"/>
    <s v="CUST-2666"/>
    <s v="Sai Joshi"/>
    <s v="Consumer"/>
    <s v="India"/>
    <s v="Karnataka"/>
    <s v="Mysuru"/>
    <x v="1"/>
    <s v="Amazon App"/>
    <s v="Tablet"/>
    <x v="0"/>
    <s v="Women Clothing"/>
    <s v="Denim Jeans"/>
    <s v="Levi's"/>
    <s v="FAS-WOM-52533"/>
    <s v="FBA"/>
    <x v="5"/>
    <x v="2"/>
    <n v="5"/>
    <n v="1636.46"/>
    <n v="0"/>
    <n v="0"/>
    <n v="8182.3"/>
    <n v="8182.3"/>
    <n v="75.16"/>
    <n v="5190.63"/>
    <n v="2916.51"/>
    <n v="0.35639999999999999"/>
    <n v="2"/>
    <s v="In Transit"/>
    <s v="No"/>
    <m/>
    <m/>
    <n v="0"/>
    <s v="Yes"/>
    <s v="Lightning Deal"/>
    <n v="8478.9599999999991"/>
    <n v="0.96499999999999997"/>
    <n v="382"/>
    <s v="In Stock"/>
  </r>
  <r>
    <s v="AMZ26-00028"/>
    <d v="2026-10-28T00:00:00"/>
    <x v="8"/>
    <s v="Q4"/>
    <n v="2026"/>
    <s v="CUST-4565"/>
    <s v="Kavya Verma"/>
    <s v="Corporate"/>
    <s v="India"/>
    <s v="Punjab"/>
    <s v="Ludhiana"/>
    <x v="0"/>
    <s v="Amazon Website"/>
    <s v="iOS"/>
    <x v="1"/>
    <s v="Mobiles"/>
    <s v="Redmi Note"/>
    <s v="Xiaomi"/>
    <s v="ELE-MOB-65466"/>
    <s v="FBM"/>
    <x v="3"/>
    <x v="0"/>
    <n v="1"/>
    <n v="14198.62"/>
    <n v="0.25"/>
    <n v="3549.66"/>
    <n v="14198.62"/>
    <n v="10648.96"/>
    <n v="49.86"/>
    <n v="7800.83"/>
    <n v="2798.27"/>
    <n v="0.26279999999999998"/>
    <n v="4"/>
    <s v="On Time"/>
    <s v="No"/>
    <m/>
    <n v="4"/>
    <n v="1"/>
    <s v="No"/>
    <s v="Festival Sale"/>
    <n v="10637.67"/>
    <n v="1.0011000000000001"/>
    <n v="274"/>
    <s v="In Stock"/>
  </r>
  <r>
    <s v="AMZ26-00029"/>
    <d v="2026-10-14T00:00:00"/>
    <x v="8"/>
    <s v="Q4"/>
    <n v="2026"/>
    <s v="CUST-4955"/>
    <s v="Kavya Sharma"/>
    <s v="Consumer"/>
    <s v="India"/>
    <s v="West Bengal"/>
    <s v="Kolkata"/>
    <x v="2"/>
    <s v="Amazon Website"/>
    <s v="Desktop"/>
    <x v="0"/>
    <s v="Footwear"/>
    <s v="Running Shoes"/>
    <s v="Adidas"/>
    <s v="FAS-FOO-81683"/>
    <s v="FBM"/>
    <x v="2"/>
    <x v="0"/>
    <n v="1"/>
    <n v="3160.91"/>
    <n v="0.2"/>
    <n v="632.17999999999995"/>
    <n v="3160.91"/>
    <n v="2528.73"/>
    <n v="178.7"/>
    <n v="1685.79"/>
    <n v="664.24"/>
    <n v="0.26269999999999999"/>
    <n v="2"/>
    <s v="On Time"/>
    <s v="No"/>
    <m/>
    <n v="5"/>
    <n v="3"/>
    <s v="Yes"/>
    <s v="Festival Sale"/>
    <n v="2340.9"/>
    <n v="1.0802"/>
    <n v="485"/>
    <s v="In Stock"/>
  </r>
  <r>
    <s v="AMZ26-00030"/>
    <d v="2026-09-24T00:00:00"/>
    <x v="1"/>
    <s v="Q3"/>
    <n v="2026"/>
    <s v="CUST-3294"/>
    <s v="Ananya Yadav"/>
    <s v="Small Business"/>
    <s v="India"/>
    <s v="Bihar"/>
    <s v="Patna"/>
    <x v="2"/>
    <s v="Amazon App"/>
    <s v="Tablet"/>
    <x v="4"/>
    <s v="Home Decor"/>
    <s v="LED Lamp"/>
    <s v="Wipro"/>
    <s v="HOM-HOM-43404"/>
    <s v="FBM"/>
    <x v="0"/>
    <x v="2"/>
    <n v="1"/>
    <n v="7995.62"/>
    <n v="0.1"/>
    <n v="799.56"/>
    <n v="7995.62"/>
    <n v="7196.06"/>
    <n v="242.42"/>
    <n v="4438.57"/>
    <n v="2515.0700000000002"/>
    <n v="0.34949999999999998"/>
    <n v="1"/>
    <s v="In Transit"/>
    <s v="No"/>
    <m/>
    <m/>
    <n v="0"/>
    <s v="No"/>
    <s v="Bank Offer"/>
    <n v="8795.68"/>
    <n v="0.81810000000000005"/>
    <n v="343"/>
    <s v="In Stock"/>
  </r>
  <r>
    <s v="AMZ26-00031"/>
    <d v="2026-09-29T00:00:00"/>
    <x v="1"/>
    <s v="Q3"/>
    <n v="2026"/>
    <s v="CUST-2871"/>
    <s v="Pooja Nair"/>
    <s v="Consumer"/>
    <s v="India"/>
    <s v="Tamil Nadu"/>
    <s v="Chennai"/>
    <x v="1"/>
    <s v="Amazon App"/>
    <s v="Desktop"/>
    <x v="4"/>
    <s v="Kitchen Appliances"/>
    <s v="Mixer Grinder"/>
    <s v="Prestige"/>
    <s v="HOM-KIT-80881"/>
    <s v="FBA"/>
    <x v="5"/>
    <x v="1"/>
    <n v="5"/>
    <n v="288.86"/>
    <n v="0.3"/>
    <n v="433.29"/>
    <n v="1444.3"/>
    <n v="1011.01"/>
    <n v="141.09"/>
    <n v="602.42999999999995"/>
    <n v="267.49"/>
    <n v="0.2646"/>
    <n v="0"/>
    <s v="Not Applicable"/>
    <s v="No"/>
    <m/>
    <m/>
    <n v="0"/>
    <s v="Yes"/>
    <s v="Festival Sale"/>
    <n v="1182.96"/>
    <n v="0.85460000000000003"/>
    <n v="491"/>
    <s v="In Stock"/>
  </r>
  <r>
    <s v="AMZ26-00032"/>
    <d v="2026-02-17T00:00:00"/>
    <x v="7"/>
    <s v="Q1"/>
    <n v="2026"/>
    <s v="CUST-4527"/>
    <s v="Ananya Rao"/>
    <s v="Corporate"/>
    <s v="India"/>
    <s v="Gujarat"/>
    <s v="Ahmedabad"/>
    <x v="3"/>
    <s v="Amazon App"/>
    <s v="iOS"/>
    <x v="1"/>
    <s v="Mobiles"/>
    <s v="Galaxy A Series"/>
    <s v="Samsung"/>
    <s v="ELE-MOB-15411"/>
    <s v="FBM"/>
    <x v="4"/>
    <x v="0"/>
    <n v="5"/>
    <n v="20433.66"/>
    <n v="0.2"/>
    <n v="20433.66"/>
    <n v="102168.3"/>
    <n v="81734.64"/>
    <n v="179.31"/>
    <n v="46761.19"/>
    <n v="34794.14"/>
    <n v="0.42570000000000002"/>
    <n v="4"/>
    <s v="On Time"/>
    <s v="No"/>
    <m/>
    <n v="4"/>
    <n v="1"/>
    <s v="Yes"/>
    <s v="Bank Offer"/>
    <n v="82553.25"/>
    <n v="0.99009999999999998"/>
    <n v="263"/>
    <s v="In Stock"/>
  </r>
  <r>
    <s v="AMZ26-00033"/>
    <d v="2026-09-01T00:00:00"/>
    <x v="1"/>
    <s v="Q3"/>
    <n v="2026"/>
    <s v="CUST-4011"/>
    <s v="Aditi Sharma"/>
    <s v="Small Business"/>
    <s v="India"/>
    <s v="Assam"/>
    <s v="Guwahati"/>
    <x v="2"/>
    <s v="Amazon App"/>
    <s v="Android"/>
    <x v="3"/>
    <s v="Snacks"/>
    <s v="Potato Chips"/>
    <s v="Lay's"/>
    <s v="GRO-SNA-56329"/>
    <s v="FBM"/>
    <x v="4"/>
    <x v="0"/>
    <n v="2"/>
    <n v="388.17"/>
    <n v="0"/>
    <n v="0"/>
    <n v="776.34"/>
    <n v="776.34"/>
    <n v="132.38"/>
    <n v="555.38"/>
    <n v="88.58"/>
    <n v="0.11409999999999999"/>
    <n v="4"/>
    <s v="On Time"/>
    <s v="No"/>
    <m/>
    <n v="4"/>
    <n v="2"/>
    <s v="No"/>
    <s v="None"/>
    <n v="898.07"/>
    <n v="0.86450000000000005"/>
    <n v="442"/>
    <s v="In Stock"/>
  </r>
  <r>
    <s v="AMZ26-00034"/>
    <d v="2026-10-11T00:00:00"/>
    <x v="8"/>
    <s v="Q4"/>
    <n v="2026"/>
    <s v="CUST-1148"/>
    <s v="Kiran Verma"/>
    <s v="Small Business"/>
    <s v="India"/>
    <s v="Rajasthan"/>
    <s v="Jaipur"/>
    <x v="3"/>
    <s v="Amazon App"/>
    <s v="Tablet"/>
    <x v="2"/>
    <s v="Skin Care"/>
    <s v="Face Serum"/>
    <s v="Minimalist"/>
    <s v="BEA-SKI-92691"/>
    <s v="FBA"/>
    <x v="0"/>
    <x v="0"/>
    <n v="4"/>
    <n v="603.49"/>
    <n v="0"/>
    <n v="0"/>
    <n v="2413.96"/>
    <n v="2413.96"/>
    <n v="61.08"/>
    <n v="1195.72"/>
    <n v="1157.1600000000001"/>
    <n v="0.47939999999999999"/>
    <n v="5"/>
    <s v="Delayed"/>
    <s v="No"/>
    <m/>
    <n v="3"/>
    <n v="2"/>
    <s v="No"/>
    <s v="Festival Sale"/>
    <n v="2213.73"/>
    <n v="1.0904"/>
    <n v="466"/>
    <s v="In Stock"/>
  </r>
  <r>
    <s v="AMZ26-00035"/>
    <d v="2026-09-21T00:00:00"/>
    <x v="1"/>
    <s v="Q3"/>
    <n v="2026"/>
    <s v="CUST-1292"/>
    <s v="Sneha Reddy"/>
    <s v="Small Business"/>
    <s v="India"/>
    <s v="Karnataka"/>
    <s v="Mysuru"/>
    <x v="1"/>
    <s v="Amazon App"/>
    <s v="Tablet"/>
    <x v="2"/>
    <s v="Skin Care"/>
    <s v="Moisturizer"/>
    <s v="Cetaphil"/>
    <s v="BEA-SKI-81755"/>
    <s v="FBA"/>
    <x v="1"/>
    <x v="2"/>
    <n v="1"/>
    <n v="245.11"/>
    <n v="0"/>
    <n v="0"/>
    <n v="245.11"/>
    <n v="245.11"/>
    <n v="69.78"/>
    <n v="118.19"/>
    <n v="57.14"/>
    <n v="0.2331"/>
    <n v="1"/>
    <s v="In Transit"/>
    <s v="No"/>
    <m/>
    <m/>
    <n v="0"/>
    <s v="Yes"/>
    <s v="Amazon Coupon"/>
    <n v="254.56"/>
    <n v="0.96289999999999998"/>
    <n v="132"/>
    <s v="In Stock"/>
  </r>
  <r>
    <s v="AMZ26-00036"/>
    <d v="2026-10-02T00:00:00"/>
    <x v="8"/>
    <s v="Q4"/>
    <n v="2026"/>
    <s v="CUST-2142"/>
    <s v="Rohan Nair"/>
    <s v="Consumer"/>
    <s v="India"/>
    <s v="Assam"/>
    <s v="Guwahati"/>
    <x v="2"/>
    <s v="Amazon Website"/>
    <s v="Android"/>
    <x v="1"/>
    <s v="Mobiles"/>
    <s v="Galaxy A Series"/>
    <s v="Samsung"/>
    <s v="ELE-MOB-22113"/>
    <s v="FBA"/>
    <x v="1"/>
    <x v="0"/>
    <n v="1"/>
    <n v="13659.12"/>
    <n v="0"/>
    <n v="0"/>
    <n v="13659.12"/>
    <n v="13659.12"/>
    <n v="110.28"/>
    <n v="9107.35"/>
    <n v="4441.49"/>
    <n v="0.32519999999999999"/>
    <n v="4"/>
    <s v="On Time"/>
    <s v="No"/>
    <m/>
    <n v="4"/>
    <n v="4"/>
    <s v="No"/>
    <s v="Amazon Coupon"/>
    <n v="15742.53"/>
    <n v="0.86770000000000003"/>
    <n v="204"/>
    <s v="In Stock"/>
  </r>
  <r>
    <s v="AMZ26-00037"/>
    <d v="2026-08-31T00:00:00"/>
    <x v="4"/>
    <s v="Q3"/>
    <n v="2026"/>
    <s v="CUST-2386"/>
    <s v="Priya Gupta"/>
    <s v="Small Business"/>
    <s v="India"/>
    <s v="Gujarat"/>
    <s v="Ahmedabad"/>
    <x v="3"/>
    <s v="Amazon App"/>
    <s v="Desktop"/>
    <x v="0"/>
    <s v="Women Clothing"/>
    <s v="Denim Jeans"/>
    <s v="Levi's"/>
    <s v="FAS-WOM-20907"/>
    <s v="FBA"/>
    <x v="5"/>
    <x v="1"/>
    <n v="1"/>
    <n v="482.78"/>
    <n v="0.25"/>
    <n v="120.69"/>
    <n v="482.78"/>
    <n v="362.09"/>
    <n v="22.4"/>
    <n v="249.62"/>
    <n v="90.07"/>
    <n v="0.24879999999999999"/>
    <n v="0"/>
    <s v="Not Applicable"/>
    <s v="No"/>
    <m/>
    <m/>
    <n v="0"/>
    <s v="Yes"/>
    <s v="Amazon Coupon"/>
    <n v="368.41"/>
    <n v="0.98280000000000001"/>
    <n v="290"/>
    <s v="In Stock"/>
  </r>
  <r>
    <s v="AMZ26-00038"/>
    <d v="2026-06-05T00:00:00"/>
    <x v="5"/>
    <s v="Q2"/>
    <n v="2026"/>
    <s v="CUST-3712"/>
    <s v="Nandini Kumar"/>
    <s v="Consumer"/>
    <s v="India"/>
    <s v="Gujarat"/>
    <s v="Ahmedabad"/>
    <x v="3"/>
    <s v="Amazon App"/>
    <s v="Desktop"/>
    <x v="3"/>
    <s v="Snacks"/>
    <s v="Mixed Nuts"/>
    <s v="Happilo"/>
    <s v="GRO-SNA-18849"/>
    <s v="FBA"/>
    <x v="2"/>
    <x v="0"/>
    <n v="3"/>
    <n v="1561"/>
    <n v="0.05"/>
    <n v="234.15"/>
    <n v="4683"/>
    <n v="4448.8500000000004"/>
    <n v="178.61"/>
    <n v="2922.77"/>
    <n v="1347.47"/>
    <n v="0.3029"/>
    <n v="8"/>
    <s v="Delayed"/>
    <s v="No"/>
    <m/>
    <n v="4"/>
    <n v="4"/>
    <s v="Yes"/>
    <s v="None"/>
    <n v="5480.1"/>
    <n v="0.81179999999999997"/>
    <n v="477"/>
    <s v="In Stock"/>
  </r>
  <r>
    <s v="AMZ26-00039"/>
    <d v="2026-08-16T00:00:00"/>
    <x v="4"/>
    <s v="Q3"/>
    <n v="2026"/>
    <s v="CUST-4851"/>
    <s v="Vivek Singh"/>
    <s v="Small Business"/>
    <s v="India"/>
    <s v="Uttar Pradesh"/>
    <s v="Noida"/>
    <x v="0"/>
    <s v="Amazon Website"/>
    <s v="Tablet"/>
    <x v="2"/>
    <s v="Makeup"/>
    <s v="Kajal"/>
    <s v="Lakme"/>
    <s v="BEA-MAK-68451"/>
    <s v="FBM"/>
    <x v="0"/>
    <x v="0"/>
    <n v="1"/>
    <n v="695.12"/>
    <n v="0"/>
    <n v="0"/>
    <n v="695.12"/>
    <n v="695.12"/>
    <n v="24.06"/>
    <n v="507.15"/>
    <n v="163.91"/>
    <n v="0.23580000000000001"/>
    <n v="2"/>
    <s v="On Time"/>
    <s v="No"/>
    <m/>
    <n v="4"/>
    <n v="3"/>
    <s v="Yes"/>
    <s v="None"/>
    <n v="804.76"/>
    <n v="0.86380000000000001"/>
    <n v="372"/>
    <s v="In Stock"/>
  </r>
  <r>
    <s v="AMZ26-00040"/>
    <d v="2026-11-10T00:00:00"/>
    <x v="6"/>
    <s v="Q4"/>
    <n v="2026"/>
    <s v="CUST-3249"/>
    <s v="Vivek Joshi"/>
    <s v="Small Business"/>
    <s v="India"/>
    <s v="Karnataka"/>
    <s v="Mysuru"/>
    <x v="1"/>
    <s v="Amazon Website"/>
    <s v="Desktop"/>
    <x v="0"/>
    <s v="Footwear"/>
    <s v="Casual Sneakers"/>
    <s v="Puma"/>
    <s v="FAS-FOO-81162"/>
    <s v="FBM"/>
    <x v="2"/>
    <x v="0"/>
    <n v="4"/>
    <n v="666.85"/>
    <n v="0.2"/>
    <n v="533.48"/>
    <n v="2667.4"/>
    <n v="2133.92"/>
    <n v="41.47"/>
    <n v="1089.26"/>
    <n v="1003.19"/>
    <n v="0.47010000000000002"/>
    <n v="3"/>
    <s v="On Time"/>
    <s v="No"/>
    <m/>
    <n v="5"/>
    <n v="4"/>
    <s v="Yes"/>
    <s v="Amazon Coupon"/>
    <n v="2150.66"/>
    <n v="0.99219999999999997"/>
    <n v="315"/>
    <s v="In Stock"/>
  </r>
  <r>
    <s v="AMZ26-00041"/>
    <d v="2026-09-18T00:00:00"/>
    <x v="1"/>
    <s v="Q3"/>
    <n v="2026"/>
    <s v="CUST-2382"/>
    <s v="Sneha Singh"/>
    <s v="Consumer"/>
    <s v="India"/>
    <s v="Delhi"/>
    <s v="New Delhi"/>
    <x v="0"/>
    <s v="Amazon Website"/>
    <s v="Desktop"/>
    <x v="3"/>
    <s v="Snacks"/>
    <s v="Potato Chips"/>
    <s v="Lay's"/>
    <s v="GRO-SNA-64266"/>
    <s v="FBM"/>
    <x v="2"/>
    <x v="0"/>
    <n v="2"/>
    <n v="1357.58"/>
    <n v="0.05"/>
    <n v="135.76"/>
    <n v="2715.16"/>
    <n v="2579.4"/>
    <n v="111.21"/>
    <n v="1528.41"/>
    <n v="939.78"/>
    <n v="0.36430000000000001"/>
    <n v="1"/>
    <s v="On Time"/>
    <s v="No"/>
    <m/>
    <n v="5"/>
    <n v="0"/>
    <s v="No"/>
    <s v="Amazon Coupon"/>
    <n v="3017.51"/>
    <n v="0.8548"/>
    <n v="263"/>
    <s v="In Stock"/>
  </r>
  <r>
    <s v="AMZ26-00042"/>
    <d v="2026-01-07T00:00:00"/>
    <x v="10"/>
    <s v="Q1"/>
    <n v="2026"/>
    <s v="CUST-4334"/>
    <s v="Rohan Rao"/>
    <s v="Consumer"/>
    <s v="India"/>
    <s v="Assam"/>
    <s v="Guwahati"/>
    <x v="2"/>
    <s v="Amazon Website"/>
    <s v="Android"/>
    <x v="2"/>
    <s v="Makeup"/>
    <s v="Foundation"/>
    <s v="Lakme"/>
    <s v="BEA-MAK-77246"/>
    <s v="FBA"/>
    <x v="5"/>
    <x v="0"/>
    <n v="2"/>
    <n v="975.48"/>
    <n v="0.25"/>
    <n v="487.74"/>
    <n v="1950.96"/>
    <n v="1463.22"/>
    <n v="89.06"/>
    <n v="1028.54"/>
    <n v="345.62"/>
    <n v="0.23619999999999999"/>
    <n v="2"/>
    <s v="On Time"/>
    <s v="No"/>
    <m/>
    <n v="4"/>
    <n v="3"/>
    <s v="Yes"/>
    <s v="Amazon Coupon"/>
    <n v="1605.31"/>
    <n v="0.91149999999999998"/>
    <n v="242"/>
    <s v="In Stock"/>
  </r>
  <r>
    <s v="AMZ26-00043"/>
    <d v="2026-07-23T00:00:00"/>
    <x v="3"/>
    <s v="Q3"/>
    <n v="2026"/>
    <s v="CUST-3569"/>
    <s v="Kavya Kumar"/>
    <s v="Consumer"/>
    <s v="India"/>
    <s v="Telangana"/>
    <s v="Hyderabad"/>
    <x v="1"/>
    <s v="Amazon App"/>
    <s v="Tablet"/>
    <x v="3"/>
    <s v="Beverages"/>
    <s v="Fruit Juice"/>
    <s v="Real"/>
    <s v="GRO-BEV-94363"/>
    <s v="FBM"/>
    <x v="1"/>
    <x v="0"/>
    <n v="5"/>
    <n v="1780.09"/>
    <n v="0"/>
    <n v="0"/>
    <n v="8900.4500000000007"/>
    <n v="8900.4500000000007"/>
    <n v="104.09"/>
    <n v="5129.8500000000004"/>
    <n v="3666.51"/>
    <n v="0.41189999999999999"/>
    <n v="2"/>
    <s v="On Time"/>
    <s v="No"/>
    <m/>
    <n v="5"/>
    <n v="2"/>
    <s v="Yes"/>
    <s v="None"/>
    <n v="9911.11"/>
    <n v="0.89800000000000002"/>
    <n v="235"/>
    <s v="In Stock"/>
  </r>
  <r>
    <s v="AMZ26-00044"/>
    <d v="2026-02-14T00:00:00"/>
    <x v="7"/>
    <s v="Q1"/>
    <n v="2026"/>
    <s v="CUST-2947"/>
    <s v="Diya Verma"/>
    <s v="Consumer"/>
    <s v="India"/>
    <s v="Uttar Pradesh"/>
    <s v="Noida"/>
    <x v="0"/>
    <s v="Amazon Website"/>
    <s v="iOS"/>
    <x v="0"/>
    <s v="Women Clothing"/>
    <s v="Casual Top"/>
    <s v="ONLY"/>
    <s v="FAS-WOM-22916"/>
    <s v="FBM"/>
    <x v="3"/>
    <x v="0"/>
    <n v="1"/>
    <n v="4337.49"/>
    <n v="0.25"/>
    <n v="1084.3699999999999"/>
    <n v="4337.49"/>
    <n v="3253.12"/>
    <n v="188.4"/>
    <n v="1689.29"/>
    <n v="1375.43"/>
    <n v="0.42280000000000001"/>
    <n v="8"/>
    <s v="Delayed"/>
    <s v="No"/>
    <m/>
    <n v="3"/>
    <n v="3"/>
    <s v="Yes"/>
    <s v="Lightning Deal"/>
    <n v="3413.01"/>
    <n v="0.95320000000000005"/>
    <n v="229"/>
    <s v="In Stock"/>
  </r>
  <r>
    <s v="AMZ26-00045"/>
    <d v="2026-12-31T00:00:00"/>
    <x v="11"/>
    <s v="Q4"/>
    <n v="2026"/>
    <s v="CUST-1339"/>
    <s v="Aditi Yadav"/>
    <s v="Corporate"/>
    <s v="India"/>
    <s v="Rajasthan"/>
    <s v="Jaipur"/>
    <x v="3"/>
    <s v="Amazon Website"/>
    <s v="Tablet"/>
    <x v="1"/>
    <s v="Laptops"/>
    <s v="IdeaPad"/>
    <s v="Lenovo"/>
    <s v="ELE-LAP-90978"/>
    <s v="FBM"/>
    <x v="4"/>
    <x v="0"/>
    <n v="1"/>
    <n v="49311.26"/>
    <n v="0.15"/>
    <n v="7396.69"/>
    <n v="49311.26"/>
    <n v="41914.57"/>
    <n v="64.53"/>
    <n v="30197.759999999998"/>
    <n v="11652.28"/>
    <n v="0.27800000000000002"/>
    <n v="4"/>
    <s v="On Time"/>
    <s v="No"/>
    <m/>
    <n v="5"/>
    <n v="0"/>
    <s v="No"/>
    <s v="Bank Offer"/>
    <n v="42509.61"/>
    <n v="0.98599999999999999"/>
    <n v="324"/>
    <s v="In Stock"/>
  </r>
  <r>
    <s v="AMZ26-00046"/>
    <d v="2026-09-26T00:00:00"/>
    <x v="1"/>
    <s v="Q3"/>
    <n v="2026"/>
    <s v="CUST-4337"/>
    <s v="Priya Singh"/>
    <s v="Corporate"/>
    <s v="India"/>
    <s v="Rajasthan"/>
    <s v="Jaipur"/>
    <x v="3"/>
    <s v="Amazon App"/>
    <s v="iOS"/>
    <x v="4"/>
    <s v="Kitchen Appliances"/>
    <s v="Electric Kettle"/>
    <s v="Pigeon"/>
    <s v="HOM-KIT-44796"/>
    <s v="FBA"/>
    <x v="4"/>
    <x v="0"/>
    <n v="5"/>
    <n v="1231.22"/>
    <n v="0.3"/>
    <n v="1846.83"/>
    <n v="6156.1"/>
    <n v="4309.2700000000004"/>
    <n v="72.53"/>
    <n v="3023.11"/>
    <n v="1213.6300000000001"/>
    <n v="0.28160000000000002"/>
    <n v="4"/>
    <s v="On Time"/>
    <s v="No"/>
    <m/>
    <n v="5"/>
    <n v="4"/>
    <s v="No"/>
    <s v="Bank Offer"/>
    <n v="4424.3599999999997"/>
    <n v="0.97399999999999998"/>
    <n v="183"/>
    <s v="In Stock"/>
  </r>
  <r>
    <s v="AMZ26-00047"/>
    <d v="2026-06-22T00:00:00"/>
    <x v="5"/>
    <s v="Q2"/>
    <n v="2026"/>
    <s v="CUST-2459"/>
    <s v="Isha Verma"/>
    <s v="Corporate"/>
    <s v="India"/>
    <s v="Delhi"/>
    <s v="New Delhi"/>
    <x v="0"/>
    <s v="Amazon Website"/>
    <s v="Android"/>
    <x v="4"/>
    <s v="Home Decor"/>
    <s v="Curtain Set"/>
    <s v="Home Centre"/>
    <s v="HOM-HOM-55968"/>
    <s v="FBM"/>
    <x v="2"/>
    <x v="0"/>
    <n v="4"/>
    <n v="5108.8599999999997"/>
    <n v="0.25"/>
    <n v="5108.8599999999997"/>
    <n v="20435.439999999999"/>
    <n v="15326.58"/>
    <n v="168.91"/>
    <n v="11842.94"/>
    <n v="3314.73"/>
    <n v="0.21629999999999999"/>
    <n v="8"/>
    <s v="Delayed"/>
    <s v="No"/>
    <m/>
    <n v="5"/>
    <n v="3"/>
    <s v="Yes"/>
    <s v="None"/>
    <n v="15223.96"/>
    <n v="1.0066999999999999"/>
    <n v="389"/>
    <s v="In Stock"/>
  </r>
  <r>
    <s v="AMZ26-00048"/>
    <d v="2026-11-05T00:00:00"/>
    <x v="6"/>
    <s v="Q4"/>
    <n v="2026"/>
    <s v="CUST-1894"/>
    <s v="Vihaan Kumar"/>
    <s v="Consumer"/>
    <s v="India"/>
    <s v="Tamil Nadu"/>
    <s v="Chennai"/>
    <x v="1"/>
    <s v="Amazon App"/>
    <s v="Desktop"/>
    <x v="3"/>
    <s v="Staples"/>
    <s v="Basmati Rice"/>
    <s v="India Gate"/>
    <s v="GRO-STA-39999"/>
    <s v="FBM"/>
    <x v="5"/>
    <x v="1"/>
    <n v="1"/>
    <n v="1153.6300000000001"/>
    <n v="0.25"/>
    <n v="288.41000000000003"/>
    <n v="1153.6300000000001"/>
    <n v="865.22"/>
    <n v="65.41"/>
    <n v="493.18"/>
    <n v="306.63"/>
    <n v="0.35439999999999999"/>
    <n v="0"/>
    <s v="Not Applicable"/>
    <s v="No"/>
    <m/>
    <m/>
    <n v="0"/>
    <s v="No"/>
    <s v="Bank Offer"/>
    <n v="824.51"/>
    <n v="1.0494000000000001"/>
    <n v="105"/>
    <s v="In Stock"/>
  </r>
  <r>
    <s v="AMZ26-00049"/>
    <d v="2026-10-02T00:00:00"/>
    <x v="8"/>
    <s v="Q4"/>
    <n v="2026"/>
    <s v="CUST-4155"/>
    <s v="Vivek Rao"/>
    <s v="Small Business"/>
    <s v="India"/>
    <s v="Tamil Nadu"/>
    <s v="Chennai"/>
    <x v="1"/>
    <s v="Amazon Website"/>
    <s v="iOS"/>
    <x v="0"/>
    <s v="Men Clothing"/>
    <s v="Casual T-Shirt"/>
    <s v="Puma"/>
    <s v="FAS-MEN-58628"/>
    <s v="FBA"/>
    <x v="2"/>
    <x v="0"/>
    <n v="2"/>
    <n v="447.09"/>
    <n v="0"/>
    <n v="0"/>
    <n v="894.18"/>
    <n v="894.18"/>
    <n v="226.96"/>
    <n v="642.26"/>
    <n v="24.96"/>
    <n v="2.7900000000000001E-2"/>
    <n v="7"/>
    <s v="Delayed"/>
    <s v="Yes"/>
    <s v="Size/Fit Issue"/>
    <n v="5"/>
    <n v="4"/>
    <s v="Yes"/>
    <s v="Amazon Coupon"/>
    <n v="1023.21"/>
    <n v="0.87390000000000001"/>
    <n v="387"/>
    <s v="In Stock"/>
  </r>
  <r>
    <s v="AMZ26-00050"/>
    <d v="2026-05-17T00:00:00"/>
    <x v="2"/>
    <s v="Q2"/>
    <n v="2026"/>
    <s v="CUST-4945"/>
    <s v="Meera Das"/>
    <s v="Consumer"/>
    <s v="India"/>
    <s v="Rajasthan"/>
    <s v="Jaipur"/>
    <x v="3"/>
    <s v="Amazon App"/>
    <s v="Desktop"/>
    <x v="1"/>
    <s v="Mobiles"/>
    <s v="Moto G"/>
    <s v="Motorola"/>
    <s v="ELE-MOB-91451"/>
    <s v="FBA"/>
    <x v="3"/>
    <x v="0"/>
    <n v="5"/>
    <n v="13606.51"/>
    <n v="0.3"/>
    <n v="20409.759999999998"/>
    <n v="68032.55"/>
    <n v="47622.79"/>
    <n v="110.27"/>
    <n v="31944.84"/>
    <n v="15567.68"/>
    <n v="0.32690000000000002"/>
    <n v="5"/>
    <s v="Delayed"/>
    <s v="No"/>
    <m/>
    <n v="3"/>
    <n v="1"/>
    <s v="Yes"/>
    <s v="None"/>
    <n v="48665.760000000002"/>
    <n v="0.97860000000000003"/>
    <n v="138"/>
    <s v="In Stock"/>
  </r>
  <r>
    <s v="AMZ26-00051"/>
    <d v="2026-02-22T00:00:00"/>
    <x v="7"/>
    <s v="Q1"/>
    <n v="2026"/>
    <s v="CUST-1455"/>
    <s v="Sneha Kumar"/>
    <s v="Corporate"/>
    <s v="India"/>
    <s v="Rajasthan"/>
    <s v="Jaipur"/>
    <x v="3"/>
    <s v="Amazon Website"/>
    <s v="iOS"/>
    <x v="2"/>
    <s v="Skin Care"/>
    <s v="Moisturizer"/>
    <s v="Cetaphil"/>
    <s v="BEA-SKI-39511"/>
    <s v="FBA"/>
    <x v="4"/>
    <x v="0"/>
    <n v="4"/>
    <n v="2362.92"/>
    <n v="0"/>
    <n v="0"/>
    <n v="9451.68"/>
    <n v="9451.68"/>
    <n v="91.76"/>
    <n v="6436.66"/>
    <n v="2923.26"/>
    <n v="0.30930000000000002"/>
    <n v="4"/>
    <s v="On Time"/>
    <s v="No"/>
    <m/>
    <n v="4"/>
    <n v="0"/>
    <s v="Yes"/>
    <s v="Bank Offer"/>
    <n v="9181.8700000000008"/>
    <n v="1.0294000000000001"/>
    <n v="287"/>
    <s v="In Stock"/>
  </r>
  <r>
    <s v="AMZ26-00052"/>
    <d v="2026-05-10T00:00:00"/>
    <x v="2"/>
    <s v="Q2"/>
    <n v="2026"/>
    <s v="CUST-4269"/>
    <s v="Sneha Sharma"/>
    <s v="Corporate"/>
    <s v="India"/>
    <s v="Telangana"/>
    <s v="Hyderabad"/>
    <x v="1"/>
    <s v="Amazon App"/>
    <s v="Desktop"/>
    <x v="4"/>
    <s v="Cookware"/>
    <s v="Cookware Set"/>
    <s v="Pigeon"/>
    <s v="HOM-COO-82797"/>
    <s v="FBM"/>
    <x v="3"/>
    <x v="0"/>
    <n v="4"/>
    <n v="2147.54"/>
    <n v="0.1"/>
    <n v="859.02"/>
    <n v="8590.16"/>
    <n v="7731.14"/>
    <n v="190.02"/>
    <n v="5886.62"/>
    <n v="1654.5"/>
    <n v="0.214"/>
    <n v="2"/>
    <s v="On Time"/>
    <s v="No"/>
    <m/>
    <n v="5"/>
    <n v="1"/>
    <s v="Yes"/>
    <s v="Lightning Deal"/>
    <n v="8498.7199999999993"/>
    <n v="0.90969999999999995"/>
    <n v="146"/>
    <s v="In Stock"/>
  </r>
  <r>
    <s v="AMZ26-00053"/>
    <d v="2026-03-19T00:00:00"/>
    <x v="0"/>
    <s v="Q1"/>
    <n v="2026"/>
    <s v="CUST-4728"/>
    <s v="Vihaan Joshi"/>
    <s v="Corporate"/>
    <s v="India"/>
    <s v="Haryana"/>
    <s v="Gurugram"/>
    <x v="0"/>
    <s v="Amazon Website"/>
    <s v="Android"/>
    <x v="2"/>
    <s v="Makeup"/>
    <s v="Lipstick"/>
    <s v="Maybelline"/>
    <s v="BEA-MAK-18905"/>
    <s v="FBA"/>
    <x v="3"/>
    <x v="0"/>
    <n v="2"/>
    <n v="430.38"/>
    <n v="0.15"/>
    <n v="129.11000000000001"/>
    <n v="860.76"/>
    <n v="731.65"/>
    <n v="241.91"/>
    <n v="531.64"/>
    <n v="-41.9"/>
    <n v="-5.7299999999999997E-2"/>
    <n v="8"/>
    <s v="Delayed"/>
    <s v="No"/>
    <m/>
    <n v="4"/>
    <n v="1"/>
    <s v="Yes"/>
    <s v="Bank Offer"/>
    <n v="906.19"/>
    <n v="0.80740000000000001"/>
    <n v="359"/>
    <s v="In Stock"/>
  </r>
  <r>
    <s v="AMZ26-00054"/>
    <d v="2026-01-06T00:00:00"/>
    <x v="10"/>
    <s v="Q1"/>
    <n v="2026"/>
    <s v="CUST-3521"/>
    <s v="Nikhil Sharma"/>
    <s v="Small Business"/>
    <s v="India"/>
    <s v="Tamil Nadu"/>
    <s v="Chennai"/>
    <x v="1"/>
    <s v="Amazon Website"/>
    <s v="Tablet"/>
    <x v="0"/>
    <s v="Men Clothing"/>
    <s v="Slim Jeans"/>
    <s v="Levi's"/>
    <s v="FAS-MEN-56911"/>
    <s v="FBM"/>
    <x v="5"/>
    <x v="1"/>
    <n v="3"/>
    <n v="415.65"/>
    <n v="0.3"/>
    <n v="374.08"/>
    <n v="1246.95"/>
    <n v="872.87"/>
    <n v="244.67"/>
    <n v="638.49"/>
    <n v="-10.29"/>
    <n v="-1.18E-2"/>
    <n v="0"/>
    <s v="Not Applicable"/>
    <s v="No"/>
    <m/>
    <m/>
    <n v="0"/>
    <s v="No"/>
    <s v="Prime Deal"/>
    <n v="858.68"/>
    <n v="1.0165"/>
    <n v="381"/>
    <s v="In Stock"/>
  </r>
  <r>
    <s v="AMZ26-00055"/>
    <d v="2026-06-25T00:00:00"/>
    <x v="5"/>
    <s v="Q2"/>
    <n v="2026"/>
    <s v="CUST-4224"/>
    <s v="Aarav Rao"/>
    <s v="Small Business"/>
    <s v="India"/>
    <s v="Uttar Pradesh"/>
    <s v="Noida"/>
    <x v="0"/>
    <s v="Amazon App"/>
    <s v="Android"/>
    <x v="3"/>
    <s v="Beverages"/>
    <s v="Fruit Juice"/>
    <s v="Real"/>
    <s v="GRO-BEV-71042"/>
    <s v="FBM"/>
    <x v="4"/>
    <x v="1"/>
    <n v="5"/>
    <n v="332.49"/>
    <n v="0.25"/>
    <n v="415.61"/>
    <n v="1662.45"/>
    <n v="1246.8399999999999"/>
    <n v="134.32"/>
    <n v="883.93"/>
    <n v="228.59"/>
    <n v="0.18329999999999999"/>
    <n v="0"/>
    <s v="Not Applicable"/>
    <s v="No"/>
    <m/>
    <m/>
    <n v="0"/>
    <s v="No"/>
    <s v="Festival Sale"/>
    <n v="1382.83"/>
    <n v="0.90169999999999995"/>
    <n v="388"/>
    <s v="In Stock"/>
  </r>
  <r>
    <s v="AMZ26-00056"/>
    <d v="2026-07-26T00:00:00"/>
    <x v="3"/>
    <s v="Q3"/>
    <n v="2026"/>
    <s v="CUST-4031"/>
    <s v="Priya Nair"/>
    <s v="Consumer"/>
    <s v="India"/>
    <s v="Tamil Nadu"/>
    <s v="Chennai"/>
    <x v="1"/>
    <s v="Amazon Website"/>
    <s v="iOS"/>
    <x v="1"/>
    <s v="Laptops"/>
    <s v="Inspiron Laptop"/>
    <s v="Dell"/>
    <s v="ELE-LAP-56021"/>
    <s v="FBA"/>
    <x v="3"/>
    <x v="1"/>
    <n v="2"/>
    <n v="14188.9"/>
    <n v="0.1"/>
    <n v="2837.78"/>
    <n v="28377.8"/>
    <n v="25540.02"/>
    <n v="69.569999999999993"/>
    <n v="13894.13"/>
    <n v="11576.32"/>
    <n v="0.45329999999999998"/>
    <n v="0"/>
    <s v="Not Applicable"/>
    <s v="No"/>
    <m/>
    <m/>
    <n v="0"/>
    <s v="No"/>
    <s v="Lightning Deal"/>
    <n v="21800.51"/>
    <n v="1.1715"/>
    <n v="19"/>
    <s v="Low Stock"/>
  </r>
  <r>
    <s v="AMZ26-00057"/>
    <d v="2026-04-02T00:00:00"/>
    <x v="9"/>
    <s v="Q2"/>
    <n v="2026"/>
    <s v="CUST-4032"/>
    <s v="Ananya Das"/>
    <s v="Consumer"/>
    <s v="India"/>
    <s v="Haryana"/>
    <s v="Gurugram"/>
    <x v="0"/>
    <s v="Amazon Website"/>
    <s v="iOS"/>
    <x v="4"/>
    <s v="Home Decor"/>
    <s v="Wall Clock"/>
    <s v="Ajanta"/>
    <s v="HOM-HOM-21648"/>
    <s v="FBA"/>
    <x v="2"/>
    <x v="0"/>
    <n v="5"/>
    <n v="2849.25"/>
    <n v="0"/>
    <n v="0"/>
    <n v="14246.25"/>
    <n v="14246.25"/>
    <n v="99.14"/>
    <n v="10468.18"/>
    <n v="3678.93"/>
    <n v="0.25819999999999999"/>
    <n v="8"/>
    <s v="Delayed"/>
    <s v="No"/>
    <m/>
    <n v="4"/>
    <n v="1"/>
    <s v="Yes"/>
    <s v="Amazon Coupon"/>
    <n v="16278"/>
    <n v="0.87519999999999998"/>
    <n v="413"/>
    <s v="In Stock"/>
  </r>
  <r>
    <s v="AMZ26-00058"/>
    <d v="2026-04-26T00:00:00"/>
    <x v="9"/>
    <s v="Q2"/>
    <n v="2026"/>
    <s v="CUST-3151"/>
    <s v="Priya Rao"/>
    <s v="Corporate"/>
    <s v="India"/>
    <s v="Haryana"/>
    <s v="Gurugram"/>
    <x v="0"/>
    <s v="Amazon App"/>
    <s v="Android"/>
    <x v="2"/>
    <s v="Hair Care"/>
    <s v="Hair Serum"/>
    <s v="L'Oreal"/>
    <s v="BEA-HAI-51212"/>
    <s v="FBM"/>
    <x v="5"/>
    <x v="0"/>
    <n v="3"/>
    <n v="1920.59"/>
    <n v="0.15"/>
    <n v="864.27"/>
    <n v="5761.77"/>
    <n v="4897.5"/>
    <n v="173.52"/>
    <n v="3277.6"/>
    <n v="1446.38"/>
    <n v="0.29530000000000001"/>
    <n v="8"/>
    <s v="Delayed"/>
    <s v="No"/>
    <m/>
    <n v="5"/>
    <n v="0"/>
    <s v="No"/>
    <s v="None"/>
    <n v="5653.33"/>
    <n v="0.86629999999999996"/>
    <n v="455"/>
    <s v="In Stock"/>
  </r>
  <r>
    <s v="AMZ26-00059"/>
    <d v="2026-09-25T00:00:00"/>
    <x v="1"/>
    <s v="Q3"/>
    <n v="2026"/>
    <s v="CUST-3940"/>
    <s v="Aditya Yadav"/>
    <s v="Consumer"/>
    <s v="India"/>
    <s v="Maharashtra"/>
    <s v="Pune"/>
    <x v="3"/>
    <s v="Amazon Website"/>
    <s v="Desktop"/>
    <x v="4"/>
    <s v="Cookware"/>
    <s v="Pressure Cooker"/>
    <s v="Hawkins"/>
    <s v="HOM-COO-82026"/>
    <s v="FBM"/>
    <x v="5"/>
    <x v="0"/>
    <n v="2"/>
    <n v="1328.07"/>
    <n v="0.15"/>
    <n v="398.42"/>
    <n v="2656.14"/>
    <n v="2257.7199999999998"/>
    <n v="3.38"/>
    <n v="1275.5899999999999"/>
    <n v="978.75"/>
    <n v="0.4335"/>
    <n v="5"/>
    <s v="Delayed"/>
    <s v="No"/>
    <m/>
    <n v="4"/>
    <n v="3"/>
    <s v="Yes"/>
    <s v="Festival Sale"/>
    <n v="2807.62"/>
    <n v="0.80410000000000004"/>
    <n v="384"/>
    <s v="In Stock"/>
  </r>
  <r>
    <s v="AMZ26-00060"/>
    <d v="2026-02-17T00:00:00"/>
    <x v="7"/>
    <s v="Q1"/>
    <n v="2026"/>
    <s v="CUST-1072"/>
    <s v="Aditi Kumar"/>
    <s v="Consumer"/>
    <s v="India"/>
    <s v="Haryana"/>
    <s v="Gurugram"/>
    <x v="0"/>
    <s v="Amazon App"/>
    <s v="iOS"/>
    <x v="3"/>
    <s v="Staples"/>
    <s v="Basmati Rice"/>
    <s v="India Gate"/>
    <s v="GRO-STA-68154"/>
    <s v="FBM"/>
    <x v="4"/>
    <x v="0"/>
    <n v="5"/>
    <n v="80"/>
    <n v="0"/>
    <n v="0"/>
    <n v="400"/>
    <n v="400"/>
    <n v="220.98"/>
    <n v="309.62"/>
    <n v="-130.6"/>
    <n v="-0.32650000000000001"/>
    <n v="6"/>
    <s v="Delayed"/>
    <s v="No"/>
    <m/>
    <n v="3"/>
    <n v="0"/>
    <s v="Yes"/>
    <s v="None"/>
    <n v="418.33"/>
    <n v="0.95620000000000005"/>
    <n v="393"/>
    <s v="In Stock"/>
  </r>
  <r>
    <s v="AMZ26-00061"/>
    <d v="2026-07-11T00:00:00"/>
    <x v="3"/>
    <s v="Q3"/>
    <n v="2026"/>
    <s v="CUST-2641"/>
    <s v="Nikhil Gupta"/>
    <s v="Consumer"/>
    <s v="India"/>
    <s v="West Bengal"/>
    <s v="Kolkata"/>
    <x v="2"/>
    <s v="Amazon App"/>
    <s v="iOS"/>
    <x v="0"/>
    <s v="Men Clothing"/>
    <s v="Casual T-Shirt"/>
    <s v="Puma"/>
    <s v="FAS-MEN-20960"/>
    <s v="FBA"/>
    <x v="4"/>
    <x v="0"/>
    <n v="5"/>
    <n v="4878.5200000000004"/>
    <n v="0.3"/>
    <n v="7317.78"/>
    <n v="24392.6"/>
    <n v="17074.82"/>
    <n v="112.22"/>
    <n v="10906.03"/>
    <n v="6056.57"/>
    <n v="0.35470000000000002"/>
    <n v="7"/>
    <s v="Delayed"/>
    <s v="No"/>
    <m/>
    <n v="4"/>
    <n v="0"/>
    <s v="No"/>
    <s v="Amazon Coupon"/>
    <n v="20647.64"/>
    <n v="0.82699999999999996"/>
    <n v="156"/>
    <s v="In Stock"/>
  </r>
  <r>
    <s v="AMZ26-00062"/>
    <d v="2026-01-20T00:00:00"/>
    <x v="10"/>
    <s v="Q1"/>
    <n v="2026"/>
    <s v="CUST-1730"/>
    <s v="Aditi Patel"/>
    <s v="Consumer"/>
    <s v="India"/>
    <s v="Tamil Nadu"/>
    <s v="Chennai"/>
    <x v="1"/>
    <s v="Amazon App"/>
    <s v="Tablet"/>
    <x v="1"/>
    <s v="Accessories"/>
    <s v="Bluetooth Speaker"/>
    <s v="boAt"/>
    <s v="ELE-ACC-15883"/>
    <s v="FBM"/>
    <x v="5"/>
    <x v="0"/>
    <n v="1"/>
    <n v="59287.97"/>
    <n v="0.15"/>
    <n v="8893.2000000000007"/>
    <n v="59287.97"/>
    <n v="50394.77"/>
    <n v="41.67"/>
    <n v="27165.47"/>
    <n v="23187.63"/>
    <n v="0.46010000000000001"/>
    <n v="2"/>
    <s v="On Time"/>
    <s v="No"/>
    <m/>
    <n v="4"/>
    <n v="0"/>
    <s v="No"/>
    <s v="Prime Deal"/>
    <n v="49632.95"/>
    <n v="1.0153000000000001"/>
    <n v="179"/>
    <s v="In Stock"/>
  </r>
  <r>
    <s v="AMZ26-00063"/>
    <d v="2026-02-17T00:00:00"/>
    <x v="7"/>
    <s v="Q1"/>
    <n v="2026"/>
    <s v="CUST-1527"/>
    <s v="Nandini Jain"/>
    <s v="Small Business"/>
    <s v="India"/>
    <s v="Rajasthan"/>
    <s v="Jaipur"/>
    <x v="3"/>
    <s v="Amazon Website"/>
    <s v="Android"/>
    <x v="2"/>
    <s v="Skin Care"/>
    <s v="Moisturizer"/>
    <s v="Cetaphil"/>
    <s v="BEA-SKI-23206"/>
    <s v="FBM"/>
    <x v="1"/>
    <x v="0"/>
    <n v="4"/>
    <n v="1097.01"/>
    <n v="0.05"/>
    <n v="219.4"/>
    <n v="4388.04"/>
    <n v="4168.6400000000003"/>
    <n v="146.13999999999999"/>
    <n v="2775.06"/>
    <n v="1247.44"/>
    <n v="0.29920000000000002"/>
    <n v="2"/>
    <s v="On Time"/>
    <s v="No"/>
    <m/>
    <n v="4"/>
    <n v="1"/>
    <s v="Yes"/>
    <s v="Amazon Coupon"/>
    <n v="4362.53"/>
    <n v="0.9556"/>
    <n v="429"/>
    <s v="In Stock"/>
  </r>
  <r>
    <s v="AMZ26-00064"/>
    <d v="2026-10-26T00:00:00"/>
    <x v="8"/>
    <s v="Q4"/>
    <n v="2026"/>
    <s v="CUST-2699"/>
    <s v="Priya Reddy"/>
    <s v="Small Business"/>
    <s v="India"/>
    <s v="Tamil Nadu"/>
    <s v="Chennai"/>
    <x v="1"/>
    <s v="Amazon Website"/>
    <s v="iOS"/>
    <x v="2"/>
    <s v="Skin Care"/>
    <s v="Sunscreen"/>
    <s v="Neutrogena"/>
    <s v="BEA-SKI-51492"/>
    <s v="FBM"/>
    <x v="1"/>
    <x v="0"/>
    <n v="4"/>
    <n v="755.59"/>
    <n v="0.2"/>
    <n v="604.47"/>
    <n v="3022.36"/>
    <n v="2417.89"/>
    <n v="78.510000000000005"/>
    <n v="1555.83"/>
    <n v="783.55"/>
    <n v="0.3241"/>
    <n v="1"/>
    <s v="On Time"/>
    <s v="No"/>
    <m/>
    <n v="4"/>
    <n v="2"/>
    <s v="No"/>
    <s v="None"/>
    <n v="2148.44"/>
    <n v="1.1254"/>
    <n v="255"/>
    <s v="In Stock"/>
  </r>
  <r>
    <s v="AMZ26-00065"/>
    <d v="2026-03-12T00:00:00"/>
    <x v="0"/>
    <s v="Q1"/>
    <n v="2026"/>
    <s v="CUST-4517"/>
    <s v="Pooja Yadav"/>
    <s v="Consumer"/>
    <s v="India"/>
    <s v="Delhi"/>
    <s v="New Delhi"/>
    <x v="0"/>
    <s v="Amazon App"/>
    <s v="Desktop"/>
    <x v="2"/>
    <s v="Makeup"/>
    <s v="Kajal"/>
    <s v="Lakme"/>
    <s v="BEA-MAK-32784"/>
    <s v="FBA"/>
    <x v="3"/>
    <x v="0"/>
    <n v="2"/>
    <n v="554.14"/>
    <n v="0.1"/>
    <n v="110.83"/>
    <n v="1108.28"/>
    <n v="997.45"/>
    <n v="203.59"/>
    <n v="703.01"/>
    <n v="90.85"/>
    <n v="9.11E-2"/>
    <n v="7"/>
    <s v="Delayed"/>
    <s v="No"/>
    <m/>
    <n v="5"/>
    <n v="1"/>
    <s v="Yes"/>
    <s v="None"/>
    <n v="1076.27"/>
    <n v="0.92679999999999996"/>
    <n v="337"/>
    <s v="In Stock"/>
  </r>
  <r>
    <s v="AMZ26-00066"/>
    <d v="2026-05-31T00:00:00"/>
    <x v="2"/>
    <s v="Q2"/>
    <n v="2026"/>
    <s v="CUST-4592"/>
    <s v="Arjun Das"/>
    <s v="Small Business"/>
    <s v="India"/>
    <s v="Rajasthan"/>
    <s v="Jaipur"/>
    <x v="3"/>
    <s v="Amazon Website"/>
    <s v="Android"/>
    <x v="0"/>
    <s v="Footwear"/>
    <s v="Running Shoes"/>
    <s v="Adidas"/>
    <s v="FAS-FOO-78277"/>
    <s v="FBM"/>
    <x v="5"/>
    <x v="2"/>
    <n v="4"/>
    <n v="2748.28"/>
    <n v="0"/>
    <n v="0"/>
    <n v="10993.12"/>
    <n v="10993.12"/>
    <n v="196.05"/>
    <n v="7528.21"/>
    <n v="3268.86"/>
    <n v="0.2974"/>
    <n v="6"/>
    <s v="In Transit"/>
    <s v="No"/>
    <m/>
    <m/>
    <n v="0"/>
    <s v="Yes"/>
    <s v="None"/>
    <n v="9538.41"/>
    <n v="1.1525000000000001"/>
    <n v="30"/>
    <s v="Low Stock"/>
  </r>
  <r>
    <s v="AMZ26-00067"/>
    <d v="2026-08-25T00:00:00"/>
    <x v="4"/>
    <s v="Q3"/>
    <n v="2026"/>
    <s v="CUST-1797"/>
    <s v="Nandini Das"/>
    <s v="Corporate"/>
    <s v="India"/>
    <s v="Karnataka"/>
    <s v="Bengaluru"/>
    <x v="1"/>
    <s v="Amazon Website"/>
    <s v="Android"/>
    <x v="0"/>
    <s v="Men Clothing"/>
    <s v="Slim Jeans"/>
    <s v="Levi's"/>
    <s v="FAS-MEN-28378"/>
    <s v="FBA"/>
    <x v="5"/>
    <x v="1"/>
    <n v="2"/>
    <n v="1027.33"/>
    <n v="0.05"/>
    <n v="102.73"/>
    <n v="2054.66"/>
    <n v="1951.93"/>
    <n v="96.03"/>
    <n v="1150.3599999999999"/>
    <n v="705.54"/>
    <n v="0.36149999999999999"/>
    <n v="0"/>
    <s v="Not Applicable"/>
    <s v="No"/>
    <m/>
    <m/>
    <n v="0"/>
    <s v="No"/>
    <s v="Bank Offer"/>
    <n v="2000.4"/>
    <n v="0.9758"/>
    <n v="484"/>
    <s v="In Stock"/>
  </r>
  <r>
    <s v="AMZ26-00068"/>
    <d v="2026-07-26T00:00:00"/>
    <x v="3"/>
    <s v="Q3"/>
    <n v="2026"/>
    <s v="CUST-3375"/>
    <s v="Isha Shetty"/>
    <s v="Consumer"/>
    <s v="India"/>
    <s v="Karnataka"/>
    <s v="Mysuru"/>
    <x v="1"/>
    <s v="Amazon Website"/>
    <s v="iOS"/>
    <x v="1"/>
    <s v="Mobiles"/>
    <s v="Nord CE"/>
    <s v="OnePlus"/>
    <s v="ELE-MOB-53829"/>
    <s v="FBA"/>
    <x v="2"/>
    <x v="2"/>
    <n v="4"/>
    <n v="918.37"/>
    <n v="0"/>
    <n v="0"/>
    <n v="3673.48"/>
    <n v="3673.48"/>
    <n v="4.97"/>
    <n v="1904.45"/>
    <n v="1764.06"/>
    <n v="0.48020000000000002"/>
    <n v="7"/>
    <s v="In Transit"/>
    <s v="No"/>
    <m/>
    <m/>
    <n v="0"/>
    <s v="Yes"/>
    <s v="Festival Sale"/>
    <n v="4585.7299999999996"/>
    <n v="0.80110000000000003"/>
    <n v="353"/>
    <s v="In Stock"/>
  </r>
  <r>
    <s v="AMZ26-00069"/>
    <d v="2026-06-13T00:00:00"/>
    <x v="5"/>
    <s v="Q2"/>
    <n v="2026"/>
    <s v="CUST-3968"/>
    <s v="Nandini Kumar"/>
    <s v="Consumer"/>
    <s v="India"/>
    <s v="Delhi"/>
    <s v="New Delhi"/>
    <x v="0"/>
    <s v="Amazon App"/>
    <s v="Desktop"/>
    <x v="1"/>
    <s v="Mobiles"/>
    <s v="Nord CE"/>
    <s v="OnePlus"/>
    <s v="ELE-MOB-94499"/>
    <s v="FBA"/>
    <x v="4"/>
    <x v="1"/>
    <n v="1"/>
    <n v="817.82"/>
    <n v="0"/>
    <n v="0"/>
    <n v="817.82"/>
    <n v="817.82"/>
    <n v="108.97"/>
    <n v="607.89"/>
    <n v="100.96"/>
    <n v="0.1235"/>
    <n v="0"/>
    <s v="Not Applicable"/>
    <s v="No"/>
    <m/>
    <m/>
    <n v="0"/>
    <s v="No"/>
    <s v="Lightning Deal"/>
    <n v="853.65"/>
    <n v="0.95799999999999996"/>
    <n v="36"/>
    <s v="Low Stock"/>
  </r>
  <r>
    <s v="AMZ26-00070"/>
    <d v="2026-02-07T00:00:00"/>
    <x v="7"/>
    <s v="Q1"/>
    <n v="2026"/>
    <s v="CUST-4760"/>
    <s v="Aarav Reddy"/>
    <s v="Corporate"/>
    <s v="India"/>
    <s v="Bihar"/>
    <s v="Patna"/>
    <x v="2"/>
    <s v="Amazon App"/>
    <s v="iOS"/>
    <x v="3"/>
    <s v="Beverages"/>
    <s v="Green Tea"/>
    <s v="Tata Tea"/>
    <s v="GRO-BEV-33193"/>
    <s v="FBA"/>
    <x v="0"/>
    <x v="0"/>
    <n v="5"/>
    <n v="1405.22"/>
    <n v="0.25"/>
    <n v="1756.53"/>
    <n v="7026.1"/>
    <n v="5269.57"/>
    <n v="245.18"/>
    <n v="2554.58"/>
    <n v="2469.81"/>
    <n v="0.46870000000000001"/>
    <n v="6"/>
    <s v="Delayed"/>
    <s v="No"/>
    <m/>
    <n v="3"/>
    <n v="3"/>
    <s v="Yes"/>
    <s v="None"/>
    <n v="4639.84"/>
    <n v="1.1356999999999999"/>
    <n v="99"/>
    <s v="In Stock"/>
  </r>
  <r>
    <s v="AMZ26-00071"/>
    <d v="2026-07-08T00:00:00"/>
    <x v="3"/>
    <s v="Q3"/>
    <n v="2026"/>
    <s v="CUST-3085"/>
    <s v="Isha Verma"/>
    <s v="Consumer"/>
    <s v="India"/>
    <s v="Karnataka"/>
    <s v="Bengaluru"/>
    <x v="1"/>
    <s v="Amazon App"/>
    <s v="Desktop"/>
    <x v="4"/>
    <s v="Cookware"/>
    <s v="Nonstick Pan"/>
    <s v="Prestige"/>
    <s v="HOM-COO-93436"/>
    <s v="FBA"/>
    <x v="3"/>
    <x v="0"/>
    <n v="5"/>
    <n v="5686.91"/>
    <n v="0"/>
    <n v="0"/>
    <n v="28434.55"/>
    <n v="28434.55"/>
    <n v="201.93"/>
    <n v="22057.77"/>
    <n v="6174.85"/>
    <n v="0.2172"/>
    <n v="2"/>
    <s v="On Time"/>
    <s v="No"/>
    <m/>
    <n v="5"/>
    <n v="4"/>
    <s v="Yes"/>
    <s v="Prime Deal"/>
    <n v="25684.99"/>
    <n v="1.107"/>
    <n v="109"/>
    <s v="In Stock"/>
  </r>
  <r>
    <s v="AMZ26-00072"/>
    <d v="2026-03-08T00:00:00"/>
    <x v="0"/>
    <s v="Q1"/>
    <n v="2026"/>
    <s v="CUST-4724"/>
    <s v="Rohan Singh"/>
    <s v="Small Business"/>
    <s v="India"/>
    <s v="Maharashtra"/>
    <s v="Pune"/>
    <x v="3"/>
    <s v="Amazon Website"/>
    <s v="Desktop"/>
    <x v="0"/>
    <s v="Footwear"/>
    <s v="Sandals"/>
    <s v="Bata"/>
    <s v="FAS-FOO-60784"/>
    <s v="FBA"/>
    <x v="0"/>
    <x v="1"/>
    <n v="4"/>
    <n v="617.72"/>
    <n v="0.3"/>
    <n v="741.26"/>
    <n v="2470.88"/>
    <n v="1729.62"/>
    <n v="121.38"/>
    <n v="854.14"/>
    <n v="754.1"/>
    <n v="0.436"/>
    <n v="0"/>
    <s v="Not Applicable"/>
    <s v="No"/>
    <m/>
    <m/>
    <n v="0"/>
    <s v="Yes"/>
    <s v="Festival Sale"/>
    <n v="1478.43"/>
    <n v="1.1698999999999999"/>
    <n v="156"/>
    <s v="In Stock"/>
  </r>
  <r>
    <s v="AMZ26-00073"/>
    <d v="2026-08-09T00:00:00"/>
    <x v="4"/>
    <s v="Q3"/>
    <n v="2026"/>
    <s v="CUST-3511"/>
    <s v="Nikhil Rao"/>
    <s v="Small Business"/>
    <s v="India"/>
    <s v="Delhi"/>
    <s v="New Delhi"/>
    <x v="0"/>
    <s v="Amazon Website"/>
    <s v="Desktop"/>
    <x v="0"/>
    <s v="Footwear"/>
    <s v="Sandals"/>
    <s v="Bata"/>
    <s v="FAS-FOO-16741"/>
    <s v="FBA"/>
    <x v="0"/>
    <x v="1"/>
    <n v="4"/>
    <n v="916.21"/>
    <n v="0.3"/>
    <n v="1099.45"/>
    <n v="3664.84"/>
    <n v="2565.39"/>
    <n v="100.98"/>
    <n v="1261.79"/>
    <n v="1202.6199999999999"/>
    <n v="0.46879999999999999"/>
    <n v="0"/>
    <s v="Not Applicable"/>
    <s v="No"/>
    <m/>
    <m/>
    <n v="0"/>
    <s v="No"/>
    <s v="Festival Sale"/>
    <n v="2659.83"/>
    <n v="0.96450000000000002"/>
    <n v="114"/>
    <s v="In Stock"/>
  </r>
  <r>
    <s v="AMZ26-00074"/>
    <d v="2026-07-06T00:00:00"/>
    <x v="3"/>
    <s v="Q3"/>
    <n v="2026"/>
    <s v="CUST-3227"/>
    <s v="Nandini Nair"/>
    <s v="Consumer"/>
    <s v="India"/>
    <s v="West Bengal"/>
    <s v="Kolkata"/>
    <x v="2"/>
    <s v="Amazon Website"/>
    <s v="Desktop"/>
    <x v="3"/>
    <s v="Beverages"/>
    <s v="Green Tea"/>
    <s v="Tata Tea"/>
    <s v="GRO-BEV-24322"/>
    <s v="FBM"/>
    <x v="0"/>
    <x v="1"/>
    <n v="3"/>
    <n v="452.01"/>
    <n v="0.1"/>
    <n v="135.6"/>
    <n v="1356.03"/>
    <n v="1220.43"/>
    <n v="57.07"/>
    <n v="772.11"/>
    <n v="391.25"/>
    <n v="0.3206"/>
    <n v="0"/>
    <s v="Not Applicable"/>
    <s v="No"/>
    <m/>
    <m/>
    <n v="0"/>
    <s v="Yes"/>
    <s v="Bank Offer"/>
    <n v="1331.05"/>
    <n v="0.91690000000000005"/>
    <n v="199"/>
    <s v="In Stock"/>
  </r>
  <r>
    <s v="AMZ26-00075"/>
    <d v="2026-06-06T00:00:00"/>
    <x v="5"/>
    <s v="Q2"/>
    <n v="2026"/>
    <s v="CUST-3427"/>
    <s v="Isha Gupta"/>
    <s v="Corporate"/>
    <s v="India"/>
    <s v="Karnataka"/>
    <s v="Mysuru"/>
    <x v="1"/>
    <s v="Amazon Website"/>
    <s v="Android"/>
    <x v="2"/>
    <s v="Skin Care"/>
    <s v="Face Serum"/>
    <s v="Minimalist"/>
    <s v="BEA-SKI-20457"/>
    <s v="FBM"/>
    <x v="1"/>
    <x v="0"/>
    <n v="3"/>
    <n v="637.03"/>
    <n v="0.1"/>
    <n v="191.11"/>
    <n v="1911.09"/>
    <n v="1719.98"/>
    <n v="204.86"/>
    <n v="1299.3699999999999"/>
    <n v="215.75"/>
    <n v="0.12540000000000001"/>
    <n v="7"/>
    <s v="Delayed"/>
    <s v="No"/>
    <m/>
    <n v="3"/>
    <n v="3"/>
    <s v="No"/>
    <s v="Amazon Coupon"/>
    <n v="1695.23"/>
    <n v="1.0145999999999999"/>
    <n v="257"/>
    <s v="In Stock"/>
  </r>
  <r>
    <s v="AMZ26-00076"/>
    <d v="2026-01-23T00:00:00"/>
    <x v="10"/>
    <s v="Q1"/>
    <n v="2026"/>
    <s v="CUST-3525"/>
    <s v="Nandini Kumar"/>
    <s v="Consumer"/>
    <s v="India"/>
    <s v="Rajasthan"/>
    <s v="Jaipur"/>
    <x v="3"/>
    <s v="Amazon App"/>
    <s v="Tablet"/>
    <x v="0"/>
    <s v="Men Clothing"/>
    <s v="Cotton Shirt"/>
    <s v="Allen Solly"/>
    <s v="FAS-MEN-24732"/>
    <s v="FBM"/>
    <x v="3"/>
    <x v="1"/>
    <n v="5"/>
    <n v="2351.31"/>
    <n v="0.3"/>
    <n v="3526.96"/>
    <n v="11756.55"/>
    <n v="8229.59"/>
    <n v="102.46"/>
    <n v="4770.45"/>
    <n v="3356.68"/>
    <n v="0.40789999999999998"/>
    <n v="0"/>
    <s v="Not Applicable"/>
    <s v="No"/>
    <m/>
    <m/>
    <n v="0"/>
    <s v="Yes"/>
    <s v="None"/>
    <n v="9996.85"/>
    <n v="0.82320000000000004"/>
    <n v="367"/>
    <s v="In Stock"/>
  </r>
  <r>
    <s v="AMZ26-00077"/>
    <d v="2026-04-01T00:00:00"/>
    <x v="9"/>
    <s v="Q2"/>
    <n v="2026"/>
    <s v="CUST-3115"/>
    <s v="Sai Sharma"/>
    <s v="Small Business"/>
    <s v="India"/>
    <s v="Maharashtra"/>
    <s v="Pune"/>
    <x v="3"/>
    <s v="Amazon App"/>
    <s v="Desktop"/>
    <x v="1"/>
    <s v="Laptops"/>
    <s v="Inspiron Laptop"/>
    <s v="Dell"/>
    <s v="ELE-LAP-59721"/>
    <s v="FBM"/>
    <x v="4"/>
    <x v="2"/>
    <n v="1"/>
    <n v="28455.18"/>
    <n v="0.25"/>
    <n v="7113.8"/>
    <n v="28455.18"/>
    <n v="21341.38"/>
    <n v="239.8"/>
    <n v="11170.81"/>
    <n v="9930.77"/>
    <n v="0.46529999999999999"/>
    <n v="5"/>
    <s v="In Transit"/>
    <s v="No"/>
    <m/>
    <m/>
    <n v="0"/>
    <s v="Yes"/>
    <s v="Festival Sale"/>
    <n v="20807.740000000002"/>
    <n v="1.0256000000000001"/>
    <n v="255"/>
    <s v="In Stock"/>
  </r>
  <r>
    <s v="AMZ26-00078"/>
    <d v="2026-08-13T00:00:00"/>
    <x v="4"/>
    <s v="Q3"/>
    <n v="2026"/>
    <s v="CUST-4417"/>
    <s v="Kiran Iyer"/>
    <s v="Corporate"/>
    <s v="India"/>
    <s v="Haryana"/>
    <s v="Gurugram"/>
    <x v="0"/>
    <s v="Amazon Website"/>
    <s v="Tablet"/>
    <x v="2"/>
    <s v="Hair Care"/>
    <s v="Hair Serum"/>
    <s v="L'Oreal"/>
    <s v="BEA-HAI-47997"/>
    <s v="FBM"/>
    <x v="4"/>
    <x v="0"/>
    <n v="2"/>
    <n v="1167.32"/>
    <n v="0"/>
    <n v="0"/>
    <n v="2334.64"/>
    <n v="2334.64"/>
    <n v="107.97"/>
    <n v="1453"/>
    <n v="773.67"/>
    <n v="0.33139999999999997"/>
    <n v="8"/>
    <s v="Delayed"/>
    <s v="No"/>
    <m/>
    <n v="3"/>
    <n v="2"/>
    <s v="No"/>
    <s v="Lightning Deal"/>
    <n v="2070.09"/>
    <n v="1.1277999999999999"/>
    <n v="190"/>
    <s v="In Stock"/>
  </r>
  <r>
    <s v="AMZ26-00079"/>
    <d v="2026-03-30T00:00:00"/>
    <x v="0"/>
    <s v="Q1"/>
    <n v="2026"/>
    <s v="CUST-1901"/>
    <s v="Priya Patel"/>
    <s v="Consumer"/>
    <s v="India"/>
    <s v="Kerala"/>
    <s v="Kochi"/>
    <x v="1"/>
    <s v="Amazon Website"/>
    <s v="Tablet"/>
    <x v="3"/>
    <s v="Staples"/>
    <s v="Basmati Rice"/>
    <s v="India Gate"/>
    <s v="GRO-STA-25561"/>
    <s v="FBA"/>
    <x v="0"/>
    <x v="0"/>
    <n v="2"/>
    <n v="189.45"/>
    <n v="0"/>
    <n v="0"/>
    <n v="378.9"/>
    <n v="378.9"/>
    <n v="31.81"/>
    <n v="230.99"/>
    <n v="116.1"/>
    <n v="0.30640000000000001"/>
    <n v="7"/>
    <s v="Delayed"/>
    <s v="No"/>
    <m/>
    <n v="4"/>
    <n v="1"/>
    <s v="No"/>
    <s v="None"/>
    <n v="392.62"/>
    <n v="0.96509999999999996"/>
    <n v="45"/>
    <s v="In Stock"/>
  </r>
  <r>
    <s v="AMZ26-00080"/>
    <d v="2026-12-10T00:00:00"/>
    <x v="11"/>
    <s v="Q4"/>
    <n v="2026"/>
    <s v="CUST-1616"/>
    <s v="Kavya Iyer"/>
    <s v="Small Business"/>
    <s v="India"/>
    <s v="Gujarat"/>
    <s v="Ahmedabad"/>
    <x v="3"/>
    <s v="Amazon Website"/>
    <s v="Desktop"/>
    <x v="0"/>
    <s v="Footwear"/>
    <s v="Running Shoes"/>
    <s v="Adidas"/>
    <s v="FAS-FOO-14531"/>
    <s v="FBM"/>
    <x v="5"/>
    <x v="0"/>
    <n v="1"/>
    <n v="1642.05"/>
    <n v="0.05"/>
    <n v="82.1"/>
    <n v="1642.05"/>
    <n v="1559.95"/>
    <n v="84.06"/>
    <n v="1196.72"/>
    <n v="279.17"/>
    <n v="0.17899999999999999"/>
    <n v="4"/>
    <s v="On Time"/>
    <s v="No"/>
    <m/>
    <n v="4"/>
    <n v="3"/>
    <s v="Yes"/>
    <s v="None"/>
    <n v="1461.46"/>
    <n v="1.0673999999999999"/>
    <n v="167"/>
    <s v="In Stock"/>
  </r>
  <r>
    <s v="AMZ26-00081"/>
    <d v="2026-05-30T00:00:00"/>
    <x v="2"/>
    <s v="Q2"/>
    <n v="2026"/>
    <s v="CUST-2164"/>
    <s v="Sneha Kumar"/>
    <s v="Consumer"/>
    <s v="India"/>
    <s v="Punjab"/>
    <s v="Ludhiana"/>
    <x v="0"/>
    <s v="Amazon App"/>
    <s v="iOS"/>
    <x v="2"/>
    <s v="Skin Care"/>
    <s v="Sunscreen"/>
    <s v="Neutrogena"/>
    <s v="BEA-SKI-10098"/>
    <s v="FBA"/>
    <x v="0"/>
    <x v="0"/>
    <n v="4"/>
    <n v="2329.0300000000002"/>
    <n v="0.15"/>
    <n v="1397.42"/>
    <n v="9316.1200000000008"/>
    <n v="7918.7"/>
    <n v="82.28"/>
    <n v="5612.19"/>
    <n v="2224.23"/>
    <n v="0.28089999999999998"/>
    <n v="1"/>
    <s v="On Time"/>
    <s v="No"/>
    <m/>
    <n v="4"/>
    <n v="4"/>
    <s v="Yes"/>
    <s v="None"/>
    <n v="7755.42"/>
    <n v="1.0210999999999999"/>
    <n v="463"/>
    <s v="In Stock"/>
  </r>
  <r>
    <s v="AMZ26-00082"/>
    <d v="2026-05-13T00:00:00"/>
    <x v="2"/>
    <s v="Q2"/>
    <n v="2026"/>
    <s v="CUST-2170"/>
    <s v="Rahul Singh"/>
    <s v="Consumer"/>
    <s v="India"/>
    <s v="Kerala"/>
    <s v="Kochi"/>
    <x v="1"/>
    <s v="Amazon Website"/>
    <s v="Android"/>
    <x v="0"/>
    <s v="Women Clothing"/>
    <s v="Denim Jeans"/>
    <s v="Levi's"/>
    <s v="FAS-WOM-59656"/>
    <s v="FBM"/>
    <x v="2"/>
    <x v="0"/>
    <n v="1"/>
    <n v="2255"/>
    <n v="0.25"/>
    <n v="563.75"/>
    <n v="2255"/>
    <n v="1691.25"/>
    <n v="16.12"/>
    <n v="1313.63"/>
    <n v="361.5"/>
    <n v="0.2137"/>
    <n v="1"/>
    <s v="On Time"/>
    <s v="No"/>
    <m/>
    <n v="5"/>
    <n v="2"/>
    <s v="Yes"/>
    <s v="Prime Deal"/>
    <n v="1919.37"/>
    <n v="0.88109999999999999"/>
    <n v="484"/>
    <s v="In Stock"/>
  </r>
  <r>
    <s v="AMZ26-00083"/>
    <d v="2026-12-09T00:00:00"/>
    <x v="11"/>
    <s v="Q4"/>
    <n v="2026"/>
    <s v="CUST-1242"/>
    <s v="Vivek Shetty"/>
    <s v="Corporate"/>
    <s v="India"/>
    <s v="Maharashtra"/>
    <s v="Pune"/>
    <x v="3"/>
    <s v="Amazon App"/>
    <s v="Android"/>
    <x v="1"/>
    <s v="Mobiles"/>
    <s v="Redmi Note"/>
    <s v="Xiaomi"/>
    <s v="ELE-MOB-89136"/>
    <s v="FBM"/>
    <x v="4"/>
    <x v="0"/>
    <n v="3"/>
    <n v="7479.93"/>
    <n v="0"/>
    <n v="0"/>
    <n v="22439.79"/>
    <n v="22439.79"/>
    <n v="213.41"/>
    <n v="14879.65"/>
    <n v="7346.73"/>
    <n v="0.32740000000000002"/>
    <n v="2"/>
    <s v="On Time"/>
    <s v="No"/>
    <m/>
    <n v="5"/>
    <n v="4"/>
    <s v="Yes"/>
    <s v="Festival Sale"/>
    <n v="26484.06"/>
    <n v="0.84730000000000005"/>
    <n v="377"/>
    <s v="In Stock"/>
  </r>
  <r>
    <s v="AMZ26-00084"/>
    <d v="2026-11-17T00:00:00"/>
    <x v="6"/>
    <s v="Q4"/>
    <n v="2026"/>
    <s v="CUST-1047"/>
    <s v="Ananya Shetty"/>
    <s v="Small Business"/>
    <s v="India"/>
    <s v="Maharashtra"/>
    <s v="Pune"/>
    <x v="3"/>
    <s v="Amazon App"/>
    <s v="Tablet"/>
    <x v="2"/>
    <s v="Makeup"/>
    <s v="Kajal"/>
    <s v="Lakme"/>
    <s v="BEA-MAK-45007"/>
    <s v="FBM"/>
    <x v="0"/>
    <x v="0"/>
    <n v="4"/>
    <n v="994.15"/>
    <n v="0"/>
    <n v="0"/>
    <n v="3976.6"/>
    <n v="3976.6"/>
    <n v="104.39"/>
    <n v="2298.2399999999998"/>
    <n v="1573.97"/>
    <n v="0.39579999999999999"/>
    <n v="3"/>
    <s v="On Time"/>
    <s v="No"/>
    <m/>
    <n v="4"/>
    <n v="2"/>
    <s v="No"/>
    <s v="Lightning Deal"/>
    <n v="4813.0600000000004"/>
    <n v="0.82620000000000005"/>
    <n v="260"/>
    <s v="In Stock"/>
  </r>
  <r>
    <s v="AMZ26-00085"/>
    <d v="2026-08-12T00:00:00"/>
    <x v="4"/>
    <s v="Q3"/>
    <n v="2026"/>
    <s v="CUST-2520"/>
    <s v="Nandini Yadav"/>
    <s v="Consumer"/>
    <s v="India"/>
    <s v="Gujarat"/>
    <s v="Ahmedabad"/>
    <x v="3"/>
    <s v="Amazon Website"/>
    <s v="Desktop"/>
    <x v="0"/>
    <s v="Footwear"/>
    <s v="Casual Sneakers"/>
    <s v="Puma"/>
    <s v="FAS-FOO-57405"/>
    <s v="FBA"/>
    <x v="2"/>
    <x v="0"/>
    <n v="3"/>
    <n v="4842.51"/>
    <n v="0.25"/>
    <n v="3631.88"/>
    <n v="14527.53"/>
    <n v="10895.65"/>
    <n v="18.97"/>
    <n v="6932.22"/>
    <n v="3944.46"/>
    <n v="0.36199999999999999"/>
    <n v="4"/>
    <s v="On Time"/>
    <s v="No"/>
    <m/>
    <n v="5"/>
    <n v="2"/>
    <s v="No"/>
    <s v="Festival Sale"/>
    <n v="11000"/>
    <n v="0.99050000000000005"/>
    <n v="110"/>
    <s v="In Stock"/>
  </r>
  <r>
    <s v="AMZ26-00086"/>
    <d v="2026-11-27T00:00:00"/>
    <x v="6"/>
    <s v="Q4"/>
    <n v="2026"/>
    <s v="CUST-4639"/>
    <s v="Sneha Das"/>
    <s v="Corporate"/>
    <s v="India"/>
    <s v="Tamil Nadu"/>
    <s v="Chennai"/>
    <x v="1"/>
    <s v="Amazon App"/>
    <s v="Android"/>
    <x v="0"/>
    <s v="Men Clothing"/>
    <s v="Cotton Shirt"/>
    <s v="Allen Solly"/>
    <s v="FAS-MEN-94351"/>
    <s v="FBM"/>
    <x v="3"/>
    <x v="0"/>
    <n v="4"/>
    <n v="2271.61"/>
    <n v="0"/>
    <n v="0"/>
    <n v="9086.44"/>
    <n v="9086.44"/>
    <n v="230.7"/>
    <n v="4965.9799999999996"/>
    <n v="3889.76"/>
    <n v="0.42809999999999998"/>
    <n v="8"/>
    <s v="Delayed"/>
    <s v="No"/>
    <m/>
    <n v="4"/>
    <n v="3"/>
    <s v="No"/>
    <s v="Lightning Deal"/>
    <n v="9125.99"/>
    <n v="0.99570000000000003"/>
    <n v="344"/>
    <s v="In Stock"/>
  </r>
  <r>
    <s v="AMZ26-00087"/>
    <d v="2026-02-08T00:00:00"/>
    <x v="7"/>
    <s v="Q1"/>
    <n v="2026"/>
    <s v="CUST-2479"/>
    <s v="Rahul Verma"/>
    <s v="Consumer"/>
    <s v="India"/>
    <s v="West Bengal"/>
    <s v="Kolkata"/>
    <x v="2"/>
    <s v="Amazon App"/>
    <s v="Tablet"/>
    <x v="0"/>
    <s v="Footwear"/>
    <s v="Sandals"/>
    <s v="Bata"/>
    <s v="FAS-FOO-62842"/>
    <s v="FBM"/>
    <x v="2"/>
    <x v="0"/>
    <n v="3"/>
    <n v="368.13"/>
    <n v="0.25"/>
    <n v="276.10000000000002"/>
    <n v="1104.3900000000001"/>
    <n v="828.29"/>
    <n v="153.63999999999999"/>
    <n v="475.61"/>
    <n v="199.04"/>
    <n v="0.24030000000000001"/>
    <n v="2"/>
    <s v="On Time"/>
    <s v="No"/>
    <m/>
    <n v="4"/>
    <n v="4"/>
    <s v="Yes"/>
    <s v="Bank Offer"/>
    <n v="931.28"/>
    <n v="0.88939999999999997"/>
    <n v="420"/>
    <s v="In Stock"/>
  </r>
  <r>
    <s v="AMZ26-00088"/>
    <d v="2026-02-27T00:00:00"/>
    <x v="7"/>
    <s v="Q1"/>
    <n v="2026"/>
    <s v="CUST-2360"/>
    <s v="Sneha Sharma"/>
    <s v="Small Business"/>
    <s v="India"/>
    <s v="Odisha"/>
    <s v="Bhubaneswar"/>
    <x v="2"/>
    <s v="Amazon Website"/>
    <s v="Tablet"/>
    <x v="4"/>
    <s v="Cookware"/>
    <s v="Pressure Cooker"/>
    <s v="Hawkins"/>
    <s v="HOM-COO-30596"/>
    <s v="FBM"/>
    <x v="1"/>
    <x v="0"/>
    <n v="4"/>
    <n v="1563.83"/>
    <n v="0.05"/>
    <n v="312.77"/>
    <n v="6255.32"/>
    <n v="5942.55"/>
    <n v="216.66"/>
    <n v="4623.5600000000004"/>
    <n v="1102.33"/>
    <n v="0.1855"/>
    <n v="3"/>
    <s v="On Time"/>
    <s v="No"/>
    <m/>
    <n v="4"/>
    <n v="4"/>
    <s v="Yes"/>
    <s v="Festival Sale"/>
    <n v="5852.15"/>
    <n v="1.0154000000000001"/>
    <n v="342"/>
    <s v="In Stock"/>
  </r>
  <r>
    <s v="AMZ26-00089"/>
    <d v="2026-07-13T00:00:00"/>
    <x v="3"/>
    <s v="Q3"/>
    <n v="2026"/>
    <s v="CUST-2388"/>
    <s v="Kavya Rao"/>
    <s v="Small Business"/>
    <s v="India"/>
    <s v="Bihar"/>
    <s v="Patna"/>
    <x v="2"/>
    <s v="Amazon Website"/>
    <s v="Desktop"/>
    <x v="3"/>
    <s v="Staples"/>
    <s v="Cooking Oil"/>
    <s v="Fortune"/>
    <s v="GRO-STA-11505"/>
    <s v="FBM"/>
    <x v="3"/>
    <x v="1"/>
    <n v="4"/>
    <n v="1162.75"/>
    <n v="0"/>
    <n v="0"/>
    <n v="4651"/>
    <n v="4651"/>
    <n v="122.49"/>
    <n v="2872.08"/>
    <n v="1656.43"/>
    <n v="0.35610000000000003"/>
    <n v="0"/>
    <s v="Not Applicable"/>
    <s v="No"/>
    <m/>
    <m/>
    <n v="0"/>
    <s v="No"/>
    <s v="Amazon Coupon"/>
    <n v="4595.17"/>
    <n v="1.0121"/>
    <n v="251"/>
    <s v="In Stock"/>
  </r>
  <r>
    <s v="AMZ26-00090"/>
    <d v="2026-12-07T00:00:00"/>
    <x v="11"/>
    <s v="Q4"/>
    <n v="2026"/>
    <s v="CUST-2667"/>
    <s v="Rahul Sharma"/>
    <s v="Consumer"/>
    <s v="India"/>
    <s v="Assam"/>
    <s v="Guwahati"/>
    <x v="2"/>
    <s v="Amazon App"/>
    <s v="Android"/>
    <x v="1"/>
    <s v="Accessories"/>
    <s v="Keyboard"/>
    <s v="HP"/>
    <s v="ELE-ACC-36194"/>
    <s v="FBA"/>
    <x v="2"/>
    <x v="0"/>
    <n v="5"/>
    <n v="9697.5"/>
    <n v="0"/>
    <n v="0"/>
    <n v="48487.5"/>
    <n v="48487.5"/>
    <n v="97.94"/>
    <n v="25998.080000000002"/>
    <n v="22391.48"/>
    <n v="0.46179999999999999"/>
    <n v="8"/>
    <s v="Delayed"/>
    <s v="Yes"/>
    <s v="Size/Fit Issue"/>
    <n v="4"/>
    <n v="4"/>
    <s v="Yes"/>
    <s v="Amazon Coupon"/>
    <n v="58631.360000000001"/>
    <n v="0.82699999999999996"/>
    <n v="102"/>
    <s v="In Stock"/>
  </r>
  <r>
    <s v="AMZ26-00091"/>
    <d v="2026-11-12T00:00:00"/>
    <x v="6"/>
    <s v="Q4"/>
    <n v="2026"/>
    <s v="CUST-2945"/>
    <s v="Aditi Kumar"/>
    <s v="Consumer"/>
    <s v="India"/>
    <s v="Karnataka"/>
    <s v="Mysuru"/>
    <x v="1"/>
    <s v="Amazon Website"/>
    <s v="iOS"/>
    <x v="4"/>
    <s v="Home Decor"/>
    <s v="Wall Clock"/>
    <s v="Ajanta"/>
    <s v="HOM-HOM-13845"/>
    <s v="FBA"/>
    <x v="3"/>
    <x v="2"/>
    <n v="1"/>
    <n v="1700.57"/>
    <n v="0"/>
    <n v="0"/>
    <n v="1700.57"/>
    <n v="1700.57"/>
    <n v="118.81"/>
    <n v="1067.0999999999999"/>
    <n v="514.66"/>
    <n v="0.30259999999999998"/>
    <n v="6"/>
    <s v="In Transit"/>
    <s v="No"/>
    <m/>
    <m/>
    <n v="0"/>
    <s v="No"/>
    <s v="Bank Offer"/>
    <n v="1917.5"/>
    <n v="0.88690000000000002"/>
    <n v="180"/>
    <s v="In Stock"/>
  </r>
  <r>
    <s v="AMZ26-00092"/>
    <d v="2026-04-08T00:00:00"/>
    <x v="9"/>
    <s v="Q2"/>
    <n v="2026"/>
    <s v="CUST-2657"/>
    <s v="Nandini Yadav"/>
    <s v="Corporate"/>
    <s v="India"/>
    <s v="Rajasthan"/>
    <s v="Jaipur"/>
    <x v="3"/>
    <s v="Amazon App"/>
    <s v="Desktop"/>
    <x v="1"/>
    <s v="Laptops"/>
    <s v="Vivobook"/>
    <s v="ASUS"/>
    <s v="ELE-LAP-50117"/>
    <s v="FBM"/>
    <x v="4"/>
    <x v="0"/>
    <n v="3"/>
    <n v="40574.26"/>
    <n v="0.15"/>
    <n v="18258.419999999998"/>
    <n v="121722.78"/>
    <n v="103464.36"/>
    <n v="52.9"/>
    <n v="76347.83"/>
    <n v="27063.63"/>
    <n v="0.2616"/>
    <n v="6"/>
    <s v="Delayed"/>
    <s v="No"/>
    <m/>
    <n v="4"/>
    <n v="4"/>
    <s v="Yes"/>
    <s v="Amazon Coupon"/>
    <n v="106692.97"/>
    <n v="0.96970000000000001"/>
    <n v="206"/>
    <s v="In Stock"/>
  </r>
  <r>
    <s v="AMZ26-00093"/>
    <d v="2026-02-16T00:00:00"/>
    <x v="7"/>
    <s v="Q1"/>
    <n v="2026"/>
    <s v="CUST-2141"/>
    <s v="Rohan Das"/>
    <s v="Corporate"/>
    <s v="India"/>
    <s v="Gujarat"/>
    <s v="Ahmedabad"/>
    <x v="3"/>
    <s v="Amazon App"/>
    <s v="Android"/>
    <x v="4"/>
    <s v="Kitchen Appliances"/>
    <s v="Electric Kettle"/>
    <s v="Pigeon"/>
    <s v="HOM-KIT-30948"/>
    <s v="FBM"/>
    <x v="4"/>
    <x v="0"/>
    <n v="4"/>
    <n v="3369.91"/>
    <n v="0.1"/>
    <n v="1347.96"/>
    <n v="13479.64"/>
    <n v="12131.68"/>
    <n v="43.4"/>
    <n v="7452.51"/>
    <n v="4635.7700000000004"/>
    <n v="0.3821"/>
    <n v="1"/>
    <s v="On Time"/>
    <s v="No"/>
    <m/>
    <n v="5"/>
    <n v="0"/>
    <s v="Yes"/>
    <s v="Lightning Deal"/>
    <n v="13084.56"/>
    <n v="0.92720000000000002"/>
    <n v="212"/>
    <s v="In Stock"/>
  </r>
  <r>
    <s v="AMZ26-00094"/>
    <d v="2026-10-23T00:00:00"/>
    <x v="8"/>
    <s v="Q4"/>
    <n v="2026"/>
    <s v="CUST-4482"/>
    <s v="Nandini Kumar"/>
    <s v="Corporate"/>
    <s v="India"/>
    <s v="Kerala"/>
    <s v="Kochi"/>
    <x v="1"/>
    <s v="Amazon App"/>
    <s v="Android"/>
    <x v="0"/>
    <s v="Footwear"/>
    <s v="Running Shoes"/>
    <s v="Adidas"/>
    <s v="FAS-FOO-27857"/>
    <s v="FBM"/>
    <x v="3"/>
    <x v="0"/>
    <n v="3"/>
    <n v="2770.45"/>
    <n v="0.2"/>
    <n v="1662.27"/>
    <n v="8311.35"/>
    <n v="6649.08"/>
    <n v="199.35"/>
    <n v="3754.97"/>
    <n v="2694.76"/>
    <n v="0.40529999999999999"/>
    <n v="2"/>
    <s v="On Time"/>
    <s v="No"/>
    <m/>
    <n v="4"/>
    <n v="4"/>
    <s v="Yes"/>
    <s v="Festival Sale"/>
    <n v="6668.38"/>
    <n v="0.99709999999999999"/>
    <n v="86"/>
    <s v="In Stock"/>
  </r>
  <r>
    <s v="AMZ26-00095"/>
    <d v="2026-07-08T00:00:00"/>
    <x v="3"/>
    <s v="Q3"/>
    <n v="2026"/>
    <s v="CUST-1725"/>
    <s v="Nandini Yadav"/>
    <s v="Consumer"/>
    <s v="India"/>
    <s v="Karnataka"/>
    <s v="Bengaluru"/>
    <x v="1"/>
    <s v="Amazon Website"/>
    <s v="iOS"/>
    <x v="2"/>
    <s v="Skin Care"/>
    <s v="Moisturizer"/>
    <s v="Cetaphil"/>
    <s v="BEA-SKI-19765"/>
    <s v="FBM"/>
    <x v="0"/>
    <x v="1"/>
    <n v="5"/>
    <n v="2429.5"/>
    <n v="0.2"/>
    <n v="2429.5"/>
    <n v="12147.5"/>
    <n v="9718"/>
    <n v="135.29"/>
    <n v="5709.9"/>
    <n v="3872.81"/>
    <n v="0.39850000000000002"/>
    <n v="0"/>
    <s v="Not Applicable"/>
    <s v="No"/>
    <m/>
    <m/>
    <n v="0"/>
    <s v="No"/>
    <s v="Bank Offer"/>
    <n v="10639.89"/>
    <n v="0.91339999999999999"/>
    <n v="30"/>
    <s v="Low Stock"/>
  </r>
  <r>
    <s v="AMZ26-00096"/>
    <d v="2026-06-06T00:00:00"/>
    <x v="5"/>
    <s v="Q2"/>
    <n v="2026"/>
    <s v="CUST-2344"/>
    <s v="Meera Yadav"/>
    <s v="Small Business"/>
    <s v="India"/>
    <s v="West Bengal"/>
    <s v="Kolkata"/>
    <x v="2"/>
    <s v="Amazon App"/>
    <s v="iOS"/>
    <x v="4"/>
    <s v="Home Decor"/>
    <s v="LED Lamp"/>
    <s v="Wipro"/>
    <s v="HOM-HOM-33407"/>
    <s v="FBM"/>
    <x v="1"/>
    <x v="0"/>
    <n v="5"/>
    <n v="1035.6300000000001"/>
    <n v="0"/>
    <n v="0"/>
    <n v="5178.1499999999996"/>
    <n v="5178.1499999999996"/>
    <n v="244.61"/>
    <n v="3460.91"/>
    <n v="1472.63"/>
    <n v="0.28439999999999999"/>
    <n v="2"/>
    <s v="On Time"/>
    <s v="No"/>
    <m/>
    <n v="4"/>
    <n v="2"/>
    <s v="No"/>
    <s v="Bank Offer"/>
    <n v="6199.88"/>
    <n v="0.83520000000000005"/>
    <n v="493"/>
    <s v="In Stock"/>
  </r>
  <r>
    <s v="AMZ26-00097"/>
    <d v="2026-04-29T00:00:00"/>
    <x v="9"/>
    <s v="Q2"/>
    <n v="2026"/>
    <s v="CUST-4461"/>
    <s v="Aditi Verma"/>
    <s v="Small Business"/>
    <s v="India"/>
    <s v="Karnataka"/>
    <s v="Mysuru"/>
    <x v="1"/>
    <s v="Amazon Website"/>
    <s v="Android"/>
    <x v="0"/>
    <s v="Women Clothing"/>
    <s v="Denim Jeans"/>
    <s v="Levi's"/>
    <s v="FAS-WOM-10390"/>
    <s v="FBA"/>
    <x v="4"/>
    <x v="0"/>
    <n v="3"/>
    <n v="750.01"/>
    <n v="0"/>
    <n v="0"/>
    <n v="2250.0300000000002"/>
    <n v="2250.0300000000002"/>
    <n v="129.86000000000001"/>
    <n v="1432.47"/>
    <n v="687.7"/>
    <n v="0.30559999999999998"/>
    <n v="4"/>
    <s v="On Time"/>
    <s v="No"/>
    <m/>
    <n v="4"/>
    <n v="1"/>
    <s v="Yes"/>
    <s v="Lightning Deal"/>
    <n v="1912.94"/>
    <n v="1.1761999999999999"/>
    <n v="174"/>
    <s v="In Stock"/>
  </r>
  <r>
    <s v="AMZ26-00098"/>
    <d v="2026-06-16T00:00:00"/>
    <x v="5"/>
    <s v="Q2"/>
    <n v="2026"/>
    <s v="CUST-3988"/>
    <s v="Diya Shetty"/>
    <s v="Consumer"/>
    <s v="India"/>
    <s v="Gujarat"/>
    <s v="Ahmedabad"/>
    <x v="3"/>
    <s v="Amazon App"/>
    <s v="Android"/>
    <x v="4"/>
    <s v="Cookware"/>
    <s v="Nonstick Pan"/>
    <s v="Prestige"/>
    <s v="HOM-COO-93206"/>
    <s v="FBM"/>
    <x v="5"/>
    <x v="2"/>
    <n v="3"/>
    <n v="1464.27"/>
    <n v="0.15"/>
    <n v="658.92"/>
    <n v="4392.8100000000004"/>
    <n v="3733.89"/>
    <n v="77.03"/>
    <n v="2184.2800000000002"/>
    <n v="1472.58"/>
    <n v="0.39439999999999997"/>
    <n v="6"/>
    <s v="In Transit"/>
    <s v="No"/>
    <m/>
    <m/>
    <n v="0"/>
    <s v="No"/>
    <s v="Amazon Coupon"/>
    <n v="4518.25"/>
    <n v="0.82640000000000002"/>
    <n v="412"/>
    <s v="In Stock"/>
  </r>
  <r>
    <s v="AMZ26-00099"/>
    <d v="2026-12-31T00:00:00"/>
    <x v="11"/>
    <s v="Q4"/>
    <n v="2026"/>
    <s v="CUST-4094"/>
    <s v="Arjun Jain"/>
    <s v="Small Business"/>
    <s v="India"/>
    <s v="West Bengal"/>
    <s v="Kolkata"/>
    <x v="2"/>
    <s v="Amazon App"/>
    <s v="Tablet"/>
    <x v="0"/>
    <s v="Footwear"/>
    <s v="Sandals"/>
    <s v="Bata"/>
    <s v="FAS-FOO-94628"/>
    <s v="FBM"/>
    <x v="5"/>
    <x v="0"/>
    <n v="4"/>
    <n v="634.13"/>
    <n v="0.1"/>
    <n v="253.65"/>
    <n v="2536.52"/>
    <n v="2282.87"/>
    <n v="111.92"/>
    <n v="1193.83"/>
    <n v="977.12"/>
    <n v="0.42799999999999999"/>
    <n v="1"/>
    <s v="On Time"/>
    <s v="No"/>
    <m/>
    <n v="5"/>
    <n v="3"/>
    <s v="Yes"/>
    <s v="Lightning Deal"/>
    <n v="1988.24"/>
    <n v="1.1482000000000001"/>
    <n v="375"/>
    <s v="In Stock"/>
  </r>
  <r>
    <s v="AMZ26-00100"/>
    <d v="2026-05-03T00:00:00"/>
    <x v="2"/>
    <s v="Q2"/>
    <n v="2026"/>
    <s v="CUST-1641"/>
    <s v="Meera Nair"/>
    <s v="Consumer"/>
    <s v="India"/>
    <s v="Gujarat"/>
    <s v="Ahmedabad"/>
    <x v="3"/>
    <s v="Amazon Website"/>
    <s v="Desktop"/>
    <x v="2"/>
    <s v="Hair Care"/>
    <s v="Hair Mask"/>
    <s v="Tresemme"/>
    <s v="BEA-HAI-39654"/>
    <s v="FBM"/>
    <x v="0"/>
    <x v="2"/>
    <n v="2"/>
    <n v="717.55"/>
    <n v="0.3"/>
    <n v="430.53"/>
    <n v="1435.1"/>
    <n v="1004.57"/>
    <n v="48.05"/>
    <n v="633.09"/>
    <n v="323.43"/>
    <n v="0.32200000000000001"/>
    <n v="1"/>
    <s v="In Transit"/>
    <s v="No"/>
    <m/>
    <m/>
    <n v="0"/>
    <s v="Yes"/>
    <s v="Festival Sale"/>
    <n v="1069.97"/>
    <n v="0.93889999999999996"/>
    <n v="492"/>
    <s v="In Stock"/>
  </r>
  <r>
    <s v="AMZ26-00101"/>
    <d v="2026-05-31T00:00:00"/>
    <x v="2"/>
    <s v="Q2"/>
    <n v="2026"/>
    <s v="CUST-1419"/>
    <s v="Ananya Reddy"/>
    <s v="Corporate"/>
    <s v="India"/>
    <s v="Rajasthan"/>
    <s v="Jaipur"/>
    <x v="3"/>
    <s v="Amazon Website"/>
    <s v="Tablet"/>
    <x v="3"/>
    <s v="Snacks"/>
    <s v="Potato Chips"/>
    <s v="Lay's"/>
    <s v="GRO-SNA-19934"/>
    <s v="FBM"/>
    <x v="2"/>
    <x v="0"/>
    <n v="2"/>
    <n v="117.53"/>
    <n v="0.15"/>
    <n v="35.26"/>
    <n v="235.06"/>
    <n v="199.8"/>
    <n v="173.4"/>
    <n v="102.05"/>
    <n v="-75.650000000000006"/>
    <n v="-0.37859999999999999"/>
    <n v="7"/>
    <s v="Delayed"/>
    <s v="Yes"/>
    <s v="Late Delivery"/>
    <n v="5"/>
    <n v="1"/>
    <s v="No"/>
    <s v="Lightning Deal"/>
    <n v="183.26"/>
    <n v="1.0903"/>
    <n v="486"/>
    <s v="In Stock"/>
  </r>
  <r>
    <s v="AMZ26-00102"/>
    <d v="2026-12-05T00:00:00"/>
    <x v="11"/>
    <s v="Q4"/>
    <n v="2026"/>
    <s v="CUST-4868"/>
    <s v="Meera Nair"/>
    <s v="Small Business"/>
    <s v="India"/>
    <s v="Rajasthan"/>
    <s v="Jaipur"/>
    <x v="3"/>
    <s v="Amazon App"/>
    <s v="iOS"/>
    <x v="1"/>
    <s v="Laptops"/>
    <s v="Inspiron Laptop"/>
    <s v="Dell"/>
    <s v="ELE-LAP-14871"/>
    <s v="FBA"/>
    <x v="2"/>
    <x v="0"/>
    <n v="5"/>
    <n v="57669.38"/>
    <n v="0.2"/>
    <n v="57669.38"/>
    <n v="288346.90000000002"/>
    <n v="230677.52"/>
    <n v="134.87"/>
    <n v="150600.97"/>
    <n v="79941.679999999993"/>
    <n v="0.34660000000000002"/>
    <n v="4"/>
    <s v="On Time"/>
    <s v="No"/>
    <m/>
    <n v="5"/>
    <n v="4"/>
    <s v="Yes"/>
    <s v="Festival Sale"/>
    <n v="263894.18"/>
    <n v="0.87409999999999999"/>
    <n v="497"/>
    <s v="In Stock"/>
  </r>
  <r>
    <s v="AMZ26-00103"/>
    <d v="2026-01-15T00:00:00"/>
    <x v="10"/>
    <s v="Q1"/>
    <n v="2026"/>
    <s v="CUST-3044"/>
    <s v="Kavya Das"/>
    <s v="Small Business"/>
    <s v="India"/>
    <s v="West Bengal"/>
    <s v="Kolkata"/>
    <x v="2"/>
    <s v="Amazon App"/>
    <s v="Tablet"/>
    <x v="1"/>
    <s v="Laptops"/>
    <s v="Pavilion"/>
    <s v="HP"/>
    <s v="ELE-LAP-86132"/>
    <s v="FBM"/>
    <x v="3"/>
    <x v="2"/>
    <n v="4"/>
    <n v="61667.9"/>
    <n v="0.15"/>
    <n v="37000.74"/>
    <n v="246671.6"/>
    <n v="209670.86"/>
    <n v="226.29"/>
    <n v="158955.04999999999"/>
    <n v="50489.52"/>
    <n v="0.24079999999999999"/>
    <n v="8"/>
    <s v="In Transit"/>
    <s v="No"/>
    <m/>
    <m/>
    <n v="0"/>
    <s v="Yes"/>
    <s v="Prime Deal"/>
    <n v="256933.17"/>
    <n v="0.81610000000000005"/>
    <n v="123"/>
    <s v="In Stock"/>
  </r>
  <r>
    <s v="AMZ26-00104"/>
    <d v="2026-02-01T00:00:00"/>
    <x v="7"/>
    <s v="Q1"/>
    <n v="2026"/>
    <s v="CUST-2880"/>
    <s v="Rahul Kumar"/>
    <s v="Corporate"/>
    <s v="India"/>
    <s v="Gujarat"/>
    <s v="Ahmedabad"/>
    <x v="3"/>
    <s v="Amazon Website"/>
    <s v="Tablet"/>
    <x v="0"/>
    <s v="Men Clothing"/>
    <s v="Casual T-Shirt"/>
    <s v="Puma"/>
    <s v="FAS-MEN-53166"/>
    <s v="FBA"/>
    <x v="4"/>
    <x v="0"/>
    <n v="3"/>
    <n v="4870.17"/>
    <n v="0.25"/>
    <n v="3652.63"/>
    <n v="14610.51"/>
    <n v="10957.88"/>
    <n v="239.62"/>
    <n v="6505.15"/>
    <n v="4213.1099999999997"/>
    <n v="0.38450000000000001"/>
    <n v="7"/>
    <s v="Delayed"/>
    <s v="No"/>
    <m/>
    <n v="4"/>
    <n v="3"/>
    <s v="No"/>
    <s v="Amazon Coupon"/>
    <n v="10778.94"/>
    <n v="1.0165999999999999"/>
    <n v="381"/>
    <s v="In Stock"/>
  </r>
  <r>
    <s v="AMZ26-00105"/>
    <d v="2026-08-23T00:00:00"/>
    <x v="4"/>
    <s v="Q3"/>
    <n v="2026"/>
    <s v="CUST-3193"/>
    <s v="Rohan Joshi"/>
    <s v="Corporate"/>
    <s v="India"/>
    <s v="Uttar Pradesh"/>
    <s v="Noida"/>
    <x v="0"/>
    <s v="Amazon Website"/>
    <s v="Android"/>
    <x v="2"/>
    <s v="Makeup"/>
    <s v="Foundation"/>
    <s v="Lakme"/>
    <s v="BEA-MAK-16852"/>
    <s v="FBM"/>
    <x v="1"/>
    <x v="0"/>
    <n v="2"/>
    <n v="151.05000000000001"/>
    <n v="0.15"/>
    <n v="45.32"/>
    <n v="302.10000000000002"/>
    <n v="256.77999999999997"/>
    <n v="64.239999999999995"/>
    <n v="130.56"/>
    <n v="61.98"/>
    <n v="0.2414"/>
    <n v="2"/>
    <s v="On Time"/>
    <s v="No"/>
    <m/>
    <n v="5"/>
    <n v="1"/>
    <s v="Yes"/>
    <s v="Lightning Deal"/>
    <n v="239.94"/>
    <n v="1.0702"/>
    <n v="243"/>
    <s v="In Stock"/>
  </r>
  <r>
    <s v="AMZ26-00106"/>
    <d v="2026-04-22T00:00:00"/>
    <x v="9"/>
    <s v="Q2"/>
    <n v="2026"/>
    <s v="CUST-1766"/>
    <s v="Nandini Jain"/>
    <s v="Corporate"/>
    <s v="India"/>
    <s v="Maharashtra"/>
    <s v="Mumbai"/>
    <x v="3"/>
    <s v="Amazon Website"/>
    <s v="Desktop"/>
    <x v="2"/>
    <s v="Makeup"/>
    <s v="Kajal"/>
    <s v="Lakme"/>
    <s v="BEA-MAK-30839"/>
    <s v="FBM"/>
    <x v="0"/>
    <x v="0"/>
    <n v="4"/>
    <n v="152.33000000000001"/>
    <n v="0.15"/>
    <n v="91.4"/>
    <n v="609.32000000000005"/>
    <n v="517.91999999999996"/>
    <n v="65.540000000000006"/>
    <n v="396.35"/>
    <n v="56.03"/>
    <n v="0.1082"/>
    <n v="2"/>
    <s v="On Time"/>
    <s v="No"/>
    <m/>
    <n v="4"/>
    <n v="3"/>
    <s v="Yes"/>
    <s v="Festival Sale"/>
    <n v="512.99"/>
    <n v="1.0096000000000001"/>
    <n v="409"/>
    <s v="In Stock"/>
  </r>
  <r>
    <s v="AMZ26-00107"/>
    <d v="2026-06-08T00:00:00"/>
    <x v="5"/>
    <s v="Q2"/>
    <n v="2026"/>
    <s v="CUST-3502"/>
    <s v="Nandini Kumar"/>
    <s v="Small Business"/>
    <s v="India"/>
    <s v="Odisha"/>
    <s v="Bhubaneswar"/>
    <x v="2"/>
    <s v="Amazon Website"/>
    <s v="iOS"/>
    <x v="2"/>
    <s v="Skin Care"/>
    <s v="Face Serum"/>
    <s v="Minimalist"/>
    <s v="BEA-SKI-59512"/>
    <s v="FBA"/>
    <x v="2"/>
    <x v="0"/>
    <n v="1"/>
    <n v="217.8"/>
    <n v="0.05"/>
    <n v="10.89"/>
    <n v="217.8"/>
    <n v="206.91"/>
    <n v="97.23"/>
    <n v="158.18"/>
    <n v="-48.5"/>
    <n v="-0.2344"/>
    <n v="8"/>
    <s v="Delayed"/>
    <s v="No"/>
    <m/>
    <n v="4"/>
    <n v="3"/>
    <s v="Yes"/>
    <s v="Bank Offer"/>
    <n v="208.33"/>
    <n v="0.99319999999999997"/>
    <n v="218"/>
    <s v="In Stock"/>
  </r>
  <r>
    <s v="AMZ26-00108"/>
    <d v="2026-10-18T00:00:00"/>
    <x v="8"/>
    <s v="Q4"/>
    <n v="2026"/>
    <s v="CUST-4008"/>
    <s v="Pooja Sharma"/>
    <s v="Corporate"/>
    <s v="India"/>
    <s v="Kerala"/>
    <s v="Kochi"/>
    <x v="1"/>
    <s v="Amazon Website"/>
    <s v="Android"/>
    <x v="3"/>
    <s v="Staples"/>
    <s v="Atta"/>
    <s v="Aashirvaad"/>
    <s v="GRO-STA-15894"/>
    <s v="FBM"/>
    <x v="3"/>
    <x v="0"/>
    <n v="1"/>
    <n v="803.86"/>
    <n v="0.1"/>
    <n v="80.39"/>
    <n v="803.86"/>
    <n v="723.47"/>
    <n v="202.55"/>
    <n v="549.98"/>
    <n v="-29.06"/>
    <n v="-4.02E-2"/>
    <n v="8"/>
    <s v="Delayed"/>
    <s v="No"/>
    <m/>
    <n v="4"/>
    <n v="1"/>
    <s v="No"/>
    <s v="Bank Offer"/>
    <n v="654.35"/>
    <n v="1.1055999999999999"/>
    <n v="183"/>
    <s v="In Stock"/>
  </r>
  <r>
    <s v="AMZ26-00109"/>
    <d v="2026-01-16T00:00:00"/>
    <x v="10"/>
    <s v="Q1"/>
    <n v="2026"/>
    <s v="CUST-2735"/>
    <s v="Vihaan Nair"/>
    <s v="Consumer"/>
    <s v="India"/>
    <s v="Odisha"/>
    <s v="Bhubaneswar"/>
    <x v="2"/>
    <s v="Amazon Website"/>
    <s v="Desktop"/>
    <x v="2"/>
    <s v="Makeup"/>
    <s v="Foundation"/>
    <s v="Lakme"/>
    <s v="BEA-MAK-67176"/>
    <s v="FBA"/>
    <x v="0"/>
    <x v="0"/>
    <n v="3"/>
    <n v="2373.5100000000002"/>
    <n v="0.15"/>
    <n v="1068.08"/>
    <n v="7120.53"/>
    <n v="6052.45"/>
    <n v="53.96"/>
    <n v="4317.3100000000004"/>
    <n v="1681.18"/>
    <n v="0.27779999999999999"/>
    <n v="5"/>
    <s v="Delayed"/>
    <s v="No"/>
    <m/>
    <n v="4"/>
    <n v="2"/>
    <s v="Yes"/>
    <s v="Prime Deal"/>
    <n v="5549.13"/>
    <n v="1.0907"/>
    <n v="291"/>
    <s v="In Stock"/>
  </r>
  <r>
    <s v="AMZ26-00110"/>
    <d v="2026-11-01T00:00:00"/>
    <x v="6"/>
    <s v="Q4"/>
    <n v="2026"/>
    <s v="CUST-3420"/>
    <s v="Arjun Rao"/>
    <s v="Small Business"/>
    <s v="India"/>
    <s v="Tamil Nadu"/>
    <s v="Chennai"/>
    <x v="1"/>
    <s v="Amazon App"/>
    <s v="Tablet"/>
    <x v="2"/>
    <s v="Skin Care"/>
    <s v="Sunscreen"/>
    <s v="Neutrogena"/>
    <s v="BEA-SKI-32076"/>
    <s v="FBA"/>
    <x v="0"/>
    <x v="0"/>
    <n v="4"/>
    <n v="2390.98"/>
    <n v="0"/>
    <n v="0"/>
    <n v="9563.92"/>
    <n v="9563.92"/>
    <n v="181.16"/>
    <n v="5970.14"/>
    <n v="3412.62"/>
    <n v="0.35680000000000001"/>
    <n v="5"/>
    <s v="Delayed"/>
    <s v="No"/>
    <m/>
    <n v="5"/>
    <n v="4"/>
    <s v="No"/>
    <s v="Amazon Coupon"/>
    <n v="9996"/>
    <n v="0.95679999999999998"/>
    <n v="426"/>
    <s v="In Stock"/>
  </r>
  <r>
    <s v="AMZ26-00111"/>
    <d v="2026-02-28T00:00:00"/>
    <x v="7"/>
    <s v="Q1"/>
    <n v="2026"/>
    <s v="CUST-1544"/>
    <s v="Rohan Jain"/>
    <s v="Consumer"/>
    <s v="India"/>
    <s v="West Bengal"/>
    <s v="Kolkata"/>
    <x v="2"/>
    <s v="Amazon Website"/>
    <s v="iOS"/>
    <x v="2"/>
    <s v="Makeup"/>
    <s v="Kajal"/>
    <s v="Lakme"/>
    <s v="BEA-MAK-54903"/>
    <s v="FBM"/>
    <x v="5"/>
    <x v="2"/>
    <n v="4"/>
    <n v="414.98"/>
    <n v="0.15"/>
    <n v="248.99"/>
    <n v="1659.92"/>
    <n v="1410.93"/>
    <n v="143.25"/>
    <n v="1034.22"/>
    <n v="233.46"/>
    <n v="0.16550000000000001"/>
    <n v="5"/>
    <s v="In Transit"/>
    <s v="No"/>
    <m/>
    <m/>
    <n v="0"/>
    <s v="No"/>
    <s v="Festival Sale"/>
    <n v="1591.45"/>
    <n v="0.88660000000000005"/>
    <n v="65"/>
    <s v="In Stock"/>
  </r>
  <r>
    <s v="AMZ26-00112"/>
    <d v="2026-08-05T00:00:00"/>
    <x v="4"/>
    <s v="Q3"/>
    <n v="2026"/>
    <s v="CUST-2387"/>
    <s v="Isha Das"/>
    <s v="Small Business"/>
    <s v="India"/>
    <s v="Tamil Nadu"/>
    <s v="Chennai"/>
    <x v="1"/>
    <s v="Amazon Website"/>
    <s v="iOS"/>
    <x v="0"/>
    <s v="Women Clothing"/>
    <s v="Printed Kurti"/>
    <s v="BIBA"/>
    <s v="FAS-WOM-23172"/>
    <s v="FBA"/>
    <x v="5"/>
    <x v="2"/>
    <n v="5"/>
    <n v="409.67"/>
    <n v="0.3"/>
    <n v="614.5"/>
    <n v="2048.35"/>
    <n v="1433.85"/>
    <n v="39.020000000000003"/>
    <n v="724.3"/>
    <n v="670.53"/>
    <n v="0.46760000000000002"/>
    <n v="4"/>
    <s v="In Transit"/>
    <s v="No"/>
    <m/>
    <m/>
    <n v="0"/>
    <s v="Yes"/>
    <s v="Bank Offer"/>
    <n v="1562.64"/>
    <n v="0.91759999999999997"/>
    <n v="402"/>
    <s v="In Stock"/>
  </r>
  <r>
    <s v="AMZ26-00113"/>
    <d v="2026-02-27T00:00:00"/>
    <x v="7"/>
    <s v="Q1"/>
    <n v="2026"/>
    <s v="CUST-3993"/>
    <s v="Meera Joshi"/>
    <s v="Corporate"/>
    <s v="India"/>
    <s v="Karnataka"/>
    <s v="Mysuru"/>
    <x v="1"/>
    <s v="Amazon Website"/>
    <s v="Tablet"/>
    <x v="4"/>
    <s v="Kitchen Appliances"/>
    <s v="Air Fryer"/>
    <s v="Philips"/>
    <s v="HOM-KIT-58748"/>
    <s v="FBA"/>
    <x v="5"/>
    <x v="0"/>
    <n v="4"/>
    <n v="3786.39"/>
    <n v="0.2"/>
    <n v="3029.11"/>
    <n v="15145.56"/>
    <n v="12116.45"/>
    <n v="50.53"/>
    <n v="5935.94"/>
    <n v="6129.98"/>
    <n v="0.50590000000000002"/>
    <n v="3"/>
    <s v="On Time"/>
    <s v="No"/>
    <m/>
    <n v="5"/>
    <n v="3"/>
    <s v="No"/>
    <s v="None"/>
    <n v="14296.91"/>
    <n v="0.84750000000000003"/>
    <n v="418"/>
    <s v="In Stock"/>
  </r>
  <r>
    <s v="AMZ26-00114"/>
    <d v="2026-01-07T00:00:00"/>
    <x v="10"/>
    <s v="Q1"/>
    <n v="2026"/>
    <s v="CUST-3034"/>
    <s v="Kavya Reddy"/>
    <s v="Small Business"/>
    <s v="India"/>
    <s v="Karnataka"/>
    <s v="Bengaluru"/>
    <x v="1"/>
    <s v="Amazon Website"/>
    <s v="iOS"/>
    <x v="0"/>
    <s v="Men Clothing"/>
    <s v="Cotton Shirt"/>
    <s v="Allen Solly"/>
    <s v="FAS-MEN-79934"/>
    <s v="FBA"/>
    <x v="3"/>
    <x v="0"/>
    <n v="1"/>
    <n v="2269.8000000000002"/>
    <n v="0.1"/>
    <n v="226.98"/>
    <n v="2269.8000000000002"/>
    <n v="2042.82"/>
    <n v="14.96"/>
    <n v="1210.19"/>
    <n v="817.67"/>
    <n v="0.40029999999999999"/>
    <n v="8"/>
    <s v="Delayed"/>
    <s v="No"/>
    <m/>
    <n v="4"/>
    <n v="0"/>
    <s v="Yes"/>
    <s v="Lightning Deal"/>
    <n v="1839.7"/>
    <n v="1.1104000000000001"/>
    <n v="120"/>
    <s v="In Stock"/>
  </r>
  <r>
    <s v="AMZ26-00115"/>
    <d v="2026-05-08T00:00:00"/>
    <x v="2"/>
    <s v="Q2"/>
    <n v="2026"/>
    <s v="CUST-1204"/>
    <s v="Isha Rao"/>
    <s v="Consumer"/>
    <s v="India"/>
    <s v="Maharashtra"/>
    <s v="Mumbai"/>
    <x v="3"/>
    <s v="Amazon App"/>
    <s v="Android"/>
    <x v="2"/>
    <s v="Skin Care"/>
    <s v="Sunscreen"/>
    <s v="Neutrogena"/>
    <s v="BEA-SKI-66127"/>
    <s v="FBM"/>
    <x v="0"/>
    <x v="0"/>
    <n v="5"/>
    <n v="184.33"/>
    <n v="0.15"/>
    <n v="138.25"/>
    <n v="921.65"/>
    <n v="783.4"/>
    <n v="218"/>
    <n v="420.42"/>
    <n v="144.97999999999999"/>
    <n v="0.18509999999999999"/>
    <n v="1"/>
    <s v="On Time"/>
    <s v="Yes"/>
    <s v="Damaged Product"/>
    <n v="4"/>
    <n v="0"/>
    <s v="No"/>
    <s v="Prime Deal"/>
    <n v="723.25"/>
    <n v="1.0831999999999999"/>
    <n v="320"/>
    <s v="In Stock"/>
  </r>
  <r>
    <s v="AMZ26-00116"/>
    <d v="2026-04-30T00:00:00"/>
    <x v="9"/>
    <s v="Q2"/>
    <n v="2026"/>
    <s v="CUST-3725"/>
    <s v="Sneha Kumar"/>
    <s v="Corporate"/>
    <s v="India"/>
    <s v="Maharashtra"/>
    <s v="Pune"/>
    <x v="3"/>
    <s v="Amazon Website"/>
    <s v="iOS"/>
    <x v="4"/>
    <s v="Kitchen Appliances"/>
    <s v="Air Fryer"/>
    <s v="Philips"/>
    <s v="HOM-KIT-25993"/>
    <s v="FBA"/>
    <x v="4"/>
    <x v="0"/>
    <n v="1"/>
    <n v="402.57"/>
    <n v="0.25"/>
    <n v="100.64"/>
    <n v="402.57"/>
    <n v="301.93"/>
    <n v="91"/>
    <n v="182.7"/>
    <n v="28.23"/>
    <n v="9.35E-2"/>
    <n v="7"/>
    <s v="Delayed"/>
    <s v="No"/>
    <m/>
    <n v="4"/>
    <n v="2"/>
    <s v="Yes"/>
    <s v="Lightning Deal"/>
    <n v="325.88"/>
    <n v="0.92649999999999999"/>
    <n v="103"/>
    <s v="In Stock"/>
  </r>
  <r>
    <s v="AMZ26-00117"/>
    <d v="2026-11-26T00:00:00"/>
    <x v="6"/>
    <s v="Q4"/>
    <n v="2026"/>
    <s v="CUST-2233"/>
    <s v="Rohan Kumar"/>
    <s v="Consumer"/>
    <s v="India"/>
    <s v="Maharashtra"/>
    <s v="Pune"/>
    <x v="3"/>
    <s v="Amazon App"/>
    <s v="iOS"/>
    <x v="2"/>
    <s v="Skin Care"/>
    <s v="Moisturizer"/>
    <s v="Cetaphil"/>
    <s v="BEA-SKI-46417"/>
    <s v="FBM"/>
    <x v="2"/>
    <x v="0"/>
    <n v="2"/>
    <n v="284.07"/>
    <n v="0.05"/>
    <n v="28.41"/>
    <n v="568.14"/>
    <n v="539.73"/>
    <n v="134.25"/>
    <n v="276.69"/>
    <n v="128.79"/>
    <n v="0.23860000000000001"/>
    <n v="3"/>
    <s v="On Time"/>
    <s v="No"/>
    <m/>
    <n v="5"/>
    <n v="4"/>
    <s v="No"/>
    <s v="Festival Sale"/>
    <n v="498.79"/>
    <n v="1.0821000000000001"/>
    <n v="145"/>
    <s v="In Stock"/>
  </r>
  <r>
    <s v="AMZ26-00118"/>
    <d v="2026-03-20T00:00:00"/>
    <x v="0"/>
    <s v="Q1"/>
    <n v="2026"/>
    <s v="CUST-3451"/>
    <s v="Ananya Gupta"/>
    <s v="Consumer"/>
    <s v="India"/>
    <s v="Karnataka"/>
    <s v="Bengaluru"/>
    <x v="1"/>
    <s v="Amazon App"/>
    <s v="Android"/>
    <x v="3"/>
    <s v="Snacks"/>
    <s v="Cookies"/>
    <s v="Britannia"/>
    <s v="GRO-SNA-28792"/>
    <s v="FBA"/>
    <x v="2"/>
    <x v="1"/>
    <n v="3"/>
    <n v="489.33"/>
    <n v="0.25"/>
    <n v="367"/>
    <n v="1467.99"/>
    <n v="1100.99"/>
    <n v="30.41"/>
    <n v="730.44"/>
    <n v="340.14"/>
    <n v="0.30890000000000001"/>
    <n v="0"/>
    <s v="Not Applicable"/>
    <s v="No"/>
    <m/>
    <m/>
    <n v="0"/>
    <s v="No"/>
    <s v="Festival Sale"/>
    <n v="1078.6400000000001"/>
    <n v="1.0206999999999999"/>
    <n v="27"/>
    <s v="Low Stock"/>
  </r>
  <r>
    <s v="AMZ26-00119"/>
    <d v="2026-12-21T00:00:00"/>
    <x v="11"/>
    <s v="Q4"/>
    <n v="2026"/>
    <s v="CUST-1472"/>
    <s v="Isha Das"/>
    <s v="Corporate"/>
    <s v="India"/>
    <s v="Gujarat"/>
    <s v="Ahmedabad"/>
    <x v="3"/>
    <s v="Amazon Website"/>
    <s v="Desktop"/>
    <x v="4"/>
    <s v="Kitchen Appliances"/>
    <s v="Mixer Grinder"/>
    <s v="Prestige"/>
    <s v="HOM-KIT-44803"/>
    <s v="FBM"/>
    <x v="3"/>
    <x v="0"/>
    <n v="3"/>
    <n v="9854.39"/>
    <n v="0.3"/>
    <n v="8868.9500000000007"/>
    <n v="29563.17"/>
    <n v="20694.22"/>
    <n v="45.86"/>
    <n v="15356.81"/>
    <n v="5291.55"/>
    <n v="0.25569999999999998"/>
    <n v="2"/>
    <s v="On Time"/>
    <s v="No"/>
    <m/>
    <n v="5"/>
    <n v="0"/>
    <s v="Yes"/>
    <s v="Bank Offer"/>
    <n v="25505.42"/>
    <n v="0.81140000000000001"/>
    <n v="371"/>
    <s v="In Stock"/>
  </r>
  <r>
    <s v="AMZ26-00120"/>
    <d v="2026-06-19T00:00:00"/>
    <x v="5"/>
    <s v="Q2"/>
    <n v="2026"/>
    <s v="CUST-4492"/>
    <s v="Arjun Shetty"/>
    <s v="Corporate"/>
    <s v="India"/>
    <s v="West Bengal"/>
    <s v="Kolkata"/>
    <x v="2"/>
    <s v="Amazon App"/>
    <s v="Android"/>
    <x v="3"/>
    <s v="Snacks"/>
    <s v="Potato Chips"/>
    <s v="Lay's"/>
    <s v="GRO-SNA-10439"/>
    <s v="FBM"/>
    <x v="2"/>
    <x v="0"/>
    <n v="1"/>
    <n v="803.68"/>
    <n v="0.1"/>
    <n v="80.37"/>
    <n v="803.68"/>
    <n v="723.31"/>
    <n v="186.86"/>
    <n v="475.6"/>
    <n v="60.85"/>
    <n v="8.4099999999999994E-2"/>
    <n v="4"/>
    <s v="On Time"/>
    <s v="No"/>
    <m/>
    <n v="5"/>
    <n v="2"/>
    <s v="No"/>
    <s v="Lightning Deal"/>
    <n v="885.32"/>
    <n v="0.81699999999999995"/>
    <n v="32"/>
    <s v="Low Stock"/>
  </r>
  <r>
    <s v="AMZ26-00121"/>
    <d v="2026-10-29T00:00:00"/>
    <x v="8"/>
    <s v="Q4"/>
    <n v="2026"/>
    <s v="CUST-1588"/>
    <s v="Vihaan Sharma"/>
    <s v="Small Business"/>
    <s v="India"/>
    <s v="Maharashtra"/>
    <s v="Mumbai"/>
    <x v="3"/>
    <s v="Amazon Website"/>
    <s v="Tablet"/>
    <x v="4"/>
    <s v="Kitchen Appliances"/>
    <s v="Air Fryer"/>
    <s v="Philips"/>
    <s v="HOM-KIT-42399"/>
    <s v="FBM"/>
    <x v="4"/>
    <x v="0"/>
    <n v="5"/>
    <n v="330.45"/>
    <n v="0"/>
    <n v="0"/>
    <n v="1652.25"/>
    <n v="1652.25"/>
    <n v="86.06"/>
    <n v="1229.97"/>
    <n v="336.22"/>
    <n v="0.20349999999999999"/>
    <n v="1"/>
    <s v="On Time"/>
    <s v="Yes"/>
    <s v="Damaged Product"/>
    <n v="5"/>
    <n v="4"/>
    <s v="Yes"/>
    <s v="Amazon Coupon"/>
    <n v="1922.7"/>
    <n v="0.85929999999999995"/>
    <n v="161"/>
    <s v="In Stock"/>
  </r>
  <r>
    <s v="AMZ26-00122"/>
    <d v="2026-06-09T00:00:00"/>
    <x v="5"/>
    <s v="Q2"/>
    <n v="2026"/>
    <s v="CUST-3901"/>
    <s v="Vihaan Sharma"/>
    <s v="Consumer"/>
    <s v="India"/>
    <s v="Telangana"/>
    <s v="Hyderabad"/>
    <x v="1"/>
    <s v="Amazon App"/>
    <s v="Tablet"/>
    <x v="2"/>
    <s v="Hair Care"/>
    <s v="Hair Serum"/>
    <s v="L'Oreal"/>
    <s v="BEA-HAI-24669"/>
    <s v="FBM"/>
    <x v="4"/>
    <x v="0"/>
    <n v="3"/>
    <n v="207.14"/>
    <n v="0.3"/>
    <n v="186.43"/>
    <n v="621.41999999999996"/>
    <n v="434.99"/>
    <n v="208.86"/>
    <n v="211.83"/>
    <n v="14.3"/>
    <n v="3.2899999999999999E-2"/>
    <n v="4"/>
    <s v="On Time"/>
    <s v="No"/>
    <m/>
    <n v="4"/>
    <n v="1"/>
    <s v="Yes"/>
    <s v="Festival Sale"/>
    <n v="537.35"/>
    <n v="0.8095"/>
    <n v="389"/>
    <s v="In Stock"/>
  </r>
  <r>
    <s v="AMZ26-00123"/>
    <d v="2026-01-07T00:00:00"/>
    <x v="10"/>
    <s v="Q1"/>
    <n v="2026"/>
    <s v="CUST-4394"/>
    <s v="Aditi Yadav"/>
    <s v="Corporate"/>
    <s v="India"/>
    <s v="Karnataka"/>
    <s v="Bengaluru"/>
    <x v="1"/>
    <s v="Amazon App"/>
    <s v="Desktop"/>
    <x v="4"/>
    <s v="Cookware"/>
    <s v="Nonstick Pan"/>
    <s v="Prestige"/>
    <s v="HOM-COO-85433"/>
    <s v="FBM"/>
    <x v="4"/>
    <x v="0"/>
    <n v="4"/>
    <n v="5003.62"/>
    <n v="0"/>
    <n v="0"/>
    <n v="20014.48"/>
    <n v="20014.48"/>
    <n v="3.27"/>
    <n v="12323.53"/>
    <n v="7687.68"/>
    <n v="0.3841"/>
    <n v="2"/>
    <s v="On Time"/>
    <s v="No"/>
    <m/>
    <n v="4"/>
    <n v="1"/>
    <s v="No"/>
    <s v="Prime Deal"/>
    <n v="19434.77"/>
    <n v="1.0298"/>
    <n v="163"/>
    <s v="In Stock"/>
  </r>
  <r>
    <s v="AMZ26-00124"/>
    <d v="2026-05-06T00:00:00"/>
    <x v="2"/>
    <s v="Q2"/>
    <n v="2026"/>
    <s v="CUST-1149"/>
    <s v="Isha Iyer"/>
    <s v="Consumer"/>
    <s v="India"/>
    <s v="Karnataka"/>
    <s v="Mysuru"/>
    <x v="1"/>
    <s v="Amazon App"/>
    <s v="iOS"/>
    <x v="1"/>
    <s v="Mobiles"/>
    <s v="Galaxy A Series"/>
    <s v="Samsung"/>
    <s v="ELE-MOB-61493"/>
    <s v="FBM"/>
    <x v="1"/>
    <x v="0"/>
    <n v="1"/>
    <n v="33588.61"/>
    <n v="0.05"/>
    <n v="1679.43"/>
    <n v="33588.61"/>
    <n v="31909.18"/>
    <n v="106.82"/>
    <n v="22342.400000000001"/>
    <n v="9459.9599999999991"/>
    <n v="0.29649999999999999"/>
    <n v="2"/>
    <s v="On Time"/>
    <s v="No"/>
    <m/>
    <n v="5"/>
    <n v="2"/>
    <s v="No"/>
    <s v="Festival Sale"/>
    <n v="35196.699999999997"/>
    <n v="0.90659999999999996"/>
    <n v="201"/>
    <s v="In Stock"/>
  </r>
  <r>
    <s v="AMZ26-00125"/>
    <d v="2026-11-19T00:00:00"/>
    <x v="6"/>
    <s v="Q4"/>
    <n v="2026"/>
    <s v="CUST-1525"/>
    <s v="Ananya Iyer"/>
    <s v="Corporate"/>
    <s v="India"/>
    <s v="Haryana"/>
    <s v="Gurugram"/>
    <x v="0"/>
    <s v="Amazon Website"/>
    <s v="Android"/>
    <x v="2"/>
    <s v="Makeup"/>
    <s v="Kajal"/>
    <s v="Lakme"/>
    <s v="BEA-MAK-73491"/>
    <s v="FBA"/>
    <x v="5"/>
    <x v="0"/>
    <n v="3"/>
    <n v="1160.28"/>
    <n v="0.3"/>
    <n v="1044.25"/>
    <n v="3480.84"/>
    <n v="2436.59"/>
    <n v="141.37"/>
    <n v="1478.88"/>
    <n v="816.34"/>
    <n v="0.33500000000000002"/>
    <n v="3"/>
    <s v="On Time"/>
    <s v="No"/>
    <m/>
    <n v="3"/>
    <n v="3"/>
    <s v="No"/>
    <s v="Amazon Coupon"/>
    <n v="2868.45"/>
    <n v="0.84940000000000004"/>
    <n v="495"/>
    <s v="In Stock"/>
  </r>
  <r>
    <s v="AMZ26-00126"/>
    <d v="2026-01-20T00:00:00"/>
    <x v="10"/>
    <s v="Q1"/>
    <n v="2026"/>
    <s v="CUST-2474"/>
    <s v="Arjun Singh"/>
    <s v="Small Business"/>
    <s v="India"/>
    <s v="Gujarat"/>
    <s v="Ahmedabad"/>
    <x v="3"/>
    <s v="Amazon App"/>
    <s v="Desktop"/>
    <x v="4"/>
    <s v="Home Decor"/>
    <s v="Curtain Set"/>
    <s v="Home Centre"/>
    <s v="HOM-HOM-38185"/>
    <s v="FBM"/>
    <x v="0"/>
    <x v="0"/>
    <n v="2"/>
    <n v="1845.31"/>
    <n v="0.3"/>
    <n v="1107.19"/>
    <n v="3690.62"/>
    <n v="2583.4299999999998"/>
    <n v="248.26"/>
    <n v="1273.1300000000001"/>
    <n v="1062.04"/>
    <n v="0.41110000000000002"/>
    <n v="8"/>
    <s v="Delayed"/>
    <s v="No"/>
    <m/>
    <n v="5"/>
    <n v="2"/>
    <s v="No"/>
    <s v="Prime Deal"/>
    <n v="2480.13"/>
    <n v="1.0417000000000001"/>
    <n v="8"/>
    <s v="Low Stock"/>
  </r>
  <r>
    <s v="AMZ26-00127"/>
    <d v="2026-02-08T00:00:00"/>
    <x v="7"/>
    <s v="Q1"/>
    <n v="2026"/>
    <s v="CUST-2393"/>
    <s v="Kavya Jain"/>
    <s v="Consumer"/>
    <s v="India"/>
    <s v="Karnataka"/>
    <s v="Mysuru"/>
    <x v="1"/>
    <s v="Amazon App"/>
    <s v="Tablet"/>
    <x v="4"/>
    <s v="Cookware"/>
    <s v="Nonstick Pan"/>
    <s v="Prestige"/>
    <s v="HOM-COO-91534"/>
    <s v="FBA"/>
    <x v="0"/>
    <x v="1"/>
    <n v="4"/>
    <n v="1891.18"/>
    <n v="0.05"/>
    <n v="378.24"/>
    <n v="7564.72"/>
    <n v="7186.48"/>
    <n v="38.14"/>
    <n v="5349.63"/>
    <n v="1798.71"/>
    <n v="0.25030000000000002"/>
    <n v="0"/>
    <s v="Not Applicable"/>
    <s v="No"/>
    <m/>
    <m/>
    <n v="0"/>
    <s v="Yes"/>
    <s v="Lightning Deal"/>
    <n v="6186.43"/>
    <n v="1.1617"/>
    <n v="368"/>
    <s v="In Stock"/>
  </r>
  <r>
    <s v="AMZ26-00128"/>
    <d v="2026-08-09T00:00:00"/>
    <x v="4"/>
    <s v="Q3"/>
    <n v="2026"/>
    <s v="CUST-2886"/>
    <s v="Isha Iyer"/>
    <s v="Consumer"/>
    <s v="India"/>
    <s v="Rajasthan"/>
    <s v="Jaipur"/>
    <x v="3"/>
    <s v="Amazon Website"/>
    <s v="iOS"/>
    <x v="3"/>
    <s v="Beverages"/>
    <s v="Fruit Juice"/>
    <s v="Real"/>
    <s v="GRO-BEV-54455"/>
    <s v="FBM"/>
    <x v="0"/>
    <x v="1"/>
    <n v="4"/>
    <n v="122.46"/>
    <n v="0.1"/>
    <n v="48.98"/>
    <n v="489.84"/>
    <n v="440.86"/>
    <n v="13.11"/>
    <n v="225.67"/>
    <n v="202.08"/>
    <n v="0.45839999999999997"/>
    <n v="0"/>
    <s v="Not Applicable"/>
    <s v="No"/>
    <m/>
    <m/>
    <n v="0"/>
    <s v="Yes"/>
    <s v="Prime Deal"/>
    <n v="508.66"/>
    <n v="0.86670000000000003"/>
    <n v="208"/>
    <s v="In Stock"/>
  </r>
  <r>
    <s v="AMZ26-00129"/>
    <d v="2026-08-14T00:00:00"/>
    <x v="4"/>
    <s v="Q3"/>
    <n v="2026"/>
    <s v="CUST-4030"/>
    <s v="Kiran Singh"/>
    <s v="Corporate"/>
    <s v="India"/>
    <s v="Karnataka"/>
    <s v="Mysuru"/>
    <x v="1"/>
    <s v="Amazon Website"/>
    <s v="Desktop"/>
    <x v="0"/>
    <s v="Footwear"/>
    <s v="Sandals"/>
    <s v="Bata"/>
    <s v="FAS-FOO-27462"/>
    <s v="FBM"/>
    <x v="5"/>
    <x v="0"/>
    <n v="4"/>
    <n v="2063.63"/>
    <n v="0.25"/>
    <n v="2063.63"/>
    <n v="8254.52"/>
    <n v="6190.89"/>
    <n v="89.2"/>
    <n v="3934.94"/>
    <n v="2166.75"/>
    <n v="0.35"/>
    <n v="3"/>
    <s v="On Time"/>
    <s v="No"/>
    <m/>
    <n v="4"/>
    <n v="4"/>
    <s v="No"/>
    <s v="Amazon Coupon"/>
    <n v="6081.05"/>
    <n v="1.0181"/>
    <n v="278"/>
    <s v="In Stock"/>
  </r>
  <r>
    <s v="AMZ26-00130"/>
    <d v="2026-05-10T00:00:00"/>
    <x v="2"/>
    <s v="Q2"/>
    <n v="2026"/>
    <s v="CUST-4620"/>
    <s v="Rahul Reddy"/>
    <s v="Small Business"/>
    <s v="India"/>
    <s v="West Bengal"/>
    <s v="Kolkata"/>
    <x v="2"/>
    <s v="Amazon App"/>
    <s v="Desktop"/>
    <x v="0"/>
    <s v="Men Clothing"/>
    <s v="Casual T-Shirt"/>
    <s v="Puma"/>
    <s v="FAS-MEN-43765"/>
    <s v="FBM"/>
    <x v="1"/>
    <x v="0"/>
    <n v="2"/>
    <n v="2989.76"/>
    <n v="0.25"/>
    <n v="1494.88"/>
    <n v="5979.52"/>
    <n v="4484.6400000000003"/>
    <n v="214.38"/>
    <n v="2253.86"/>
    <n v="2016.4"/>
    <n v="0.4496"/>
    <n v="8"/>
    <s v="Delayed"/>
    <s v="No"/>
    <m/>
    <n v="5"/>
    <n v="3"/>
    <s v="Yes"/>
    <s v="Lightning Deal"/>
    <n v="3949.26"/>
    <n v="1.1355999999999999"/>
    <n v="23"/>
    <s v="Low Stock"/>
  </r>
  <r>
    <s v="AMZ26-00131"/>
    <d v="2026-11-27T00:00:00"/>
    <x v="6"/>
    <s v="Q4"/>
    <n v="2026"/>
    <s v="CUST-2817"/>
    <s v="Aditi Sharma"/>
    <s v="Corporate"/>
    <s v="India"/>
    <s v="Maharashtra"/>
    <s v="Pune"/>
    <x v="3"/>
    <s v="Amazon Website"/>
    <s v="Desktop"/>
    <x v="3"/>
    <s v="Beverages"/>
    <s v="Green Tea"/>
    <s v="Tata Tea"/>
    <s v="GRO-BEV-28190"/>
    <s v="FBA"/>
    <x v="5"/>
    <x v="0"/>
    <n v="5"/>
    <n v="317.29000000000002"/>
    <n v="0.1"/>
    <n v="158.65"/>
    <n v="1586.45"/>
    <n v="1427.8"/>
    <n v="230.92"/>
    <n v="762.47"/>
    <n v="434.41"/>
    <n v="0.30430000000000001"/>
    <n v="4"/>
    <s v="On Time"/>
    <s v="No"/>
    <m/>
    <n v="5"/>
    <n v="2"/>
    <s v="Yes"/>
    <s v="Amazon Coupon"/>
    <n v="1271.04"/>
    <n v="1.1233"/>
    <n v="35"/>
    <s v="Low Stock"/>
  </r>
  <r>
    <s v="AMZ26-00132"/>
    <d v="2026-02-16T00:00:00"/>
    <x v="7"/>
    <s v="Q1"/>
    <n v="2026"/>
    <s v="CUST-3998"/>
    <s v="Aditi Shetty"/>
    <s v="Small Business"/>
    <s v="India"/>
    <s v="Punjab"/>
    <s v="Ludhiana"/>
    <x v="0"/>
    <s v="Amazon Website"/>
    <s v="Tablet"/>
    <x v="2"/>
    <s v="Skin Care"/>
    <s v="Face Serum"/>
    <s v="Minimalist"/>
    <s v="BEA-SKI-98393"/>
    <s v="FBM"/>
    <x v="0"/>
    <x v="1"/>
    <n v="3"/>
    <n v="1833.33"/>
    <n v="0.1"/>
    <n v="550"/>
    <n v="5499.99"/>
    <n v="4949.99"/>
    <n v="174.27"/>
    <n v="3413.63"/>
    <n v="1362.09"/>
    <n v="0.2752"/>
    <n v="0"/>
    <s v="Not Applicable"/>
    <s v="No"/>
    <m/>
    <m/>
    <n v="0"/>
    <s v="No"/>
    <s v="Festival Sale"/>
    <n v="5819.69"/>
    <n v="0.85060000000000002"/>
    <n v="314"/>
    <s v="In Stock"/>
  </r>
  <r>
    <s v="AMZ26-00133"/>
    <d v="2026-03-19T00:00:00"/>
    <x v="0"/>
    <s v="Q1"/>
    <n v="2026"/>
    <s v="CUST-2556"/>
    <s v="Isha Joshi"/>
    <s v="Small Business"/>
    <s v="India"/>
    <s v="Tamil Nadu"/>
    <s v="Chennai"/>
    <x v="1"/>
    <s v="Amazon Website"/>
    <s v="Android"/>
    <x v="4"/>
    <s v="Home Decor"/>
    <s v="Curtain Set"/>
    <s v="Home Centre"/>
    <s v="HOM-HOM-49301"/>
    <s v="FBM"/>
    <x v="5"/>
    <x v="0"/>
    <n v="5"/>
    <n v="1789.87"/>
    <n v="0.25"/>
    <n v="2237.34"/>
    <n v="8949.35"/>
    <n v="6712.01"/>
    <n v="66.73"/>
    <n v="3511.65"/>
    <n v="3133.63"/>
    <n v="0.46689999999999998"/>
    <n v="7"/>
    <s v="Delayed"/>
    <s v="No"/>
    <m/>
    <n v="5"/>
    <n v="1"/>
    <s v="Yes"/>
    <s v="Lightning Deal"/>
    <n v="6594.59"/>
    <n v="1.0178"/>
    <n v="293"/>
    <s v="In Stock"/>
  </r>
  <r>
    <s v="AMZ26-00134"/>
    <d v="2026-05-04T00:00:00"/>
    <x v="2"/>
    <s v="Q2"/>
    <n v="2026"/>
    <s v="CUST-2441"/>
    <s v="Aditi Rao"/>
    <s v="Small Business"/>
    <s v="India"/>
    <s v="Uttar Pradesh"/>
    <s v="Noida"/>
    <x v="0"/>
    <s v="Amazon Website"/>
    <s v="iOS"/>
    <x v="2"/>
    <s v="Makeup"/>
    <s v="Foundation"/>
    <s v="Lakme"/>
    <s v="BEA-MAK-50777"/>
    <s v="FBM"/>
    <x v="3"/>
    <x v="0"/>
    <n v="2"/>
    <n v="603.08000000000004"/>
    <n v="0.3"/>
    <n v="361.85"/>
    <n v="1206.1600000000001"/>
    <n v="844.31"/>
    <n v="176.82"/>
    <n v="543.08000000000004"/>
    <n v="124.41"/>
    <n v="0.1474"/>
    <n v="1"/>
    <s v="On Time"/>
    <s v="No"/>
    <m/>
    <n v="3"/>
    <n v="3"/>
    <s v="No"/>
    <s v="None"/>
    <n v="798.53"/>
    <n v="1.0572999999999999"/>
    <n v="481"/>
    <s v="In Stock"/>
  </r>
  <r>
    <s v="AMZ26-00135"/>
    <d v="2026-12-13T00:00:00"/>
    <x v="11"/>
    <s v="Q4"/>
    <n v="2026"/>
    <s v="CUST-2918"/>
    <s v="Ananya Yadav"/>
    <s v="Corporate"/>
    <s v="India"/>
    <s v="Karnataka"/>
    <s v="Mysuru"/>
    <x v="1"/>
    <s v="Amazon App"/>
    <s v="iOS"/>
    <x v="1"/>
    <s v="Laptops"/>
    <s v="Vivobook"/>
    <s v="ASUS"/>
    <s v="ELE-LAP-26018"/>
    <s v="FBA"/>
    <x v="3"/>
    <x v="0"/>
    <n v="1"/>
    <n v="27518.240000000002"/>
    <n v="0"/>
    <n v="0"/>
    <n v="27518.240000000002"/>
    <n v="27518.240000000002"/>
    <n v="194.03"/>
    <n v="14072.35"/>
    <n v="13251.86"/>
    <n v="0.48159999999999997"/>
    <n v="6"/>
    <s v="Delayed"/>
    <s v="No"/>
    <m/>
    <n v="5"/>
    <n v="2"/>
    <s v="No"/>
    <s v="Amazon Coupon"/>
    <n v="29655.85"/>
    <n v="0.92789999999999995"/>
    <n v="22"/>
    <s v="Low Stock"/>
  </r>
  <r>
    <s v="AMZ26-00136"/>
    <d v="2026-05-26T00:00:00"/>
    <x v="2"/>
    <s v="Q2"/>
    <n v="2026"/>
    <s v="CUST-4673"/>
    <s v="Aditya Shetty"/>
    <s v="Corporate"/>
    <s v="India"/>
    <s v="Karnataka"/>
    <s v="Bengaluru"/>
    <x v="1"/>
    <s v="Amazon Website"/>
    <s v="Tablet"/>
    <x v="3"/>
    <s v="Snacks"/>
    <s v="Potato Chips"/>
    <s v="Lay's"/>
    <s v="GRO-SNA-60654"/>
    <s v="FBA"/>
    <x v="5"/>
    <x v="2"/>
    <n v="1"/>
    <n v="307.29000000000002"/>
    <n v="0.15"/>
    <n v="46.09"/>
    <n v="307.29000000000002"/>
    <n v="261.2"/>
    <n v="73.81"/>
    <n v="198.46"/>
    <n v="-11.07"/>
    <n v="-4.24E-2"/>
    <n v="7"/>
    <s v="In Transit"/>
    <s v="No"/>
    <m/>
    <m/>
    <n v="0"/>
    <s v="No"/>
    <s v="Lightning Deal"/>
    <n v="224.04"/>
    <n v="1.1658999999999999"/>
    <n v="483"/>
    <s v="In Stock"/>
  </r>
  <r>
    <s v="AMZ26-00137"/>
    <d v="2026-07-04T00:00:00"/>
    <x v="3"/>
    <s v="Q3"/>
    <n v="2026"/>
    <s v="CUST-2121"/>
    <s v="Ananya Das"/>
    <s v="Consumer"/>
    <s v="India"/>
    <s v="Maharashtra"/>
    <s v="Mumbai"/>
    <x v="3"/>
    <s v="Amazon App"/>
    <s v="Desktop"/>
    <x v="4"/>
    <s v="Home Decor"/>
    <s v="LED Lamp"/>
    <s v="Wipro"/>
    <s v="HOM-HOM-86030"/>
    <s v="FBA"/>
    <x v="3"/>
    <x v="0"/>
    <n v="1"/>
    <n v="648.84"/>
    <n v="0.15"/>
    <n v="97.33"/>
    <n v="648.84"/>
    <n v="551.51"/>
    <n v="74.87"/>
    <n v="368.7"/>
    <n v="107.94"/>
    <n v="0.19570000000000001"/>
    <n v="2"/>
    <s v="On Time"/>
    <s v="No"/>
    <m/>
    <n v="5"/>
    <n v="2"/>
    <s v="Yes"/>
    <s v="Lightning Deal"/>
    <n v="471.44"/>
    <n v="1.1698"/>
    <n v="163"/>
    <s v="In Stock"/>
  </r>
  <r>
    <s v="AMZ26-00138"/>
    <d v="2026-08-04T00:00:00"/>
    <x v="4"/>
    <s v="Q3"/>
    <n v="2026"/>
    <s v="CUST-3357"/>
    <s v="Rahul Das"/>
    <s v="Corporate"/>
    <s v="India"/>
    <s v="West Bengal"/>
    <s v="Kolkata"/>
    <x v="2"/>
    <s v="Amazon App"/>
    <s v="iOS"/>
    <x v="1"/>
    <s v="Accessories"/>
    <s v="Wireless Mouse"/>
    <s v="Logitech"/>
    <s v="ELE-ACC-59254"/>
    <s v="FBM"/>
    <x v="2"/>
    <x v="2"/>
    <n v="2"/>
    <n v="8562.23"/>
    <n v="0.2"/>
    <n v="3424.89"/>
    <n v="17124.46"/>
    <n v="13699.57"/>
    <n v="119.44"/>
    <n v="10106.08"/>
    <n v="3474.05"/>
    <n v="0.25359999999999999"/>
    <n v="8"/>
    <s v="In Transit"/>
    <s v="No"/>
    <m/>
    <m/>
    <n v="0"/>
    <s v="Yes"/>
    <s v="Bank Offer"/>
    <n v="15153.26"/>
    <n v="0.90410000000000001"/>
    <n v="440"/>
    <s v="In Stock"/>
  </r>
  <r>
    <s v="AMZ26-00139"/>
    <d v="2026-08-02T00:00:00"/>
    <x v="4"/>
    <s v="Q3"/>
    <n v="2026"/>
    <s v="CUST-3986"/>
    <s v="Diya Singh"/>
    <s v="Corporate"/>
    <s v="India"/>
    <s v="Delhi"/>
    <s v="New Delhi"/>
    <x v="0"/>
    <s v="Amazon Website"/>
    <s v="Desktop"/>
    <x v="2"/>
    <s v="Makeup"/>
    <s v="Foundation"/>
    <s v="Lakme"/>
    <s v="BEA-MAK-63959"/>
    <s v="FBM"/>
    <x v="3"/>
    <x v="0"/>
    <n v="5"/>
    <n v="663.09"/>
    <n v="0"/>
    <n v="0"/>
    <n v="3315.45"/>
    <n v="3315.45"/>
    <n v="56.94"/>
    <n v="2540.59"/>
    <n v="717.92"/>
    <n v="0.2165"/>
    <n v="2"/>
    <s v="On Time"/>
    <s v="No"/>
    <m/>
    <n v="5"/>
    <n v="2"/>
    <s v="No"/>
    <s v="Festival Sale"/>
    <n v="2940.28"/>
    <n v="1.1275999999999999"/>
    <n v="11"/>
    <s v="Low Stock"/>
  </r>
  <r>
    <s v="AMZ26-00140"/>
    <d v="2026-02-12T00:00:00"/>
    <x v="7"/>
    <s v="Q1"/>
    <n v="2026"/>
    <s v="CUST-2661"/>
    <s v="Nikhil Singh"/>
    <s v="Corporate"/>
    <s v="India"/>
    <s v="Haryana"/>
    <s v="Gurugram"/>
    <x v="0"/>
    <s v="Amazon Website"/>
    <s v="Android"/>
    <x v="0"/>
    <s v="Women Clothing"/>
    <s v="Denim Jeans"/>
    <s v="Levi's"/>
    <s v="FAS-WOM-69781"/>
    <s v="FBM"/>
    <x v="5"/>
    <x v="2"/>
    <n v="1"/>
    <n v="601.46"/>
    <n v="0.3"/>
    <n v="180.44"/>
    <n v="601.46"/>
    <n v="421.02"/>
    <n v="130.55000000000001"/>
    <n v="243.4"/>
    <n v="47.07"/>
    <n v="0.1118"/>
    <n v="2"/>
    <s v="In Transit"/>
    <s v="No"/>
    <m/>
    <m/>
    <n v="0"/>
    <s v="No"/>
    <s v="Prime Deal"/>
    <n v="498.63"/>
    <n v="0.84440000000000004"/>
    <n v="314"/>
    <s v="In Stock"/>
  </r>
  <r>
    <s v="AMZ26-00141"/>
    <d v="2026-03-01T00:00:00"/>
    <x v="0"/>
    <s v="Q1"/>
    <n v="2026"/>
    <s v="CUST-4400"/>
    <s v="Nandini Sharma"/>
    <s v="Small Business"/>
    <s v="India"/>
    <s v="Haryana"/>
    <s v="Gurugram"/>
    <x v="0"/>
    <s v="Amazon App"/>
    <s v="Desktop"/>
    <x v="1"/>
    <s v="Accessories"/>
    <s v="Bluetooth Speaker"/>
    <s v="boAt"/>
    <s v="ELE-ACC-63709"/>
    <s v="FBA"/>
    <x v="1"/>
    <x v="0"/>
    <n v="3"/>
    <n v="40044.03"/>
    <n v="0"/>
    <n v="0"/>
    <n v="120132.09"/>
    <n v="120132.09"/>
    <n v="91.03"/>
    <n v="93136.6"/>
    <n v="26904.46"/>
    <n v="0.224"/>
    <n v="4"/>
    <s v="On Time"/>
    <s v="No"/>
    <m/>
    <n v="5"/>
    <n v="4"/>
    <s v="Yes"/>
    <s v="Amazon Coupon"/>
    <n v="103633.38"/>
    <n v="1.1592"/>
    <n v="92"/>
    <s v="In Stock"/>
  </r>
  <r>
    <s v="AMZ26-00142"/>
    <d v="2026-03-30T00:00:00"/>
    <x v="0"/>
    <s v="Q1"/>
    <n v="2026"/>
    <s v="CUST-1963"/>
    <s v="Isha Singh"/>
    <s v="Small Business"/>
    <s v="India"/>
    <s v="West Bengal"/>
    <s v="Kolkata"/>
    <x v="2"/>
    <s v="Amazon Website"/>
    <s v="Android"/>
    <x v="3"/>
    <s v="Snacks"/>
    <s v="Potato Chips"/>
    <s v="Lay's"/>
    <s v="GRO-SNA-27106"/>
    <s v="FBM"/>
    <x v="2"/>
    <x v="0"/>
    <n v="2"/>
    <n v="1549.37"/>
    <n v="0.15"/>
    <n v="464.81"/>
    <n v="3098.74"/>
    <n v="2633.93"/>
    <n v="195.64"/>
    <n v="1934.25"/>
    <n v="504.04"/>
    <n v="0.19139999999999999"/>
    <n v="7"/>
    <s v="Delayed"/>
    <s v="No"/>
    <m/>
    <n v="5"/>
    <n v="4"/>
    <s v="Yes"/>
    <s v="Lightning Deal"/>
    <n v="2680.55"/>
    <n v="0.98260000000000003"/>
    <n v="18"/>
    <s v="Low Stock"/>
  </r>
  <r>
    <s v="AMZ26-00143"/>
    <d v="2026-05-21T00:00:00"/>
    <x v="2"/>
    <s v="Q2"/>
    <n v="2026"/>
    <s v="CUST-4765"/>
    <s v="Pooja Sharma"/>
    <s v="Corporate"/>
    <s v="India"/>
    <s v="Kerala"/>
    <s v="Kochi"/>
    <x v="1"/>
    <s v="Amazon Website"/>
    <s v="Tablet"/>
    <x v="1"/>
    <s v="Accessories"/>
    <s v="USB-C Hub"/>
    <s v="Portronics"/>
    <s v="ELE-ACC-56640"/>
    <s v="FBA"/>
    <x v="1"/>
    <x v="0"/>
    <n v="1"/>
    <n v="18751.39"/>
    <n v="0.05"/>
    <n v="937.57"/>
    <n v="18751.39"/>
    <n v="17813.82"/>
    <n v="142.19"/>
    <n v="13598.73"/>
    <n v="4072.9"/>
    <n v="0.2286"/>
    <n v="2"/>
    <s v="On Time"/>
    <s v="No"/>
    <m/>
    <n v="3"/>
    <n v="3"/>
    <s v="Yes"/>
    <s v="Prime Deal"/>
    <n v="21148.78"/>
    <n v="0.84230000000000005"/>
    <n v="388"/>
    <s v="In Stock"/>
  </r>
  <r>
    <s v="AMZ26-00144"/>
    <d v="2026-08-02T00:00:00"/>
    <x v="4"/>
    <s v="Q3"/>
    <n v="2026"/>
    <s v="CUST-3756"/>
    <s v="Nikhil Gupta"/>
    <s v="Consumer"/>
    <s v="India"/>
    <s v="Maharashtra"/>
    <s v="Mumbai"/>
    <x v="3"/>
    <s v="Amazon Website"/>
    <s v="Tablet"/>
    <x v="4"/>
    <s v="Cookware"/>
    <s v="Cookware Set"/>
    <s v="Pigeon"/>
    <s v="HOM-COO-91804"/>
    <s v="FBA"/>
    <x v="5"/>
    <x v="0"/>
    <n v="5"/>
    <n v="1985.53"/>
    <n v="0.1"/>
    <n v="992.76"/>
    <n v="9927.65"/>
    <n v="8934.89"/>
    <n v="63.63"/>
    <n v="4757.68"/>
    <n v="4113.58"/>
    <n v="0.46039999999999998"/>
    <n v="1"/>
    <s v="On Time"/>
    <s v="No"/>
    <m/>
    <n v="4"/>
    <n v="2"/>
    <s v="Yes"/>
    <s v="None"/>
    <n v="7829.84"/>
    <n v="1.1411"/>
    <n v="231"/>
    <s v="In Stock"/>
  </r>
  <r>
    <s v="AMZ26-00145"/>
    <d v="2026-03-17T00:00:00"/>
    <x v="0"/>
    <s v="Q1"/>
    <n v="2026"/>
    <s v="CUST-2130"/>
    <s v="Rahul Rao"/>
    <s v="Consumer"/>
    <s v="India"/>
    <s v="Assam"/>
    <s v="Guwahati"/>
    <x v="2"/>
    <s v="Amazon App"/>
    <s v="iOS"/>
    <x v="3"/>
    <s v="Snacks"/>
    <s v="Potato Chips"/>
    <s v="Lay's"/>
    <s v="GRO-SNA-58390"/>
    <s v="FBA"/>
    <x v="0"/>
    <x v="1"/>
    <n v="2"/>
    <n v="543.39"/>
    <n v="0"/>
    <n v="0"/>
    <n v="1086.78"/>
    <n v="1086.78"/>
    <n v="21.3"/>
    <n v="676.43"/>
    <n v="389.05"/>
    <n v="0.35799999999999998"/>
    <n v="0"/>
    <s v="Not Applicable"/>
    <s v="No"/>
    <m/>
    <m/>
    <n v="0"/>
    <s v="No"/>
    <s v="Festival Sale"/>
    <n v="1279.4100000000001"/>
    <n v="0.84940000000000004"/>
    <n v="386"/>
    <s v="In Stock"/>
  </r>
  <r>
    <s v="AMZ26-00146"/>
    <d v="2026-11-16T00:00:00"/>
    <x v="6"/>
    <s v="Q4"/>
    <n v="2026"/>
    <s v="CUST-1120"/>
    <s v="Sai Verma"/>
    <s v="Small Business"/>
    <s v="India"/>
    <s v="Kerala"/>
    <s v="Kochi"/>
    <x v="1"/>
    <s v="Amazon App"/>
    <s v="iOS"/>
    <x v="1"/>
    <s v="Laptops"/>
    <s v="IdeaPad"/>
    <s v="Lenovo"/>
    <s v="ELE-LAP-32907"/>
    <s v="FBA"/>
    <x v="3"/>
    <x v="0"/>
    <n v="4"/>
    <n v="3318.7"/>
    <n v="0.15"/>
    <n v="1991.22"/>
    <n v="13274.8"/>
    <n v="11283.58"/>
    <n v="209.89"/>
    <n v="8480.84"/>
    <n v="2592.85"/>
    <n v="0.2298"/>
    <n v="6"/>
    <s v="Delayed"/>
    <s v="No"/>
    <m/>
    <n v="5"/>
    <n v="3"/>
    <s v="Yes"/>
    <s v="Lightning Deal"/>
    <n v="9707.56"/>
    <n v="1.1623000000000001"/>
    <n v="274"/>
    <s v="In Stock"/>
  </r>
  <r>
    <s v="AMZ26-00147"/>
    <d v="2026-08-04T00:00:00"/>
    <x v="4"/>
    <s v="Q3"/>
    <n v="2026"/>
    <s v="CUST-1577"/>
    <s v="Aditi Singh"/>
    <s v="Consumer"/>
    <s v="India"/>
    <s v="Delhi"/>
    <s v="New Delhi"/>
    <x v="0"/>
    <s v="Amazon App"/>
    <s v="Desktop"/>
    <x v="4"/>
    <s v="Home Decor"/>
    <s v="LED Lamp"/>
    <s v="Wipro"/>
    <s v="HOM-HOM-37872"/>
    <s v="FBM"/>
    <x v="0"/>
    <x v="0"/>
    <n v="3"/>
    <n v="1645.3"/>
    <n v="0.2"/>
    <n v="987.18"/>
    <n v="4935.8999999999996"/>
    <n v="3948.72"/>
    <n v="62.45"/>
    <n v="2796.77"/>
    <n v="1089.5"/>
    <n v="0.27589999999999998"/>
    <n v="1"/>
    <s v="On Time"/>
    <s v="No"/>
    <m/>
    <n v="5"/>
    <n v="2"/>
    <s v="Yes"/>
    <s v="Lightning Deal"/>
    <n v="4376.4799999999996"/>
    <n v="0.90229999999999999"/>
    <n v="55"/>
    <s v="In Stock"/>
  </r>
  <r>
    <s v="AMZ26-00148"/>
    <d v="2026-04-09T00:00:00"/>
    <x v="9"/>
    <s v="Q2"/>
    <n v="2026"/>
    <s v="CUST-1715"/>
    <s v="Rohan Das"/>
    <s v="Consumer"/>
    <s v="India"/>
    <s v="Maharashtra"/>
    <s v="Pune"/>
    <x v="3"/>
    <s v="Amazon App"/>
    <s v="Desktop"/>
    <x v="0"/>
    <s v="Footwear"/>
    <s v="Sandals"/>
    <s v="Bata"/>
    <s v="FAS-FOO-29198"/>
    <s v="FBA"/>
    <x v="2"/>
    <x v="2"/>
    <n v="2"/>
    <n v="1759.47"/>
    <n v="0.1"/>
    <n v="351.89"/>
    <n v="3518.94"/>
    <n v="3167.05"/>
    <n v="122.1"/>
    <n v="1805.45"/>
    <n v="1239.5"/>
    <n v="0.39140000000000003"/>
    <n v="6"/>
    <s v="In Transit"/>
    <s v="No"/>
    <m/>
    <m/>
    <n v="0"/>
    <s v="No"/>
    <s v="Amazon Coupon"/>
    <n v="2754.55"/>
    <n v="1.1497999999999999"/>
    <n v="42"/>
    <s v="In Stock"/>
  </r>
  <r>
    <s v="AMZ26-00149"/>
    <d v="2026-01-10T00:00:00"/>
    <x v="10"/>
    <s v="Q1"/>
    <n v="2026"/>
    <s v="CUST-2808"/>
    <s v="Aditi Sharma"/>
    <s v="Corporate"/>
    <s v="India"/>
    <s v="Haryana"/>
    <s v="Gurugram"/>
    <x v="0"/>
    <s v="Amazon Website"/>
    <s v="Desktop"/>
    <x v="4"/>
    <s v="Kitchen Appliances"/>
    <s v="Mixer Grinder"/>
    <s v="Prestige"/>
    <s v="HOM-KIT-81539"/>
    <s v="FBA"/>
    <x v="4"/>
    <x v="2"/>
    <n v="5"/>
    <n v="284.99"/>
    <n v="0.1"/>
    <n v="142.5"/>
    <n v="1424.95"/>
    <n v="1282.45"/>
    <n v="85.6"/>
    <n v="620.42999999999995"/>
    <n v="576.41999999999996"/>
    <n v="0.44950000000000001"/>
    <n v="6"/>
    <s v="In Transit"/>
    <s v="No"/>
    <m/>
    <m/>
    <n v="0"/>
    <s v="No"/>
    <s v="Prime Deal"/>
    <n v="1258.08"/>
    <n v="1.0194000000000001"/>
    <n v="139"/>
    <s v="In Stock"/>
  </r>
  <r>
    <s v="AMZ26-00150"/>
    <d v="2026-05-02T00:00:00"/>
    <x v="2"/>
    <s v="Q2"/>
    <n v="2026"/>
    <s v="CUST-1200"/>
    <s v="Vivek Das"/>
    <s v="Small Business"/>
    <s v="India"/>
    <s v="Kerala"/>
    <s v="Kochi"/>
    <x v="1"/>
    <s v="Amazon Website"/>
    <s v="Android"/>
    <x v="4"/>
    <s v="Kitchen Appliances"/>
    <s v="Air Fryer"/>
    <s v="Philips"/>
    <s v="HOM-KIT-77958"/>
    <s v="FBM"/>
    <x v="1"/>
    <x v="0"/>
    <n v="3"/>
    <n v="9862.1299999999992"/>
    <n v="0.15"/>
    <n v="4437.96"/>
    <n v="29586.39"/>
    <n v="25148.43"/>
    <n v="17.59"/>
    <n v="13681.8"/>
    <n v="11449.04"/>
    <n v="0.45529999999999998"/>
    <n v="1"/>
    <s v="On Time"/>
    <s v="No"/>
    <m/>
    <n v="4"/>
    <n v="1"/>
    <s v="Yes"/>
    <s v="None"/>
    <n v="25282.23"/>
    <n v="0.99470000000000003"/>
    <n v="201"/>
    <s v="In Stock"/>
  </r>
  <r>
    <s v="AMZ26-00151"/>
    <d v="2026-05-17T00:00:00"/>
    <x v="2"/>
    <s v="Q2"/>
    <n v="2026"/>
    <s v="CUST-2805"/>
    <s v="Ananya Shetty"/>
    <s v="Consumer"/>
    <s v="India"/>
    <s v="Kerala"/>
    <s v="Kochi"/>
    <x v="1"/>
    <s v="Amazon Website"/>
    <s v="Android"/>
    <x v="4"/>
    <s v="Home Decor"/>
    <s v="LED Lamp"/>
    <s v="Wipro"/>
    <s v="HOM-HOM-25701"/>
    <s v="FBM"/>
    <x v="5"/>
    <x v="0"/>
    <n v="4"/>
    <n v="2206.44"/>
    <n v="0.05"/>
    <n v="441.29"/>
    <n v="8825.76"/>
    <n v="8384.4699999999993"/>
    <n v="104.23"/>
    <n v="4237.42"/>
    <n v="4042.82"/>
    <n v="0.48220000000000002"/>
    <n v="4"/>
    <s v="On Time"/>
    <s v="No"/>
    <m/>
    <n v="3"/>
    <n v="3"/>
    <s v="Yes"/>
    <s v="None"/>
    <n v="9644.06"/>
    <n v="0.86939999999999995"/>
    <n v="384"/>
    <s v="In Stock"/>
  </r>
  <r>
    <s v="AMZ26-00152"/>
    <d v="2026-04-23T00:00:00"/>
    <x v="9"/>
    <s v="Q2"/>
    <n v="2026"/>
    <s v="CUST-2781"/>
    <s v="Vivek Nair"/>
    <s v="Consumer"/>
    <s v="India"/>
    <s v="Maharashtra"/>
    <s v="Mumbai"/>
    <x v="3"/>
    <s v="Amazon App"/>
    <s v="Tablet"/>
    <x v="1"/>
    <s v="Mobiles"/>
    <s v="Nord CE"/>
    <s v="OnePlus"/>
    <s v="ELE-MOB-37064"/>
    <s v="FBM"/>
    <x v="4"/>
    <x v="2"/>
    <n v="3"/>
    <n v="6142.89"/>
    <n v="0.15"/>
    <n v="2764.3"/>
    <n v="18428.669999999998"/>
    <n v="15664.37"/>
    <n v="188.43"/>
    <n v="10931.59"/>
    <n v="4544.3500000000004"/>
    <n v="0.29010000000000002"/>
    <n v="8"/>
    <s v="In Transit"/>
    <s v="No"/>
    <m/>
    <m/>
    <n v="0"/>
    <s v="Yes"/>
    <s v="Bank Offer"/>
    <n v="13936.97"/>
    <n v="1.1238999999999999"/>
    <n v="35"/>
    <s v="Low Stock"/>
  </r>
  <r>
    <s v="AMZ26-00153"/>
    <d v="2026-12-26T00:00:00"/>
    <x v="11"/>
    <s v="Q4"/>
    <n v="2026"/>
    <s v="CUST-4412"/>
    <s v="Arjun Singh"/>
    <s v="Consumer"/>
    <s v="India"/>
    <s v="Punjab"/>
    <s v="Ludhiana"/>
    <x v="0"/>
    <s v="Amazon App"/>
    <s v="iOS"/>
    <x v="4"/>
    <s v="Home Decor"/>
    <s v="Wall Clock"/>
    <s v="Ajanta"/>
    <s v="HOM-HOM-23218"/>
    <s v="FBM"/>
    <x v="5"/>
    <x v="0"/>
    <n v="2"/>
    <n v="3443.92"/>
    <n v="0.2"/>
    <n v="1377.57"/>
    <n v="6887.84"/>
    <n v="5510.27"/>
    <n v="2.7"/>
    <n v="4005.99"/>
    <n v="1501.58"/>
    <n v="0.27250000000000002"/>
    <n v="3"/>
    <s v="On Time"/>
    <s v="No"/>
    <m/>
    <n v="3"/>
    <n v="0"/>
    <s v="Yes"/>
    <s v="Prime Deal"/>
    <n v="5136.17"/>
    <n v="1.0728"/>
    <n v="381"/>
    <s v="In Stock"/>
  </r>
  <r>
    <s v="AMZ26-00154"/>
    <d v="2026-08-29T00:00:00"/>
    <x v="4"/>
    <s v="Q3"/>
    <n v="2026"/>
    <s v="CUST-4462"/>
    <s v="Sneha Yadav"/>
    <s v="Corporate"/>
    <s v="India"/>
    <s v="Maharashtra"/>
    <s v="Pune"/>
    <x v="3"/>
    <s v="Amazon Website"/>
    <s v="Android"/>
    <x v="2"/>
    <s v="Makeup"/>
    <s v="Kajal"/>
    <s v="Lakme"/>
    <s v="BEA-MAK-17601"/>
    <s v="FBA"/>
    <x v="0"/>
    <x v="1"/>
    <n v="2"/>
    <n v="2334.89"/>
    <n v="0.25"/>
    <n v="1167.44"/>
    <n v="4669.78"/>
    <n v="3502.34"/>
    <n v="139.32"/>
    <n v="2157.4899999999998"/>
    <n v="1205.53"/>
    <n v="0.34420000000000001"/>
    <n v="0"/>
    <s v="Not Applicable"/>
    <s v="No"/>
    <m/>
    <m/>
    <n v="0"/>
    <s v="Yes"/>
    <s v="None"/>
    <n v="3527.65"/>
    <n v="0.99280000000000002"/>
    <n v="159"/>
    <s v="In Stock"/>
  </r>
  <r>
    <s v="AMZ26-00155"/>
    <d v="2026-09-13T00:00:00"/>
    <x v="1"/>
    <s v="Q3"/>
    <n v="2026"/>
    <s v="CUST-1953"/>
    <s v="Rahul Joshi"/>
    <s v="Small Business"/>
    <s v="India"/>
    <s v="Bihar"/>
    <s v="Patna"/>
    <x v="2"/>
    <s v="Amazon App"/>
    <s v="Android"/>
    <x v="1"/>
    <s v="Accessories"/>
    <s v="Keyboard"/>
    <s v="HP"/>
    <s v="ELE-ACC-44394"/>
    <s v="FBA"/>
    <x v="3"/>
    <x v="0"/>
    <n v="3"/>
    <n v="8819.76"/>
    <n v="0.05"/>
    <n v="1322.96"/>
    <n v="26459.279999999999"/>
    <n v="25136.32"/>
    <n v="126.89"/>
    <n v="19490.060000000001"/>
    <n v="5519.37"/>
    <n v="0.21959999999999999"/>
    <n v="7"/>
    <s v="Delayed"/>
    <s v="No"/>
    <m/>
    <n v="4"/>
    <n v="3"/>
    <s v="Yes"/>
    <s v="Bank Offer"/>
    <n v="25776.82"/>
    <n v="0.97519999999999996"/>
    <n v="393"/>
    <s v="In Stock"/>
  </r>
  <r>
    <s v="AMZ26-00156"/>
    <d v="2026-04-23T00:00:00"/>
    <x v="9"/>
    <s v="Q2"/>
    <n v="2026"/>
    <s v="CUST-1112"/>
    <s v="Nikhil Sharma"/>
    <s v="Small Business"/>
    <s v="India"/>
    <s v="Delhi"/>
    <s v="New Delhi"/>
    <x v="0"/>
    <s v="Amazon Website"/>
    <s v="Android"/>
    <x v="3"/>
    <s v="Staples"/>
    <s v="Atta"/>
    <s v="Aashirvaad"/>
    <s v="GRO-STA-44295"/>
    <s v="FBM"/>
    <x v="4"/>
    <x v="0"/>
    <n v="2"/>
    <n v="1228.46"/>
    <n v="0.15"/>
    <n v="368.54"/>
    <n v="2456.92"/>
    <n v="2088.38"/>
    <n v="71.27"/>
    <n v="1161.96"/>
    <n v="855.15"/>
    <n v="0.40949999999999998"/>
    <n v="4"/>
    <s v="On Time"/>
    <s v="No"/>
    <m/>
    <n v="5"/>
    <n v="2"/>
    <s v="Yes"/>
    <s v="Festival Sale"/>
    <n v="2376.65"/>
    <n v="0.87870000000000004"/>
    <n v="372"/>
    <s v="In Stock"/>
  </r>
  <r>
    <s v="AMZ26-00157"/>
    <d v="2026-11-29T00:00:00"/>
    <x v="6"/>
    <s v="Q4"/>
    <n v="2026"/>
    <s v="CUST-2555"/>
    <s v="Aditya Verma"/>
    <s v="Corporate"/>
    <s v="India"/>
    <s v="Maharashtra"/>
    <s v="Mumbai"/>
    <x v="3"/>
    <s v="Amazon Website"/>
    <s v="Desktop"/>
    <x v="2"/>
    <s v="Skin Care"/>
    <s v="Face Serum"/>
    <s v="Minimalist"/>
    <s v="BEA-SKI-79131"/>
    <s v="FBA"/>
    <x v="0"/>
    <x v="0"/>
    <n v="1"/>
    <n v="1236.96"/>
    <n v="0.1"/>
    <n v="123.7"/>
    <n v="1236.96"/>
    <n v="1113.26"/>
    <n v="97.01"/>
    <n v="839.1"/>
    <n v="177.15"/>
    <n v="0.15909999999999999"/>
    <n v="1"/>
    <s v="On Time"/>
    <s v="No"/>
    <m/>
    <n v="5"/>
    <n v="0"/>
    <s v="Yes"/>
    <s v="Amazon Coupon"/>
    <n v="1258.1300000000001"/>
    <n v="0.88490000000000002"/>
    <n v="158"/>
    <s v="In Stock"/>
  </r>
  <r>
    <s v="AMZ26-00158"/>
    <d v="2026-11-26T00:00:00"/>
    <x v="6"/>
    <s v="Q4"/>
    <n v="2026"/>
    <s v="CUST-3985"/>
    <s v="Arjun Iyer"/>
    <s v="Small Business"/>
    <s v="India"/>
    <s v="Odisha"/>
    <s v="Bhubaneswar"/>
    <x v="2"/>
    <s v="Amazon Website"/>
    <s v="Desktop"/>
    <x v="4"/>
    <s v="Home Decor"/>
    <s v="Curtain Set"/>
    <s v="Home Centre"/>
    <s v="HOM-HOM-28305"/>
    <s v="FBM"/>
    <x v="4"/>
    <x v="0"/>
    <n v="2"/>
    <n v="2890.7"/>
    <n v="0"/>
    <n v="0"/>
    <n v="5781.4"/>
    <n v="5781.4"/>
    <n v="130.46"/>
    <n v="4373.9799999999996"/>
    <n v="1276.96"/>
    <n v="0.22090000000000001"/>
    <n v="2"/>
    <s v="On Time"/>
    <s v="No"/>
    <m/>
    <n v="4"/>
    <n v="2"/>
    <s v="Yes"/>
    <s v="None"/>
    <n v="6003.01"/>
    <n v="0.96309999999999996"/>
    <n v="243"/>
    <s v="In Stock"/>
  </r>
  <r>
    <s v="AMZ26-00159"/>
    <d v="2026-01-18T00:00:00"/>
    <x v="10"/>
    <s v="Q1"/>
    <n v="2026"/>
    <s v="CUST-4597"/>
    <s v="Sneha Shetty"/>
    <s v="Small Business"/>
    <s v="India"/>
    <s v="Maharashtra"/>
    <s v="Pune"/>
    <x v="3"/>
    <s v="Amazon Website"/>
    <s v="Desktop"/>
    <x v="3"/>
    <s v="Staples"/>
    <s v="Atta"/>
    <s v="Aashirvaad"/>
    <s v="GRO-STA-41405"/>
    <s v="FBA"/>
    <x v="0"/>
    <x v="0"/>
    <n v="5"/>
    <n v="1683.99"/>
    <n v="0.2"/>
    <n v="1683.99"/>
    <n v="8419.9500000000007"/>
    <n v="6735.96"/>
    <n v="21.76"/>
    <n v="4281.1400000000003"/>
    <n v="2433.06"/>
    <n v="0.36120000000000002"/>
    <n v="4"/>
    <s v="On Time"/>
    <s v="No"/>
    <m/>
    <n v="4"/>
    <n v="4"/>
    <s v="Yes"/>
    <s v="Prime Deal"/>
    <n v="8319.34"/>
    <n v="0.80969999999999998"/>
    <n v="441"/>
    <s v="In Stock"/>
  </r>
  <r>
    <s v="AMZ26-00160"/>
    <d v="2026-07-11T00:00:00"/>
    <x v="3"/>
    <s v="Q3"/>
    <n v="2026"/>
    <s v="CUST-3425"/>
    <s v="Aditya Gupta"/>
    <s v="Small Business"/>
    <s v="India"/>
    <s v="Gujarat"/>
    <s v="Ahmedabad"/>
    <x v="3"/>
    <s v="Amazon App"/>
    <s v="Android"/>
    <x v="3"/>
    <s v="Snacks"/>
    <s v="Mixed Nuts"/>
    <s v="Happilo"/>
    <s v="GRO-SNA-77994"/>
    <s v="FBA"/>
    <x v="3"/>
    <x v="0"/>
    <n v="3"/>
    <n v="1181.3800000000001"/>
    <n v="0.25"/>
    <n v="886.03"/>
    <n v="3544.14"/>
    <n v="2658.11"/>
    <n v="55.63"/>
    <n v="1719.64"/>
    <n v="882.84"/>
    <n v="0.33210000000000001"/>
    <n v="8"/>
    <s v="Delayed"/>
    <s v="No"/>
    <m/>
    <n v="5"/>
    <n v="4"/>
    <s v="Yes"/>
    <s v="Amazon Coupon"/>
    <n v="2527.79"/>
    <n v="1.0516000000000001"/>
    <n v="143"/>
    <s v="In Stock"/>
  </r>
  <r>
    <s v="AMZ26-00161"/>
    <d v="2026-12-14T00:00:00"/>
    <x v="11"/>
    <s v="Q4"/>
    <n v="2026"/>
    <s v="CUST-2702"/>
    <s v="Rohan Sharma"/>
    <s v="Consumer"/>
    <s v="India"/>
    <s v="Assam"/>
    <s v="Guwahati"/>
    <x v="2"/>
    <s v="Amazon App"/>
    <s v="Tablet"/>
    <x v="1"/>
    <s v="Mobiles"/>
    <s v="Moto G"/>
    <s v="Motorola"/>
    <s v="ELE-MOB-70633"/>
    <s v="FBM"/>
    <x v="0"/>
    <x v="0"/>
    <n v="2"/>
    <n v="28018.240000000002"/>
    <n v="0.15"/>
    <n v="8405.4699999999993"/>
    <n v="56036.480000000003"/>
    <n v="47631.01"/>
    <n v="36.299999999999997"/>
    <n v="28399.48"/>
    <n v="19195.23"/>
    <n v="0.40300000000000002"/>
    <n v="4"/>
    <s v="On Time"/>
    <s v="No"/>
    <m/>
    <n v="4"/>
    <n v="2"/>
    <s v="No"/>
    <s v="Amazon Coupon"/>
    <n v="47542.9"/>
    <n v="1.0019"/>
    <n v="442"/>
    <s v="In Stock"/>
  </r>
  <r>
    <s v="AMZ26-00162"/>
    <d v="2026-08-06T00:00:00"/>
    <x v="4"/>
    <s v="Q3"/>
    <n v="2026"/>
    <s v="CUST-3810"/>
    <s v="Isha Singh"/>
    <s v="Small Business"/>
    <s v="India"/>
    <s v="Karnataka"/>
    <s v="Mysuru"/>
    <x v="1"/>
    <s v="Amazon Website"/>
    <s v="iOS"/>
    <x v="3"/>
    <s v="Snacks"/>
    <s v="Mixed Nuts"/>
    <s v="Happilo"/>
    <s v="GRO-SNA-31628"/>
    <s v="FBM"/>
    <x v="4"/>
    <x v="0"/>
    <n v="3"/>
    <n v="672.63"/>
    <n v="0.2"/>
    <n v="403.58"/>
    <n v="2017.89"/>
    <n v="1614.31"/>
    <n v="28.91"/>
    <n v="1190.23"/>
    <n v="395.17"/>
    <n v="0.24479999999999999"/>
    <n v="5"/>
    <s v="Delayed"/>
    <s v="No"/>
    <m/>
    <n v="5"/>
    <n v="1"/>
    <s v="Yes"/>
    <s v="Bank Offer"/>
    <n v="1702.91"/>
    <n v="0.94799999999999995"/>
    <n v="136"/>
    <s v="In Stock"/>
  </r>
  <r>
    <s v="AMZ26-00163"/>
    <d v="2026-04-07T00:00:00"/>
    <x v="9"/>
    <s v="Q2"/>
    <n v="2026"/>
    <s v="CUST-2975"/>
    <s v="Sneha Joshi"/>
    <s v="Corporate"/>
    <s v="India"/>
    <s v="Assam"/>
    <s v="Guwahati"/>
    <x v="2"/>
    <s v="Amazon Website"/>
    <s v="Tablet"/>
    <x v="0"/>
    <s v="Footwear"/>
    <s v="Running Shoes"/>
    <s v="Adidas"/>
    <s v="FAS-FOO-20539"/>
    <s v="FBM"/>
    <x v="5"/>
    <x v="1"/>
    <n v="2"/>
    <n v="489.8"/>
    <n v="0.05"/>
    <n v="48.98"/>
    <n v="979.6"/>
    <n v="930.62"/>
    <n v="242.77"/>
    <n v="456.27"/>
    <n v="231.58"/>
    <n v="0.24879999999999999"/>
    <n v="0"/>
    <s v="Not Applicable"/>
    <s v="No"/>
    <m/>
    <m/>
    <n v="0"/>
    <s v="No"/>
    <s v="Lightning Deal"/>
    <n v="848.37"/>
    <n v="1.097"/>
    <n v="315"/>
    <s v="In Stock"/>
  </r>
  <r>
    <s v="AMZ26-00164"/>
    <d v="2026-03-27T00:00:00"/>
    <x v="0"/>
    <s v="Q1"/>
    <n v="2026"/>
    <s v="CUST-4955"/>
    <s v="Aarav Yadav"/>
    <s v="Small Business"/>
    <s v="India"/>
    <s v="Karnataka"/>
    <s v="Bengaluru"/>
    <x v="1"/>
    <s v="Amazon App"/>
    <s v="Tablet"/>
    <x v="0"/>
    <s v="Women Clothing"/>
    <s v="Casual Top"/>
    <s v="ONLY"/>
    <s v="FAS-WOM-15598"/>
    <s v="FBA"/>
    <x v="0"/>
    <x v="1"/>
    <n v="5"/>
    <n v="1102"/>
    <n v="0.3"/>
    <n v="1653"/>
    <n v="5510"/>
    <n v="3857"/>
    <n v="62"/>
    <n v="2651.91"/>
    <n v="1143.0899999999999"/>
    <n v="0.2964"/>
    <n v="0"/>
    <s v="Not Applicable"/>
    <s v="No"/>
    <m/>
    <m/>
    <n v="0"/>
    <s v="No"/>
    <s v="Lightning Deal"/>
    <n v="4618.07"/>
    <n v="0.83520000000000005"/>
    <n v="33"/>
    <s v="Low Stock"/>
  </r>
  <r>
    <s v="AMZ26-00165"/>
    <d v="2026-12-12T00:00:00"/>
    <x v="11"/>
    <s v="Q4"/>
    <n v="2026"/>
    <s v="CUST-1970"/>
    <s v="Aarav Patel"/>
    <s v="Corporate"/>
    <s v="India"/>
    <s v="Odisha"/>
    <s v="Bhubaneswar"/>
    <x v="2"/>
    <s v="Amazon Website"/>
    <s v="Desktop"/>
    <x v="4"/>
    <s v="Cookware"/>
    <s v="Nonstick Pan"/>
    <s v="Prestige"/>
    <s v="HOM-COO-74629"/>
    <s v="FBA"/>
    <x v="1"/>
    <x v="0"/>
    <n v="3"/>
    <n v="254.44"/>
    <n v="0.25"/>
    <n v="190.83"/>
    <n v="763.32"/>
    <n v="572.49"/>
    <n v="17"/>
    <n v="366.03"/>
    <n v="189.46"/>
    <n v="0.33090000000000003"/>
    <n v="6"/>
    <s v="Delayed"/>
    <s v="No"/>
    <m/>
    <n v="3"/>
    <n v="3"/>
    <s v="Yes"/>
    <s v="None"/>
    <n v="647.91"/>
    <n v="0.88360000000000005"/>
    <n v="215"/>
    <s v="In Stock"/>
  </r>
  <r>
    <s v="AMZ26-00166"/>
    <d v="2026-07-06T00:00:00"/>
    <x v="3"/>
    <s v="Q3"/>
    <n v="2026"/>
    <s v="CUST-4146"/>
    <s v="Aarav Patel"/>
    <s v="Small Business"/>
    <s v="India"/>
    <s v="Karnataka"/>
    <s v="Mysuru"/>
    <x v="1"/>
    <s v="Amazon Website"/>
    <s v="Tablet"/>
    <x v="4"/>
    <s v="Kitchen Appliances"/>
    <s v="Air Fryer"/>
    <s v="Philips"/>
    <s v="HOM-KIT-17119"/>
    <s v="FBM"/>
    <x v="4"/>
    <x v="0"/>
    <n v="1"/>
    <n v="1198.46"/>
    <n v="0"/>
    <n v="0"/>
    <n v="1198.46"/>
    <n v="1198.46"/>
    <n v="54.41"/>
    <n v="883.33"/>
    <n v="260.72000000000003"/>
    <n v="0.2175"/>
    <n v="5"/>
    <s v="Delayed"/>
    <s v="No"/>
    <m/>
    <n v="4"/>
    <n v="1"/>
    <s v="Yes"/>
    <s v="Festival Sale"/>
    <n v="1252"/>
    <n v="0.95720000000000005"/>
    <n v="198"/>
    <s v="In Stock"/>
  </r>
  <r>
    <s v="AMZ26-00167"/>
    <d v="2026-07-08T00:00:00"/>
    <x v="3"/>
    <s v="Q3"/>
    <n v="2026"/>
    <s v="CUST-4108"/>
    <s v="Rahul Das"/>
    <s v="Corporate"/>
    <s v="India"/>
    <s v="Haryana"/>
    <s v="Gurugram"/>
    <x v="0"/>
    <s v="Amazon App"/>
    <s v="Tablet"/>
    <x v="3"/>
    <s v="Staples"/>
    <s v="Atta"/>
    <s v="Aashirvaad"/>
    <s v="GRO-STA-38221"/>
    <s v="FBA"/>
    <x v="0"/>
    <x v="1"/>
    <n v="1"/>
    <n v="135.53"/>
    <n v="0.2"/>
    <n v="27.11"/>
    <n v="135.53"/>
    <n v="108.42"/>
    <n v="163.9"/>
    <n v="56.89"/>
    <n v="-112.37"/>
    <n v="-1.0364"/>
    <n v="0"/>
    <s v="Not Applicable"/>
    <s v="No"/>
    <m/>
    <m/>
    <n v="0"/>
    <s v="Yes"/>
    <s v="Lightning Deal"/>
    <n v="95.9"/>
    <n v="1.1306"/>
    <n v="76"/>
    <s v="In Stock"/>
  </r>
  <r>
    <s v="AMZ26-00168"/>
    <d v="2026-02-18T00:00:00"/>
    <x v="7"/>
    <s v="Q1"/>
    <n v="2026"/>
    <s v="CUST-1571"/>
    <s v="Vivek Sharma"/>
    <s v="Corporate"/>
    <s v="India"/>
    <s v="Punjab"/>
    <s v="Ludhiana"/>
    <x v="0"/>
    <s v="Amazon Website"/>
    <s v="Android"/>
    <x v="2"/>
    <s v="Makeup"/>
    <s v="Lipstick"/>
    <s v="Maybelline"/>
    <s v="BEA-MAK-88773"/>
    <s v="FBM"/>
    <x v="0"/>
    <x v="0"/>
    <n v="4"/>
    <n v="836.06"/>
    <n v="0.05"/>
    <n v="167.21"/>
    <n v="3344.24"/>
    <n v="3177.03"/>
    <n v="92.03"/>
    <n v="1800.47"/>
    <n v="1284.53"/>
    <n v="0.40429999999999999"/>
    <n v="4"/>
    <s v="On Time"/>
    <s v="No"/>
    <m/>
    <n v="4"/>
    <n v="2"/>
    <s v="Yes"/>
    <s v="None"/>
    <n v="2725.37"/>
    <n v="1.1657"/>
    <n v="1"/>
    <s v="Low Stock"/>
  </r>
  <r>
    <s v="AMZ26-00169"/>
    <d v="2026-04-11T00:00:00"/>
    <x v="9"/>
    <s v="Q2"/>
    <n v="2026"/>
    <s v="CUST-4333"/>
    <s v="Aditya Singh"/>
    <s v="Small Business"/>
    <s v="India"/>
    <s v="Bihar"/>
    <s v="Patna"/>
    <x v="2"/>
    <s v="Amazon Website"/>
    <s v="iOS"/>
    <x v="1"/>
    <s v="Laptops"/>
    <s v="Inspiron Laptop"/>
    <s v="Dell"/>
    <s v="ELE-LAP-44018"/>
    <s v="FBM"/>
    <x v="0"/>
    <x v="0"/>
    <n v="3"/>
    <n v="51276.06"/>
    <n v="0"/>
    <n v="0"/>
    <n v="153828.18"/>
    <n v="153828.18"/>
    <n v="124.77"/>
    <n v="77274.98"/>
    <n v="76428.429999999993"/>
    <n v="0.49680000000000002"/>
    <n v="8"/>
    <s v="Delayed"/>
    <s v="No"/>
    <m/>
    <n v="5"/>
    <n v="4"/>
    <s v="Yes"/>
    <s v="Prime Deal"/>
    <n v="179632.58"/>
    <n v="0.85629999999999995"/>
    <n v="18"/>
    <s v="Low Stock"/>
  </r>
  <r>
    <s v="AMZ26-00170"/>
    <d v="2026-12-05T00:00:00"/>
    <x v="11"/>
    <s v="Q4"/>
    <n v="2026"/>
    <s v="CUST-1585"/>
    <s v="Sneha Gupta"/>
    <s v="Corporate"/>
    <s v="India"/>
    <s v="Bihar"/>
    <s v="Patna"/>
    <x v="2"/>
    <s v="Amazon App"/>
    <s v="Desktop"/>
    <x v="1"/>
    <s v="Laptops"/>
    <s v="IdeaPad"/>
    <s v="Lenovo"/>
    <s v="ELE-LAP-92649"/>
    <s v="FBM"/>
    <x v="2"/>
    <x v="0"/>
    <n v="4"/>
    <n v="873.9"/>
    <n v="0.1"/>
    <n v="349.56"/>
    <n v="3495.6"/>
    <n v="3146.04"/>
    <n v="146.13"/>
    <n v="2445.87"/>
    <n v="554.04"/>
    <n v="0.17610000000000001"/>
    <n v="5"/>
    <s v="Delayed"/>
    <s v="No"/>
    <m/>
    <n v="5"/>
    <n v="4"/>
    <s v="No"/>
    <s v="None"/>
    <n v="3837.31"/>
    <n v="0.81989999999999996"/>
    <n v="456"/>
    <s v="In Stock"/>
  </r>
  <r>
    <s v="AMZ26-00171"/>
    <d v="2026-03-22T00:00:00"/>
    <x v="0"/>
    <s v="Q1"/>
    <n v="2026"/>
    <s v="CUST-4746"/>
    <s v="Rohan Yadav"/>
    <s v="Corporate"/>
    <s v="India"/>
    <s v="Bihar"/>
    <s v="Patna"/>
    <x v="2"/>
    <s v="Amazon Website"/>
    <s v="Desktop"/>
    <x v="4"/>
    <s v="Kitchen Appliances"/>
    <s v="Electric Kettle"/>
    <s v="Pigeon"/>
    <s v="HOM-KIT-99220"/>
    <s v="FBA"/>
    <x v="0"/>
    <x v="0"/>
    <n v="2"/>
    <n v="1297.71"/>
    <n v="0"/>
    <n v="0"/>
    <n v="2595.42"/>
    <n v="2595.42"/>
    <n v="92.66"/>
    <n v="1627.71"/>
    <n v="875.05"/>
    <n v="0.3372"/>
    <n v="1"/>
    <s v="On Time"/>
    <s v="No"/>
    <m/>
    <n v="5"/>
    <n v="4"/>
    <s v="Yes"/>
    <s v="Bank Offer"/>
    <n v="2599.9699999999998"/>
    <n v="0.99819999999999998"/>
    <n v="442"/>
    <s v="In Stock"/>
  </r>
  <r>
    <s v="AMZ26-00172"/>
    <d v="2026-11-17T00:00:00"/>
    <x v="6"/>
    <s v="Q4"/>
    <n v="2026"/>
    <s v="CUST-1107"/>
    <s v="Priya Singh"/>
    <s v="Consumer"/>
    <s v="India"/>
    <s v="Bihar"/>
    <s v="Patna"/>
    <x v="2"/>
    <s v="Amazon App"/>
    <s v="Tablet"/>
    <x v="2"/>
    <s v="Skin Care"/>
    <s v="Moisturizer"/>
    <s v="Cetaphil"/>
    <s v="BEA-SKI-71806"/>
    <s v="FBA"/>
    <x v="3"/>
    <x v="0"/>
    <n v="4"/>
    <n v="891.57"/>
    <n v="0.1"/>
    <n v="356.63"/>
    <n v="3566.28"/>
    <n v="3209.65"/>
    <n v="36.700000000000003"/>
    <n v="2350.79"/>
    <n v="822.16"/>
    <n v="0.25619999999999998"/>
    <n v="6"/>
    <s v="Delayed"/>
    <s v="No"/>
    <m/>
    <n v="5"/>
    <n v="4"/>
    <s v="No"/>
    <s v="Amazon Coupon"/>
    <n v="3712.33"/>
    <n v="0.86460000000000004"/>
    <n v="178"/>
    <s v="In Stock"/>
  </r>
  <r>
    <s v="AMZ26-00173"/>
    <d v="2026-12-28T00:00:00"/>
    <x v="11"/>
    <s v="Q4"/>
    <n v="2026"/>
    <s v="CUST-3736"/>
    <s v="Meera Shetty"/>
    <s v="Corporate"/>
    <s v="India"/>
    <s v="Punjab"/>
    <s v="Ludhiana"/>
    <x v="0"/>
    <s v="Amazon Website"/>
    <s v="Tablet"/>
    <x v="0"/>
    <s v="Women Clothing"/>
    <s v="Printed Kurti"/>
    <s v="BIBA"/>
    <s v="FAS-WOM-68970"/>
    <s v="FBM"/>
    <x v="3"/>
    <x v="0"/>
    <n v="1"/>
    <n v="464.14"/>
    <n v="0.2"/>
    <n v="92.83"/>
    <n v="464.14"/>
    <n v="371.31"/>
    <n v="82.96"/>
    <n v="272.52999999999997"/>
    <n v="15.82"/>
    <n v="4.2599999999999999E-2"/>
    <n v="3"/>
    <s v="On Time"/>
    <s v="No"/>
    <m/>
    <n v="4"/>
    <n v="4"/>
    <s v="Yes"/>
    <s v="Lightning Deal"/>
    <n v="462.19"/>
    <n v="0.8034"/>
    <n v="255"/>
    <s v="In Stock"/>
  </r>
  <r>
    <s v="AMZ26-00174"/>
    <d v="2026-08-23T00:00:00"/>
    <x v="4"/>
    <s v="Q3"/>
    <n v="2026"/>
    <s v="CUST-1633"/>
    <s v="Aditi Shetty"/>
    <s v="Small Business"/>
    <s v="India"/>
    <s v="Maharashtra"/>
    <s v="Pune"/>
    <x v="3"/>
    <s v="Amazon App"/>
    <s v="Desktop"/>
    <x v="4"/>
    <s v="Home Decor"/>
    <s v="Curtain Set"/>
    <s v="Home Centre"/>
    <s v="HOM-HOM-35148"/>
    <s v="FBA"/>
    <x v="2"/>
    <x v="0"/>
    <n v="4"/>
    <n v="563.73"/>
    <n v="0.3"/>
    <n v="676.48"/>
    <n v="2254.92"/>
    <n v="1578.44"/>
    <n v="129.26"/>
    <n v="1166.97"/>
    <n v="282.20999999999998"/>
    <n v="0.17879999999999999"/>
    <n v="2"/>
    <s v="On Time"/>
    <s v="No"/>
    <m/>
    <n v="5"/>
    <n v="2"/>
    <s v="Yes"/>
    <s v="Festival Sale"/>
    <n v="1837.43"/>
    <n v="0.85899999999999999"/>
    <n v="483"/>
    <s v="In Stock"/>
  </r>
  <r>
    <s v="AMZ26-00175"/>
    <d v="2026-10-02T00:00:00"/>
    <x v="8"/>
    <s v="Q4"/>
    <n v="2026"/>
    <s v="CUST-3996"/>
    <s v="Arjun Shetty"/>
    <s v="Small Business"/>
    <s v="India"/>
    <s v="Bihar"/>
    <s v="Patna"/>
    <x v="2"/>
    <s v="Amazon App"/>
    <s v="iOS"/>
    <x v="4"/>
    <s v="Cookware"/>
    <s v="Pressure Cooker"/>
    <s v="Hawkins"/>
    <s v="HOM-COO-21047"/>
    <s v="FBM"/>
    <x v="1"/>
    <x v="0"/>
    <n v="3"/>
    <n v="8588.33"/>
    <n v="0"/>
    <n v="0"/>
    <n v="25764.99"/>
    <n v="25764.99"/>
    <n v="12.64"/>
    <n v="16455.2"/>
    <n v="9297.15"/>
    <n v="0.36080000000000001"/>
    <n v="8"/>
    <s v="Delayed"/>
    <s v="No"/>
    <m/>
    <n v="5"/>
    <n v="4"/>
    <s v="No"/>
    <s v="Amazon Coupon"/>
    <n v="27650.15"/>
    <n v="0.93179999999999996"/>
    <n v="371"/>
    <s v="In Stock"/>
  </r>
  <r>
    <s v="AMZ26-00176"/>
    <d v="2026-02-16T00:00:00"/>
    <x v="7"/>
    <s v="Q1"/>
    <n v="2026"/>
    <s v="CUST-4005"/>
    <s v="Kiran Patel"/>
    <s v="Corporate"/>
    <s v="India"/>
    <s v="Uttar Pradesh"/>
    <s v="Noida"/>
    <x v="0"/>
    <s v="Amazon Website"/>
    <s v="Android"/>
    <x v="1"/>
    <s v="Mobiles"/>
    <s v="Redmi Note"/>
    <s v="Xiaomi"/>
    <s v="ELE-MOB-47061"/>
    <s v="FBA"/>
    <x v="3"/>
    <x v="0"/>
    <n v="1"/>
    <n v="11515.44"/>
    <n v="0.3"/>
    <n v="3454.63"/>
    <n v="11515.44"/>
    <n v="8060.81"/>
    <n v="27.22"/>
    <n v="5160"/>
    <n v="2873.59"/>
    <n v="0.35649999999999998"/>
    <n v="7"/>
    <s v="Delayed"/>
    <s v="No"/>
    <m/>
    <n v="3"/>
    <n v="3"/>
    <s v="Yes"/>
    <s v="Amazon Coupon"/>
    <n v="8236.59"/>
    <n v="0.97870000000000001"/>
    <n v="468"/>
    <s v="In Stock"/>
  </r>
  <r>
    <s v="AMZ26-00177"/>
    <d v="2026-01-24T00:00:00"/>
    <x v="10"/>
    <s v="Q1"/>
    <n v="2026"/>
    <s v="CUST-2945"/>
    <s v="Rohan Das"/>
    <s v="Small Business"/>
    <s v="India"/>
    <s v="Maharashtra"/>
    <s v="Mumbai"/>
    <x v="3"/>
    <s v="Amazon Website"/>
    <s v="Tablet"/>
    <x v="0"/>
    <s v="Men Clothing"/>
    <s v="Cotton Shirt"/>
    <s v="Allen Solly"/>
    <s v="FAS-MEN-26612"/>
    <s v="FBA"/>
    <x v="4"/>
    <x v="0"/>
    <n v="3"/>
    <n v="3302.75"/>
    <n v="0"/>
    <n v="0"/>
    <n v="9908.25"/>
    <n v="9908.25"/>
    <n v="129.41999999999999"/>
    <n v="7683.63"/>
    <n v="2095.1999999999998"/>
    <n v="0.21149999999999999"/>
    <n v="5"/>
    <s v="Delayed"/>
    <s v="Yes"/>
    <s v="Quality Issue"/>
    <n v="3"/>
    <n v="3"/>
    <s v="No"/>
    <s v="Festival Sale"/>
    <n v="10610.29"/>
    <n v="0.93379999999999996"/>
    <n v="495"/>
    <s v="In Stock"/>
  </r>
  <r>
    <s v="AMZ26-00178"/>
    <d v="2026-04-18T00:00:00"/>
    <x v="9"/>
    <s v="Q2"/>
    <n v="2026"/>
    <s v="CUST-2099"/>
    <s v="Nandini Sharma"/>
    <s v="Corporate"/>
    <s v="India"/>
    <s v="Maharashtra"/>
    <s v="Mumbai"/>
    <x v="3"/>
    <s v="Amazon Website"/>
    <s v="Tablet"/>
    <x v="0"/>
    <s v="Men Clothing"/>
    <s v="Slim Jeans"/>
    <s v="Levi's"/>
    <s v="FAS-MEN-93510"/>
    <s v="FBA"/>
    <x v="0"/>
    <x v="0"/>
    <n v="4"/>
    <n v="4455.6499999999996"/>
    <n v="0"/>
    <n v="0"/>
    <n v="17822.599999999999"/>
    <n v="17822.599999999999"/>
    <n v="48.5"/>
    <n v="8620.42"/>
    <n v="9153.68"/>
    <n v="0.51359999999999995"/>
    <n v="8"/>
    <s v="Delayed"/>
    <s v="No"/>
    <m/>
    <n v="4"/>
    <n v="4"/>
    <s v="Yes"/>
    <s v="Festival Sale"/>
    <n v="18772.900000000001"/>
    <n v="0.94940000000000002"/>
    <n v="186"/>
    <s v="In Stock"/>
  </r>
  <r>
    <s v="AMZ26-00179"/>
    <d v="2026-05-09T00:00:00"/>
    <x v="2"/>
    <s v="Q2"/>
    <n v="2026"/>
    <s v="CUST-2931"/>
    <s v="Ananya Sharma"/>
    <s v="Corporate"/>
    <s v="India"/>
    <s v="Kerala"/>
    <s v="Kochi"/>
    <x v="1"/>
    <s v="Amazon Website"/>
    <s v="iOS"/>
    <x v="1"/>
    <s v="Mobiles"/>
    <s v="Redmi Note"/>
    <s v="Xiaomi"/>
    <s v="ELE-MOB-71365"/>
    <s v="FBA"/>
    <x v="2"/>
    <x v="0"/>
    <n v="3"/>
    <n v="26166.98"/>
    <n v="0.3"/>
    <n v="23550.28"/>
    <n v="78500.94"/>
    <n v="54950.66"/>
    <n v="229.85"/>
    <n v="38820.39"/>
    <n v="15900.42"/>
    <n v="0.28939999999999999"/>
    <n v="6"/>
    <s v="Delayed"/>
    <s v="No"/>
    <m/>
    <n v="5"/>
    <n v="0"/>
    <s v="Yes"/>
    <s v="Lightning Deal"/>
    <n v="66707.47"/>
    <n v="0.82379999999999998"/>
    <n v="48"/>
    <s v="In Stock"/>
  </r>
  <r>
    <s v="AMZ26-00180"/>
    <d v="2026-04-14T00:00:00"/>
    <x v="9"/>
    <s v="Q2"/>
    <n v="2026"/>
    <s v="CUST-3868"/>
    <s v="Aarav Patel"/>
    <s v="Small Business"/>
    <s v="India"/>
    <s v="Assam"/>
    <s v="Guwahati"/>
    <x v="2"/>
    <s v="Amazon Website"/>
    <s v="iOS"/>
    <x v="2"/>
    <s v="Hair Care"/>
    <s v="Shampoo"/>
    <s v="Dove"/>
    <s v="BEA-HAI-85756"/>
    <s v="FBM"/>
    <x v="3"/>
    <x v="0"/>
    <n v="2"/>
    <n v="764.96"/>
    <n v="0.25"/>
    <n v="382.48"/>
    <n v="1529.92"/>
    <n v="1147.44"/>
    <n v="120.38"/>
    <n v="741.63"/>
    <n v="285.43"/>
    <n v="0.24879999999999999"/>
    <n v="5"/>
    <s v="Delayed"/>
    <s v="No"/>
    <m/>
    <n v="5"/>
    <n v="0"/>
    <s v="Yes"/>
    <s v="Amazon Coupon"/>
    <n v="1177.8699999999999"/>
    <n v="0.97419999999999995"/>
    <n v="211"/>
    <s v="In Stock"/>
  </r>
  <r>
    <s v="AMZ26-00181"/>
    <d v="2026-08-22T00:00:00"/>
    <x v="4"/>
    <s v="Q3"/>
    <n v="2026"/>
    <s v="CUST-1558"/>
    <s v="Kavya Verma"/>
    <s v="Consumer"/>
    <s v="India"/>
    <s v="Assam"/>
    <s v="Guwahati"/>
    <x v="2"/>
    <s v="Amazon App"/>
    <s v="iOS"/>
    <x v="0"/>
    <s v="Women Clothing"/>
    <s v="Denim Jeans"/>
    <s v="Levi's"/>
    <s v="FAS-WOM-45810"/>
    <s v="FBM"/>
    <x v="5"/>
    <x v="0"/>
    <n v="5"/>
    <n v="2435.69"/>
    <n v="0.2"/>
    <n v="2435.69"/>
    <n v="12178.45"/>
    <n v="9742.76"/>
    <n v="53.9"/>
    <n v="5434.08"/>
    <n v="4254.78"/>
    <n v="0.43669999999999998"/>
    <n v="8"/>
    <s v="Delayed"/>
    <s v="No"/>
    <m/>
    <n v="3"/>
    <n v="4"/>
    <s v="Yes"/>
    <s v="Prime Deal"/>
    <n v="10757.23"/>
    <n v="0.90569999999999995"/>
    <n v="93"/>
    <s v="In Stock"/>
  </r>
  <r>
    <s v="AMZ26-00182"/>
    <d v="2026-01-27T00:00:00"/>
    <x v="10"/>
    <s v="Q1"/>
    <n v="2026"/>
    <s v="CUST-4832"/>
    <s v="Sai Gupta"/>
    <s v="Consumer"/>
    <s v="India"/>
    <s v="Uttar Pradesh"/>
    <s v="Noida"/>
    <x v="0"/>
    <s v="Amazon Website"/>
    <s v="Desktop"/>
    <x v="4"/>
    <s v="Home Decor"/>
    <s v="Wall Clock"/>
    <s v="Ajanta"/>
    <s v="HOM-HOM-15474"/>
    <s v="FBA"/>
    <x v="3"/>
    <x v="1"/>
    <n v="5"/>
    <n v="1121.03"/>
    <n v="0.05"/>
    <n v="280.26"/>
    <n v="5605.15"/>
    <n v="5324.89"/>
    <n v="3.91"/>
    <n v="2577.0100000000002"/>
    <n v="2743.97"/>
    <n v="0.51529999999999998"/>
    <n v="0"/>
    <s v="Not Applicable"/>
    <s v="No"/>
    <m/>
    <m/>
    <n v="0"/>
    <s v="Yes"/>
    <s v="Bank Offer"/>
    <n v="6278.88"/>
    <n v="0.84809999999999997"/>
    <n v="355"/>
    <s v="In Stock"/>
  </r>
  <r>
    <s v="AMZ26-00183"/>
    <d v="2026-03-07T00:00:00"/>
    <x v="0"/>
    <s v="Q1"/>
    <n v="2026"/>
    <s v="CUST-1246"/>
    <s v="Isha Shetty"/>
    <s v="Corporate"/>
    <s v="India"/>
    <s v="Kerala"/>
    <s v="Kochi"/>
    <x v="1"/>
    <s v="Amazon App"/>
    <s v="Tablet"/>
    <x v="3"/>
    <s v="Beverages"/>
    <s v="Coffee"/>
    <s v="Nescafe"/>
    <s v="GRO-BEV-81268"/>
    <s v="FBA"/>
    <x v="2"/>
    <x v="0"/>
    <n v="2"/>
    <n v="120.55"/>
    <n v="0.2"/>
    <n v="48.22"/>
    <n v="241.1"/>
    <n v="192.88"/>
    <n v="37.03"/>
    <n v="115.67"/>
    <n v="40.18"/>
    <n v="0.20830000000000001"/>
    <n v="6"/>
    <s v="Delayed"/>
    <s v="No"/>
    <m/>
    <n v="5"/>
    <n v="1"/>
    <s v="Yes"/>
    <s v="Amazon Coupon"/>
    <n v="172.19"/>
    <n v="1.1202000000000001"/>
    <n v="283"/>
    <s v="In Stock"/>
  </r>
  <r>
    <s v="AMZ26-00184"/>
    <d v="2026-01-19T00:00:00"/>
    <x v="10"/>
    <s v="Q1"/>
    <n v="2026"/>
    <s v="CUST-3692"/>
    <s v="Isha Singh"/>
    <s v="Consumer"/>
    <s v="India"/>
    <s v="West Bengal"/>
    <s v="Kolkata"/>
    <x v="2"/>
    <s v="Amazon Website"/>
    <s v="Tablet"/>
    <x v="2"/>
    <s v="Hair Care"/>
    <s v="Shampoo"/>
    <s v="Dove"/>
    <s v="BEA-HAI-19366"/>
    <s v="FBM"/>
    <x v="2"/>
    <x v="2"/>
    <n v="4"/>
    <n v="1318.94"/>
    <n v="0.05"/>
    <n v="263.79000000000002"/>
    <n v="5275.76"/>
    <n v="5011.97"/>
    <n v="198.37"/>
    <n v="3449.13"/>
    <n v="1364.47"/>
    <n v="0.2722"/>
    <n v="1"/>
    <s v="In Transit"/>
    <s v="No"/>
    <m/>
    <m/>
    <n v="0"/>
    <s v="Yes"/>
    <s v="Prime Deal"/>
    <n v="5108.9799999999996"/>
    <n v="0.98099999999999998"/>
    <n v="254"/>
    <s v="In Stock"/>
  </r>
  <r>
    <s v="AMZ26-00185"/>
    <d v="2026-02-19T00:00:00"/>
    <x v="7"/>
    <s v="Q1"/>
    <n v="2026"/>
    <s v="CUST-4980"/>
    <s v="Pooja Joshi"/>
    <s v="Consumer"/>
    <s v="India"/>
    <s v="Tamil Nadu"/>
    <s v="Chennai"/>
    <x v="1"/>
    <s v="Amazon App"/>
    <s v="Android"/>
    <x v="4"/>
    <s v="Cookware"/>
    <s v="Nonstick Pan"/>
    <s v="Prestige"/>
    <s v="HOM-COO-55087"/>
    <s v="FBM"/>
    <x v="2"/>
    <x v="0"/>
    <n v="2"/>
    <n v="9190.16"/>
    <n v="0.25"/>
    <n v="4595.08"/>
    <n v="18380.32"/>
    <n v="13785.24"/>
    <n v="38.89"/>
    <n v="9616.84"/>
    <n v="4129.51"/>
    <n v="0.29959999999999998"/>
    <n v="7"/>
    <s v="Delayed"/>
    <s v="No"/>
    <m/>
    <n v="4"/>
    <n v="1"/>
    <s v="Yes"/>
    <s v="Prime Deal"/>
    <n v="14701.17"/>
    <n v="0.93769999999999998"/>
    <n v="249"/>
    <s v="In Stock"/>
  </r>
  <r>
    <s v="AMZ26-00186"/>
    <d v="2026-08-30T00:00:00"/>
    <x v="4"/>
    <s v="Q3"/>
    <n v="2026"/>
    <s v="CUST-2817"/>
    <s v="Nikhil Iyer"/>
    <s v="Consumer"/>
    <s v="India"/>
    <s v="Gujarat"/>
    <s v="Ahmedabad"/>
    <x v="3"/>
    <s v="Amazon Website"/>
    <s v="iOS"/>
    <x v="0"/>
    <s v="Men Clothing"/>
    <s v="Casual T-Shirt"/>
    <s v="Puma"/>
    <s v="FAS-MEN-59215"/>
    <s v="FBM"/>
    <x v="0"/>
    <x v="0"/>
    <n v="2"/>
    <n v="363.25"/>
    <n v="0.1"/>
    <n v="72.650000000000006"/>
    <n v="726.5"/>
    <n v="653.85"/>
    <n v="62.96"/>
    <n v="481.96"/>
    <n v="108.93"/>
    <n v="0.1666"/>
    <n v="2"/>
    <s v="On Time"/>
    <s v="No"/>
    <m/>
    <n v="3"/>
    <n v="0"/>
    <s v="Yes"/>
    <s v="None"/>
    <n v="600.37"/>
    <n v="1.0891"/>
    <n v="375"/>
    <s v="In Stock"/>
  </r>
  <r>
    <s v="AMZ26-00187"/>
    <d v="2026-03-16T00:00:00"/>
    <x v="0"/>
    <s v="Q1"/>
    <n v="2026"/>
    <s v="CUST-3213"/>
    <s v="Nandini Das"/>
    <s v="Small Business"/>
    <s v="India"/>
    <s v="Kerala"/>
    <s v="Kochi"/>
    <x v="1"/>
    <s v="Amazon Website"/>
    <s v="Android"/>
    <x v="1"/>
    <s v="Accessories"/>
    <s v="Bluetooth Speaker"/>
    <s v="boAt"/>
    <s v="ELE-ACC-51662"/>
    <s v="FBA"/>
    <x v="3"/>
    <x v="0"/>
    <n v="2"/>
    <n v="38999.040000000001"/>
    <n v="0.05"/>
    <n v="3899.9"/>
    <n v="77998.080000000002"/>
    <n v="74098.179999999993"/>
    <n v="58.13"/>
    <n v="49448.91"/>
    <n v="24591.14"/>
    <n v="0.33189999999999997"/>
    <n v="8"/>
    <s v="Delayed"/>
    <s v="Yes"/>
    <s v="Late Delivery"/>
    <n v="4"/>
    <n v="2"/>
    <s v="No"/>
    <s v="Prime Deal"/>
    <n v="86333.54"/>
    <n v="0.85829999999999995"/>
    <n v="48"/>
    <s v="In Stock"/>
  </r>
  <r>
    <s v="AMZ26-00188"/>
    <d v="2026-05-22T00:00:00"/>
    <x v="2"/>
    <s v="Q2"/>
    <n v="2026"/>
    <s v="CUST-2879"/>
    <s v="Kavya Patel"/>
    <s v="Consumer"/>
    <s v="India"/>
    <s v="Karnataka"/>
    <s v="Bengaluru"/>
    <x v="1"/>
    <s v="Amazon Website"/>
    <s v="Android"/>
    <x v="3"/>
    <s v="Beverages"/>
    <s v="Fruit Juice"/>
    <s v="Real"/>
    <s v="GRO-BEV-47836"/>
    <s v="FBA"/>
    <x v="2"/>
    <x v="2"/>
    <n v="2"/>
    <n v="989.15"/>
    <n v="0.1"/>
    <n v="197.83"/>
    <n v="1978.3"/>
    <n v="1780.47"/>
    <n v="183.59"/>
    <n v="1242.6199999999999"/>
    <n v="354.26"/>
    <n v="0.19900000000000001"/>
    <n v="8"/>
    <s v="In Transit"/>
    <s v="No"/>
    <m/>
    <m/>
    <n v="0"/>
    <s v="Yes"/>
    <s v="Bank Offer"/>
    <n v="2188.19"/>
    <n v="0.81369999999999998"/>
    <n v="222"/>
    <s v="In Stock"/>
  </r>
  <r>
    <s v="AMZ26-00189"/>
    <d v="2026-08-26T00:00:00"/>
    <x v="4"/>
    <s v="Q3"/>
    <n v="2026"/>
    <s v="CUST-4330"/>
    <s v="Vivek Yadav"/>
    <s v="Small Business"/>
    <s v="India"/>
    <s v="Rajasthan"/>
    <s v="Jaipur"/>
    <x v="3"/>
    <s v="Amazon Website"/>
    <s v="iOS"/>
    <x v="3"/>
    <s v="Snacks"/>
    <s v="Mixed Nuts"/>
    <s v="Happilo"/>
    <s v="GRO-SNA-25749"/>
    <s v="FBM"/>
    <x v="0"/>
    <x v="2"/>
    <n v="3"/>
    <n v="779.67"/>
    <n v="0.2"/>
    <n v="467.8"/>
    <n v="2339.0100000000002"/>
    <n v="1871.21"/>
    <n v="108"/>
    <n v="1151.0899999999999"/>
    <n v="612.12"/>
    <n v="0.3271"/>
    <n v="6"/>
    <s v="In Transit"/>
    <s v="No"/>
    <m/>
    <m/>
    <n v="0"/>
    <s v="Yes"/>
    <s v="Bank Offer"/>
    <n v="1707.16"/>
    <n v="1.0961000000000001"/>
    <n v="168"/>
    <s v="In Stock"/>
  </r>
  <r>
    <s v="AMZ26-00190"/>
    <d v="2026-12-03T00:00:00"/>
    <x v="11"/>
    <s v="Q4"/>
    <n v="2026"/>
    <s v="CUST-2889"/>
    <s v="Rohan Rao"/>
    <s v="Consumer"/>
    <s v="India"/>
    <s v="Rajasthan"/>
    <s v="Jaipur"/>
    <x v="3"/>
    <s v="Amazon App"/>
    <s v="Desktop"/>
    <x v="1"/>
    <s v="Mobiles"/>
    <s v="Redmi Note"/>
    <s v="Xiaomi"/>
    <s v="ELE-MOB-66768"/>
    <s v="FBA"/>
    <x v="2"/>
    <x v="0"/>
    <n v="2"/>
    <n v="38476.74"/>
    <n v="0.1"/>
    <n v="7695.35"/>
    <n v="76953.48"/>
    <n v="69258.13"/>
    <n v="45.81"/>
    <n v="52237.07"/>
    <n v="16975.25"/>
    <n v="0.24510000000000001"/>
    <n v="2"/>
    <s v="On Time"/>
    <s v="No"/>
    <m/>
    <n v="4"/>
    <n v="3"/>
    <s v="Yes"/>
    <s v="Bank Offer"/>
    <n v="65855.19"/>
    <n v="1.0517000000000001"/>
    <n v="133"/>
    <s v="In Stock"/>
  </r>
  <r>
    <s v="AMZ26-00191"/>
    <d v="2026-01-07T00:00:00"/>
    <x v="10"/>
    <s v="Q1"/>
    <n v="2026"/>
    <s v="CUST-2933"/>
    <s v="Priya Patel"/>
    <s v="Corporate"/>
    <s v="India"/>
    <s v="Delhi"/>
    <s v="New Delhi"/>
    <x v="0"/>
    <s v="Amazon App"/>
    <s v="Desktop"/>
    <x v="3"/>
    <s v="Snacks"/>
    <s v="Mixed Nuts"/>
    <s v="Happilo"/>
    <s v="GRO-SNA-91410"/>
    <s v="FBM"/>
    <x v="2"/>
    <x v="2"/>
    <n v="3"/>
    <n v="1084.68"/>
    <n v="0.05"/>
    <n v="162.69999999999999"/>
    <n v="3254.04"/>
    <n v="3091.34"/>
    <n v="124.14"/>
    <n v="1783.04"/>
    <n v="1184.1600000000001"/>
    <n v="0.3831"/>
    <n v="2"/>
    <s v="In Transit"/>
    <s v="No"/>
    <m/>
    <m/>
    <n v="0"/>
    <s v="Yes"/>
    <s v="Festival Sale"/>
    <n v="3568.47"/>
    <n v="0.86629999999999996"/>
    <n v="129"/>
    <s v="In Stock"/>
  </r>
  <r>
    <s v="AMZ26-00192"/>
    <d v="2026-10-21T00:00:00"/>
    <x v="8"/>
    <s v="Q4"/>
    <n v="2026"/>
    <s v="CUST-3994"/>
    <s v="Aarav Verma"/>
    <s v="Small Business"/>
    <s v="India"/>
    <s v="Uttar Pradesh"/>
    <s v="Noida"/>
    <x v="0"/>
    <s v="Amazon Website"/>
    <s v="Tablet"/>
    <x v="4"/>
    <s v="Kitchen Appliances"/>
    <s v="Electric Kettle"/>
    <s v="Pigeon"/>
    <s v="HOM-KIT-92741"/>
    <s v="FBA"/>
    <x v="5"/>
    <x v="1"/>
    <n v="2"/>
    <n v="1975.38"/>
    <n v="0"/>
    <n v="0"/>
    <n v="3950.76"/>
    <n v="3950.76"/>
    <n v="214.47"/>
    <n v="2689.77"/>
    <n v="1046.52"/>
    <n v="0.26490000000000002"/>
    <n v="0"/>
    <s v="Not Applicable"/>
    <s v="No"/>
    <m/>
    <m/>
    <n v="0"/>
    <s v="Yes"/>
    <s v="Bank Offer"/>
    <n v="4860.6000000000004"/>
    <n v="0.81279999999999997"/>
    <n v="53"/>
    <s v="In Stock"/>
  </r>
  <r>
    <s v="AMZ26-00193"/>
    <d v="2026-07-06T00:00:00"/>
    <x v="3"/>
    <s v="Q3"/>
    <n v="2026"/>
    <s v="CUST-2352"/>
    <s v="Vivek Iyer"/>
    <s v="Corporate"/>
    <s v="India"/>
    <s v="West Bengal"/>
    <s v="Kolkata"/>
    <x v="2"/>
    <s v="Amazon Website"/>
    <s v="Android"/>
    <x v="4"/>
    <s v="Kitchen Appliances"/>
    <s v="Mixer Grinder"/>
    <s v="Prestige"/>
    <s v="HOM-KIT-24584"/>
    <s v="FBM"/>
    <x v="0"/>
    <x v="0"/>
    <n v="3"/>
    <n v="571.01"/>
    <n v="0"/>
    <n v="0"/>
    <n v="1713.03"/>
    <n v="1713.03"/>
    <n v="64.62"/>
    <n v="1210.6199999999999"/>
    <n v="437.79"/>
    <n v="0.25559999999999999"/>
    <n v="3"/>
    <s v="On Time"/>
    <s v="No"/>
    <m/>
    <n v="5"/>
    <n v="2"/>
    <s v="No"/>
    <s v="Amazon Coupon"/>
    <n v="1632.68"/>
    <n v="1.0491999999999999"/>
    <n v="479"/>
    <s v="In Stock"/>
  </r>
  <r>
    <s v="AMZ26-00194"/>
    <d v="2026-01-28T00:00:00"/>
    <x v="10"/>
    <s v="Q1"/>
    <n v="2026"/>
    <s v="CUST-2859"/>
    <s v="Pooja Verma"/>
    <s v="Consumer"/>
    <s v="India"/>
    <s v="Maharashtra"/>
    <s v="Pune"/>
    <x v="3"/>
    <s v="Amazon App"/>
    <s v="iOS"/>
    <x v="1"/>
    <s v="Accessories"/>
    <s v="Bluetooth Speaker"/>
    <s v="boAt"/>
    <s v="ELE-ACC-24654"/>
    <s v="FBM"/>
    <x v="4"/>
    <x v="0"/>
    <n v="2"/>
    <n v="54231.26"/>
    <n v="0.1"/>
    <n v="10846.25"/>
    <n v="108462.52"/>
    <n v="97616.27"/>
    <n v="44.1"/>
    <n v="67978.039999999994"/>
    <n v="29594.13"/>
    <n v="0.30320000000000003"/>
    <n v="8"/>
    <s v="Delayed"/>
    <s v="No"/>
    <m/>
    <n v="4"/>
    <n v="4"/>
    <s v="Yes"/>
    <s v="Festival Sale"/>
    <n v="102484.53"/>
    <n v="0.95250000000000001"/>
    <n v="122"/>
    <s v="In Stock"/>
  </r>
  <r>
    <s v="AMZ26-00195"/>
    <d v="2026-01-20T00:00:00"/>
    <x v="10"/>
    <s v="Q1"/>
    <n v="2026"/>
    <s v="CUST-2606"/>
    <s v="Pooja Kumar"/>
    <s v="Small Business"/>
    <s v="India"/>
    <s v="Bihar"/>
    <s v="Patna"/>
    <x v="2"/>
    <s v="Amazon App"/>
    <s v="Tablet"/>
    <x v="2"/>
    <s v="Makeup"/>
    <s v="Foundation"/>
    <s v="Lakme"/>
    <s v="BEA-MAK-51641"/>
    <s v="FBM"/>
    <x v="2"/>
    <x v="1"/>
    <n v="3"/>
    <n v="1192.82"/>
    <n v="0.15"/>
    <n v="536.77"/>
    <n v="3578.46"/>
    <n v="3041.69"/>
    <n v="142.06"/>
    <n v="2361"/>
    <n v="538.63"/>
    <n v="0.17710000000000001"/>
    <n v="0"/>
    <s v="Not Applicable"/>
    <s v="No"/>
    <m/>
    <m/>
    <n v="0"/>
    <s v="Yes"/>
    <s v="Bank Offer"/>
    <n v="3206.21"/>
    <n v="0.94869999999999999"/>
    <n v="446"/>
    <s v="In Stock"/>
  </r>
  <r>
    <s v="AMZ26-00196"/>
    <d v="2026-03-31T00:00:00"/>
    <x v="0"/>
    <s v="Q1"/>
    <n v="2026"/>
    <s v="CUST-2254"/>
    <s v="Sai Patel"/>
    <s v="Small Business"/>
    <s v="India"/>
    <s v="Gujarat"/>
    <s v="Ahmedabad"/>
    <x v="3"/>
    <s v="Amazon Website"/>
    <s v="Android"/>
    <x v="2"/>
    <s v="Hair Care"/>
    <s v="Hair Serum"/>
    <s v="L'Oreal"/>
    <s v="BEA-HAI-99087"/>
    <s v="FBM"/>
    <x v="3"/>
    <x v="0"/>
    <n v="4"/>
    <n v="193.29"/>
    <n v="0"/>
    <n v="0"/>
    <n v="773.16"/>
    <n v="773.16"/>
    <n v="223.84"/>
    <n v="397.62"/>
    <n v="151.69999999999999"/>
    <n v="0.19620000000000001"/>
    <n v="4"/>
    <s v="On Time"/>
    <s v="No"/>
    <m/>
    <n v="3"/>
    <n v="2"/>
    <s v="Yes"/>
    <s v="Lightning Deal"/>
    <n v="867.16"/>
    <n v="0.89159999999999995"/>
    <n v="18"/>
    <s v="Low Stock"/>
  </r>
  <r>
    <s v="AMZ26-00197"/>
    <d v="2026-08-21T00:00:00"/>
    <x v="4"/>
    <s v="Q3"/>
    <n v="2026"/>
    <s v="CUST-4154"/>
    <s v="Rohan Shetty"/>
    <s v="Consumer"/>
    <s v="India"/>
    <s v="Tamil Nadu"/>
    <s v="Chennai"/>
    <x v="1"/>
    <s v="Amazon App"/>
    <s v="Desktop"/>
    <x v="0"/>
    <s v="Men Clothing"/>
    <s v="Cotton Shirt"/>
    <s v="Allen Solly"/>
    <s v="FAS-MEN-70983"/>
    <s v="FBA"/>
    <x v="3"/>
    <x v="0"/>
    <n v="2"/>
    <n v="1529.25"/>
    <n v="0.15"/>
    <n v="458.77"/>
    <n v="3058.5"/>
    <n v="2599.73"/>
    <n v="119.23"/>
    <n v="1484.15"/>
    <n v="996.35"/>
    <n v="0.38329999999999997"/>
    <n v="7"/>
    <s v="Delayed"/>
    <s v="No"/>
    <m/>
    <n v="5"/>
    <n v="4"/>
    <s v="No"/>
    <s v="Festival Sale"/>
    <n v="2474.4299999999998"/>
    <n v="1.0506"/>
    <n v="452"/>
    <s v="In Stock"/>
  </r>
  <r>
    <s v="AMZ26-00198"/>
    <d v="2026-02-06T00:00:00"/>
    <x v="7"/>
    <s v="Q1"/>
    <n v="2026"/>
    <s v="CUST-4184"/>
    <s v="Meera Jain"/>
    <s v="Consumer"/>
    <s v="India"/>
    <s v="Delhi"/>
    <s v="New Delhi"/>
    <x v="0"/>
    <s v="Amazon App"/>
    <s v="Android"/>
    <x v="3"/>
    <s v="Beverages"/>
    <s v="Green Tea"/>
    <s v="Tata Tea"/>
    <s v="GRO-BEV-86771"/>
    <s v="FBA"/>
    <x v="3"/>
    <x v="1"/>
    <n v="4"/>
    <n v="127.36"/>
    <n v="0.15"/>
    <n v="76.42"/>
    <n v="509.44"/>
    <n v="433.02"/>
    <n v="162.44999999999999"/>
    <n v="262.74"/>
    <n v="7.83"/>
    <n v="1.8100000000000002E-2"/>
    <n v="0"/>
    <s v="Not Applicable"/>
    <s v="No"/>
    <m/>
    <m/>
    <n v="0"/>
    <s v="Yes"/>
    <s v="Bank Offer"/>
    <n v="430.99"/>
    <n v="1.0046999999999999"/>
    <n v="27"/>
    <s v="Low Stock"/>
  </r>
  <r>
    <s v="AMZ26-00199"/>
    <d v="2026-02-05T00:00:00"/>
    <x v="7"/>
    <s v="Q1"/>
    <n v="2026"/>
    <s v="CUST-2446"/>
    <s v="Nandini Yadav"/>
    <s v="Small Business"/>
    <s v="India"/>
    <s v="Maharashtra"/>
    <s v="Mumbai"/>
    <x v="3"/>
    <s v="Amazon App"/>
    <s v="Android"/>
    <x v="1"/>
    <s v="Mobiles"/>
    <s v="Redmi Note"/>
    <s v="Xiaomi"/>
    <s v="ELE-MOB-14062"/>
    <s v="FBA"/>
    <x v="1"/>
    <x v="0"/>
    <n v="3"/>
    <n v="22139.61"/>
    <n v="0.1"/>
    <n v="6641.88"/>
    <n v="66418.83"/>
    <n v="59776.95"/>
    <n v="75.040000000000006"/>
    <n v="37977.800000000003"/>
    <n v="21724.11"/>
    <n v="0.3634"/>
    <n v="1"/>
    <s v="On Time"/>
    <s v="No"/>
    <m/>
    <n v="4"/>
    <n v="3"/>
    <s v="Yes"/>
    <s v="Prime Deal"/>
    <n v="54669.39"/>
    <n v="1.0933999999999999"/>
    <n v="319"/>
    <s v="In Stock"/>
  </r>
  <r>
    <s v="AMZ26-00200"/>
    <d v="2026-11-27T00:00:00"/>
    <x v="6"/>
    <s v="Q4"/>
    <n v="2026"/>
    <s v="CUST-4522"/>
    <s v="Priya Rao"/>
    <s v="Consumer"/>
    <s v="India"/>
    <s v="Haryana"/>
    <s v="Gurugram"/>
    <x v="0"/>
    <s v="Amazon Website"/>
    <s v="iOS"/>
    <x v="0"/>
    <s v="Footwear"/>
    <s v="Casual Sneakers"/>
    <s v="Puma"/>
    <s v="FAS-FOO-84953"/>
    <s v="FBM"/>
    <x v="0"/>
    <x v="0"/>
    <n v="3"/>
    <n v="1125.8399999999999"/>
    <n v="0.2"/>
    <n v="675.5"/>
    <n v="3377.52"/>
    <n v="2702.02"/>
    <n v="139.93"/>
    <n v="1955.55"/>
    <n v="606.54"/>
    <n v="0.22450000000000001"/>
    <n v="1"/>
    <s v="On Time"/>
    <s v="No"/>
    <m/>
    <n v="5"/>
    <n v="2"/>
    <s v="Yes"/>
    <s v="Amazon Coupon"/>
    <n v="2641"/>
    <n v="1.0230999999999999"/>
    <n v="409"/>
    <s v="In Stock"/>
  </r>
  <r>
    <s v="AMZ26-00201"/>
    <d v="2026-03-26T00:00:00"/>
    <x v="0"/>
    <s v="Q1"/>
    <n v="2026"/>
    <s v="CUST-2769"/>
    <s v="Aditya Reddy"/>
    <s v="Consumer"/>
    <s v="India"/>
    <s v="Tamil Nadu"/>
    <s v="Chennai"/>
    <x v="1"/>
    <s v="Amazon App"/>
    <s v="Android"/>
    <x v="2"/>
    <s v="Hair Care"/>
    <s v="Hair Mask"/>
    <s v="Tresemme"/>
    <s v="BEA-HAI-21715"/>
    <s v="FBM"/>
    <x v="5"/>
    <x v="1"/>
    <n v="3"/>
    <n v="325.70999999999998"/>
    <n v="0.1"/>
    <n v="97.71"/>
    <n v="977.13"/>
    <n v="879.42"/>
    <n v="9.56"/>
    <n v="658.59"/>
    <n v="211.27"/>
    <n v="0.2402"/>
    <n v="0"/>
    <s v="Not Applicable"/>
    <s v="No"/>
    <m/>
    <m/>
    <n v="0"/>
    <s v="Yes"/>
    <s v="Bank Offer"/>
    <n v="958.3"/>
    <n v="0.91769999999999996"/>
    <n v="261"/>
    <s v="In Stock"/>
  </r>
  <r>
    <s v="AMZ26-00202"/>
    <d v="2026-08-04T00:00:00"/>
    <x v="4"/>
    <s v="Q3"/>
    <n v="2026"/>
    <s v="CUST-4817"/>
    <s v="Aditya Rao"/>
    <s v="Corporate"/>
    <s v="India"/>
    <s v="Karnataka"/>
    <s v="Mysuru"/>
    <x v="1"/>
    <s v="Amazon App"/>
    <s v="Desktop"/>
    <x v="3"/>
    <s v="Beverages"/>
    <s v="Fruit Juice"/>
    <s v="Real"/>
    <s v="GRO-BEV-92912"/>
    <s v="FBM"/>
    <x v="5"/>
    <x v="0"/>
    <n v="3"/>
    <n v="1117.76"/>
    <n v="0.1"/>
    <n v="335.33"/>
    <n v="3353.28"/>
    <n v="3017.95"/>
    <n v="221.93"/>
    <n v="1483.45"/>
    <n v="1312.57"/>
    <n v="0.43490000000000001"/>
    <n v="7"/>
    <s v="Delayed"/>
    <s v="No"/>
    <m/>
    <n v="4"/>
    <n v="0"/>
    <s v="No"/>
    <s v="Prime Deal"/>
    <n v="3006.96"/>
    <n v="1.0037"/>
    <n v="43"/>
    <s v="In Stock"/>
  </r>
  <r>
    <s v="AMZ26-00203"/>
    <d v="2026-07-10T00:00:00"/>
    <x v="3"/>
    <s v="Q3"/>
    <n v="2026"/>
    <s v="CUST-1885"/>
    <s v="Nikhil Gupta"/>
    <s v="Small Business"/>
    <s v="India"/>
    <s v="Karnataka"/>
    <s v="Mysuru"/>
    <x v="1"/>
    <s v="Amazon App"/>
    <s v="Desktop"/>
    <x v="4"/>
    <s v="Cookware"/>
    <s v="Cookware Set"/>
    <s v="Pigeon"/>
    <s v="HOM-COO-56320"/>
    <s v="FBA"/>
    <x v="3"/>
    <x v="0"/>
    <n v="2"/>
    <n v="1746.95"/>
    <n v="0.2"/>
    <n v="698.78"/>
    <n v="3493.9"/>
    <n v="2795.12"/>
    <n v="67.55"/>
    <n v="1376.26"/>
    <n v="1351.31"/>
    <n v="0.48349999999999999"/>
    <n v="6"/>
    <s v="Delayed"/>
    <s v="No"/>
    <m/>
    <n v="5"/>
    <n v="3"/>
    <s v="Yes"/>
    <s v="Lightning Deal"/>
    <n v="3239.79"/>
    <n v="0.86270000000000002"/>
    <n v="395"/>
    <s v="In Stock"/>
  </r>
  <r>
    <s v="AMZ26-00204"/>
    <d v="2026-06-13T00:00:00"/>
    <x v="5"/>
    <s v="Q2"/>
    <n v="2026"/>
    <s v="CUST-1737"/>
    <s v="Nandini Kumar"/>
    <s v="Small Business"/>
    <s v="India"/>
    <s v="Haryana"/>
    <s v="Gurugram"/>
    <x v="0"/>
    <s v="Amazon Website"/>
    <s v="iOS"/>
    <x v="4"/>
    <s v="Kitchen Appliances"/>
    <s v="Electric Kettle"/>
    <s v="Pigeon"/>
    <s v="HOM-KIT-70833"/>
    <s v="FBM"/>
    <x v="1"/>
    <x v="0"/>
    <n v="2"/>
    <n v="6437.75"/>
    <n v="0.05"/>
    <n v="643.78"/>
    <n v="12875.5"/>
    <n v="12231.72"/>
    <n v="86.57"/>
    <n v="7618.2"/>
    <n v="4526.95"/>
    <n v="0.37009999999999998"/>
    <n v="5"/>
    <s v="Delayed"/>
    <s v="No"/>
    <m/>
    <n v="3"/>
    <n v="4"/>
    <s v="Yes"/>
    <s v="None"/>
    <n v="10519.3"/>
    <n v="1.1628000000000001"/>
    <n v="429"/>
    <s v="In Stock"/>
  </r>
  <r>
    <s v="AMZ26-00205"/>
    <d v="2026-12-02T00:00:00"/>
    <x v="11"/>
    <s v="Q4"/>
    <n v="2026"/>
    <s v="CUST-1481"/>
    <s v="Kavya Gupta"/>
    <s v="Corporate"/>
    <s v="India"/>
    <s v="Punjab"/>
    <s v="Ludhiana"/>
    <x v="0"/>
    <s v="Amazon Website"/>
    <s v="Android"/>
    <x v="2"/>
    <s v="Hair Care"/>
    <s v="Shampoo"/>
    <s v="Dove"/>
    <s v="BEA-HAI-26862"/>
    <s v="FBM"/>
    <x v="4"/>
    <x v="1"/>
    <n v="1"/>
    <n v="1071.94"/>
    <n v="0.1"/>
    <n v="107.19"/>
    <n v="1071.94"/>
    <n v="964.75"/>
    <n v="167.36"/>
    <n v="702.45"/>
    <n v="94.94"/>
    <n v="9.8400000000000001E-2"/>
    <n v="0"/>
    <s v="Not Applicable"/>
    <s v="No"/>
    <m/>
    <m/>
    <n v="0"/>
    <s v="No"/>
    <s v="None"/>
    <n v="868.82"/>
    <n v="1.1104000000000001"/>
    <n v="321"/>
    <s v="In Stock"/>
  </r>
  <r>
    <s v="AMZ26-00206"/>
    <d v="2026-01-31T00:00:00"/>
    <x v="10"/>
    <s v="Q1"/>
    <n v="2026"/>
    <s v="CUST-2919"/>
    <s v="Rahul Patel"/>
    <s v="Small Business"/>
    <s v="India"/>
    <s v="Gujarat"/>
    <s v="Ahmedabad"/>
    <x v="3"/>
    <s v="Amazon App"/>
    <s v="Desktop"/>
    <x v="0"/>
    <s v="Women Clothing"/>
    <s v="Printed Kurti"/>
    <s v="BIBA"/>
    <s v="FAS-WOM-30160"/>
    <s v="FBA"/>
    <x v="2"/>
    <x v="1"/>
    <n v="3"/>
    <n v="3810.17"/>
    <n v="0.15"/>
    <n v="1714.58"/>
    <n v="11430.51"/>
    <n v="9715.93"/>
    <n v="19.57"/>
    <n v="5298.36"/>
    <n v="4398"/>
    <n v="0.45269999999999999"/>
    <n v="0"/>
    <s v="Not Applicable"/>
    <s v="No"/>
    <m/>
    <m/>
    <n v="0"/>
    <s v="No"/>
    <s v="Bank Offer"/>
    <n v="9539.83"/>
    <n v="1.0185"/>
    <n v="18"/>
    <s v="Low Stock"/>
  </r>
  <r>
    <s v="AMZ26-00207"/>
    <d v="2026-06-12T00:00:00"/>
    <x v="5"/>
    <s v="Q2"/>
    <n v="2026"/>
    <s v="CUST-2570"/>
    <s v="Diya Nair"/>
    <s v="Consumer"/>
    <s v="India"/>
    <s v="Karnataka"/>
    <s v="Mysuru"/>
    <x v="1"/>
    <s v="Amazon App"/>
    <s v="Desktop"/>
    <x v="0"/>
    <s v="Men Clothing"/>
    <s v="Slim Jeans"/>
    <s v="Levi's"/>
    <s v="FAS-MEN-13099"/>
    <s v="FBM"/>
    <x v="3"/>
    <x v="2"/>
    <n v="1"/>
    <n v="375.73"/>
    <n v="0.3"/>
    <n v="112.72"/>
    <n v="375.73"/>
    <n v="263.01"/>
    <n v="173.97"/>
    <n v="201.46"/>
    <n v="-112.42"/>
    <n v="-0.4274"/>
    <n v="1"/>
    <s v="In Transit"/>
    <s v="No"/>
    <m/>
    <m/>
    <n v="0"/>
    <s v="Yes"/>
    <s v="Prime Deal"/>
    <n v="261"/>
    <n v="1.0077"/>
    <n v="126"/>
    <s v="In Stock"/>
  </r>
  <r>
    <s v="AMZ26-00208"/>
    <d v="2026-01-18T00:00:00"/>
    <x v="10"/>
    <s v="Q1"/>
    <n v="2026"/>
    <s v="CUST-1834"/>
    <s v="Aditi Singh"/>
    <s v="Consumer"/>
    <s v="India"/>
    <s v="Odisha"/>
    <s v="Bhubaneswar"/>
    <x v="2"/>
    <s v="Amazon App"/>
    <s v="Tablet"/>
    <x v="4"/>
    <s v="Kitchen Appliances"/>
    <s v="Mixer Grinder"/>
    <s v="Prestige"/>
    <s v="HOM-KIT-44788"/>
    <s v="FBM"/>
    <x v="0"/>
    <x v="2"/>
    <n v="1"/>
    <n v="8652.5300000000007"/>
    <n v="0"/>
    <n v="0"/>
    <n v="8652.5300000000007"/>
    <n v="8652.5300000000007"/>
    <n v="186.02"/>
    <n v="4768.25"/>
    <n v="3698.26"/>
    <n v="0.4274"/>
    <n v="8"/>
    <s v="In Transit"/>
    <s v="No"/>
    <m/>
    <m/>
    <n v="0"/>
    <s v="Yes"/>
    <s v="Festival Sale"/>
    <n v="8143.16"/>
    <n v="1.0626"/>
    <n v="53"/>
    <s v="In Stock"/>
  </r>
  <r>
    <s v="AMZ26-00209"/>
    <d v="2026-03-05T00:00:00"/>
    <x v="0"/>
    <s v="Q1"/>
    <n v="2026"/>
    <s v="CUST-1222"/>
    <s v="Isha Joshi"/>
    <s v="Consumer"/>
    <s v="India"/>
    <s v="West Bengal"/>
    <s v="Kolkata"/>
    <x v="2"/>
    <s v="Amazon App"/>
    <s v="Android"/>
    <x v="3"/>
    <s v="Beverages"/>
    <s v="Fruit Juice"/>
    <s v="Real"/>
    <s v="GRO-BEV-18459"/>
    <s v="FBM"/>
    <x v="4"/>
    <x v="0"/>
    <n v="1"/>
    <n v="1170.51"/>
    <n v="0.3"/>
    <n v="351.15"/>
    <n v="1170.51"/>
    <n v="819.36"/>
    <n v="5.54"/>
    <n v="562.97"/>
    <n v="250.85"/>
    <n v="0.30620000000000003"/>
    <n v="8"/>
    <s v="Delayed"/>
    <s v="No"/>
    <m/>
    <n v="4"/>
    <n v="4"/>
    <s v="Yes"/>
    <s v="Amazon Coupon"/>
    <n v="974.4"/>
    <n v="0.84089999999999998"/>
    <n v="163"/>
    <s v="In Stock"/>
  </r>
  <r>
    <s v="AMZ26-00210"/>
    <d v="2026-07-25T00:00:00"/>
    <x v="3"/>
    <s v="Q3"/>
    <n v="2026"/>
    <s v="CUST-4060"/>
    <s v="Arjun Singh"/>
    <s v="Corporate"/>
    <s v="India"/>
    <s v="Punjab"/>
    <s v="Ludhiana"/>
    <x v="0"/>
    <s v="Amazon Website"/>
    <s v="Android"/>
    <x v="0"/>
    <s v="Footwear"/>
    <s v="Casual Sneakers"/>
    <s v="Puma"/>
    <s v="FAS-FOO-38735"/>
    <s v="FBA"/>
    <x v="5"/>
    <x v="0"/>
    <n v="1"/>
    <n v="2948.63"/>
    <n v="0.1"/>
    <n v="294.86"/>
    <n v="2948.63"/>
    <n v="2653.77"/>
    <n v="228.49"/>
    <n v="1558.03"/>
    <n v="867.25"/>
    <n v="0.32679999999999998"/>
    <n v="5"/>
    <s v="Delayed"/>
    <s v="No"/>
    <m/>
    <n v="4"/>
    <n v="2"/>
    <s v="No"/>
    <s v="Festival Sale"/>
    <n v="2821.65"/>
    <n v="0.9405"/>
    <n v="311"/>
    <s v="In Stock"/>
  </r>
  <r>
    <s v="AMZ26-00211"/>
    <d v="2026-04-12T00:00:00"/>
    <x v="9"/>
    <s v="Q2"/>
    <n v="2026"/>
    <s v="CUST-3406"/>
    <s v="Diya Verma"/>
    <s v="Corporate"/>
    <s v="India"/>
    <s v="Odisha"/>
    <s v="Bhubaneswar"/>
    <x v="2"/>
    <s v="Amazon App"/>
    <s v="Tablet"/>
    <x v="2"/>
    <s v="Makeup"/>
    <s v="Foundation"/>
    <s v="Lakme"/>
    <s v="BEA-MAK-79189"/>
    <s v="FBA"/>
    <x v="0"/>
    <x v="0"/>
    <n v="1"/>
    <n v="155.1"/>
    <n v="0"/>
    <n v="0"/>
    <n v="155.1"/>
    <n v="155.1"/>
    <n v="111.39"/>
    <n v="101.84"/>
    <n v="-58.13"/>
    <n v="-0.37480000000000002"/>
    <n v="8"/>
    <s v="Delayed"/>
    <s v="No"/>
    <m/>
    <n v="5"/>
    <n v="0"/>
    <s v="Yes"/>
    <s v="Bank Offer"/>
    <n v="159.37"/>
    <n v="0.97319999999999995"/>
    <n v="473"/>
    <s v="In Stock"/>
  </r>
  <r>
    <s v="AMZ26-00212"/>
    <d v="2026-02-23T00:00:00"/>
    <x v="7"/>
    <s v="Q1"/>
    <n v="2026"/>
    <s v="CUST-1496"/>
    <s v="Meera Kumar"/>
    <s v="Small Business"/>
    <s v="India"/>
    <s v="Delhi"/>
    <s v="New Delhi"/>
    <x v="0"/>
    <s v="Amazon Website"/>
    <s v="iOS"/>
    <x v="3"/>
    <s v="Snacks"/>
    <s v="Potato Chips"/>
    <s v="Lay's"/>
    <s v="GRO-SNA-10881"/>
    <s v="FBM"/>
    <x v="1"/>
    <x v="0"/>
    <n v="2"/>
    <n v="121.52"/>
    <n v="0.2"/>
    <n v="48.61"/>
    <n v="243.04"/>
    <n v="194.43"/>
    <n v="45.12"/>
    <n v="132.81"/>
    <n v="16.5"/>
    <n v="8.4900000000000003E-2"/>
    <n v="6"/>
    <s v="Delayed"/>
    <s v="No"/>
    <m/>
    <n v="5"/>
    <n v="2"/>
    <s v="Yes"/>
    <s v="Prime Deal"/>
    <n v="219.27"/>
    <n v="0.88670000000000004"/>
    <n v="25"/>
    <s v="Low Stock"/>
  </r>
  <r>
    <s v="AMZ26-00213"/>
    <d v="2026-05-16T00:00:00"/>
    <x v="2"/>
    <s v="Q2"/>
    <n v="2026"/>
    <s v="CUST-1744"/>
    <s v="Pooja Das"/>
    <s v="Consumer"/>
    <s v="India"/>
    <s v="Gujarat"/>
    <s v="Ahmedabad"/>
    <x v="3"/>
    <s v="Amazon Website"/>
    <s v="Tablet"/>
    <x v="1"/>
    <s v="Accessories"/>
    <s v="Wireless Mouse"/>
    <s v="Logitech"/>
    <s v="ELE-ACC-80605"/>
    <s v="FBA"/>
    <x v="4"/>
    <x v="0"/>
    <n v="3"/>
    <n v="23883.66"/>
    <n v="0"/>
    <n v="0"/>
    <n v="71650.98"/>
    <n v="71650.98"/>
    <n v="198.7"/>
    <n v="51869.38"/>
    <n v="19582.900000000001"/>
    <n v="0.27329999999999999"/>
    <n v="4"/>
    <s v="On Time"/>
    <s v="No"/>
    <m/>
    <n v="4"/>
    <n v="3"/>
    <s v="Yes"/>
    <s v="Prime Deal"/>
    <n v="68307.5"/>
    <n v="1.0488999999999999"/>
    <n v="121"/>
    <s v="In Stock"/>
  </r>
  <r>
    <s v="AMZ26-00214"/>
    <d v="2026-04-11T00:00:00"/>
    <x v="9"/>
    <s v="Q2"/>
    <n v="2026"/>
    <s v="CUST-3963"/>
    <s v="Isha Joshi"/>
    <s v="Corporate"/>
    <s v="India"/>
    <s v="Odisha"/>
    <s v="Bhubaneswar"/>
    <x v="2"/>
    <s v="Amazon Website"/>
    <s v="iOS"/>
    <x v="2"/>
    <s v="Hair Care"/>
    <s v="Hair Mask"/>
    <s v="Tresemme"/>
    <s v="BEA-HAI-41044"/>
    <s v="FBM"/>
    <x v="5"/>
    <x v="1"/>
    <n v="1"/>
    <n v="1666.08"/>
    <n v="0.3"/>
    <n v="499.82"/>
    <n v="1666.08"/>
    <n v="1166.26"/>
    <n v="187.75"/>
    <n v="847.14"/>
    <n v="131.37"/>
    <n v="0.11260000000000001"/>
    <n v="0"/>
    <s v="Not Applicable"/>
    <s v="No"/>
    <m/>
    <m/>
    <n v="0"/>
    <s v="Yes"/>
    <s v="Bank Offer"/>
    <n v="1191.24"/>
    <n v="0.97899999999999998"/>
    <n v="349"/>
    <s v="In Stock"/>
  </r>
  <r>
    <s v="AMZ26-00215"/>
    <d v="2026-09-23T00:00:00"/>
    <x v="1"/>
    <s v="Q3"/>
    <n v="2026"/>
    <s v="CUST-3197"/>
    <s v="Diya Iyer"/>
    <s v="Consumer"/>
    <s v="India"/>
    <s v="Assam"/>
    <s v="Guwahati"/>
    <x v="2"/>
    <s v="Amazon App"/>
    <s v="iOS"/>
    <x v="1"/>
    <s v="Accessories"/>
    <s v="Wireless Mouse"/>
    <s v="Logitech"/>
    <s v="ELE-ACC-31616"/>
    <s v="FBM"/>
    <x v="2"/>
    <x v="1"/>
    <n v="1"/>
    <n v="43910.27"/>
    <n v="0.25"/>
    <n v="10977.57"/>
    <n v="43910.27"/>
    <n v="32932.699999999997"/>
    <n v="113.79"/>
    <n v="22157.73"/>
    <n v="10661.18"/>
    <n v="0.32369999999999999"/>
    <n v="0"/>
    <s v="Not Applicable"/>
    <s v="No"/>
    <m/>
    <m/>
    <n v="0"/>
    <s v="No"/>
    <s v="Festival Sale"/>
    <n v="40290.449999999997"/>
    <n v="0.81740000000000002"/>
    <n v="44"/>
    <s v="In Stock"/>
  </r>
  <r>
    <s v="AMZ26-00216"/>
    <d v="2026-07-05T00:00:00"/>
    <x v="3"/>
    <s v="Q3"/>
    <n v="2026"/>
    <s v="CUST-2165"/>
    <s v="Rahul Singh"/>
    <s v="Small Business"/>
    <s v="India"/>
    <s v="Karnataka"/>
    <s v="Bengaluru"/>
    <x v="1"/>
    <s v="Amazon Website"/>
    <s v="Android"/>
    <x v="3"/>
    <s v="Beverages"/>
    <s v="Fruit Juice"/>
    <s v="Real"/>
    <s v="GRO-BEV-95713"/>
    <s v="FBA"/>
    <x v="5"/>
    <x v="2"/>
    <n v="1"/>
    <n v="1673.15"/>
    <n v="0.2"/>
    <n v="334.63"/>
    <n v="1673.15"/>
    <n v="1338.52"/>
    <n v="68.14"/>
    <n v="645.04"/>
    <n v="625.34"/>
    <n v="0.4672"/>
    <n v="6"/>
    <s v="In Transit"/>
    <s v="No"/>
    <m/>
    <m/>
    <n v="0"/>
    <s v="No"/>
    <s v="None"/>
    <n v="1146.32"/>
    <n v="1.1677"/>
    <n v="33"/>
    <s v="Low Stock"/>
  </r>
  <r>
    <s v="AMZ26-00217"/>
    <d v="2026-09-27T00:00:00"/>
    <x v="1"/>
    <s v="Q3"/>
    <n v="2026"/>
    <s v="CUST-2835"/>
    <s v="Ananya Shetty"/>
    <s v="Small Business"/>
    <s v="India"/>
    <s v="Odisha"/>
    <s v="Bhubaneswar"/>
    <x v="2"/>
    <s v="Amazon Website"/>
    <s v="iOS"/>
    <x v="1"/>
    <s v="Mobiles"/>
    <s v="Redmi Note"/>
    <s v="Xiaomi"/>
    <s v="ELE-MOB-82023"/>
    <s v="FBM"/>
    <x v="2"/>
    <x v="0"/>
    <n v="3"/>
    <n v="40752.230000000003"/>
    <n v="0.15"/>
    <n v="18338.5"/>
    <n v="122256.69"/>
    <n v="103918.19"/>
    <n v="36.659999999999997"/>
    <n v="62849.89"/>
    <n v="41031.64"/>
    <n v="0.39479999999999998"/>
    <n v="1"/>
    <s v="On Time"/>
    <s v="No"/>
    <m/>
    <n v="3"/>
    <n v="0"/>
    <s v="Yes"/>
    <s v="Festival Sale"/>
    <n v="96032.82"/>
    <n v="1.0821000000000001"/>
    <n v="172"/>
    <s v="In Stock"/>
  </r>
  <r>
    <s v="AMZ26-00218"/>
    <d v="2026-08-16T00:00:00"/>
    <x v="4"/>
    <s v="Q3"/>
    <n v="2026"/>
    <s v="CUST-3591"/>
    <s v="Nikhil Patel"/>
    <s v="Consumer"/>
    <s v="India"/>
    <s v="Maharashtra"/>
    <s v="Mumbai"/>
    <x v="3"/>
    <s v="Amazon App"/>
    <s v="iOS"/>
    <x v="1"/>
    <s v="Mobiles"/>
    <s v="Nord CE"/>
    <s v="OnePlus"/>
    <s v="ELE-MOB-66731"/>
    <s v="FBA"/>
    <x v="0"/>
    <x v="0"/>
    <n v="2"/>
    <n v="50985.57"/>
    <n v="0"/>
    <n v="0"/>
    <n v="101971.14"/>
    <n v="101971.14"/>
    <n v="148.47999999999999"/>
    <n v="72482.67"/>
    <n v="29339.99"/>
    <n v="0.28770000000000001"/>
    <n v="2"/>
    <s v="On Time"/>
    <s v="No"/>
    <m/>
    <n v="4"/>
    <n v="0"/>
    <s v="Yes"/>
    <s v="Prime Deal"/>
    <n v="99110"/>
    <n v="1.0288999999999999"/>
    <n v="239"/>
    <s v="In Stock"/>
  </r>
  <r>
    <s v="AMZ26-00219"/>
    <d v="2026-12-04T00:00:00"/>
    <x v="11"/>
    <s v="Q4"/>
    <n v="2026"/>
    <s v="CUST-2315"/>
    <s v="Sai Kumar"/>
    <s v="Corporate"/>
    <s v="India"/>
    <s v="Haryana"/>
    <s v="Gurugram"/>
    <x v="0"/>
    <s v="Amazon Website"/>
    <s v="Android"/>
    <x v="2"/>
    <s v="Skin Care"/>
    <s v="Face Serum"/>
    <s v="Minimalist"/>
    <s v="BEA-SKI-26657"/>
    <s v="FBA"/>
    <x v="2"/>
    <x v="0"/>
    <n v="5"/>
    <n v="574.70000000000005"/>
    <n v="0"/>
    <n v="0"/>
    <n v="2873.5"/>
    <n v="2873.5"/>
    <n v="117.95"/>
    <n v="2079.8000000000002"/>
    <n v="675.75"/>
    <n v="0.23519999999999999"/>
    <n v="8"/>
    <s v="Delayed"/>
    <s v="No"/>
    <m/>
    <n v="5"/>
    <n v="0"/>
    <s v="Yes"/>
    <s v="Bank Offer"/>
    <n v="2734.84"/>
    <n v="1.0507"/>
    <n v="197"/>
    <s v="In Stock"/>
  </r>
  <r>
    <s v="AMZ26-00220"/>
    <d v="2026-06-12T00:00:00"/>
    <x v="5"/>
    <s v="Q2"/>
    <n v="2026"/>
    <s v="CUST-1776"/>
    <s v="Diya Kumar"/>
    <s v="Small Business"/>
    <s v="India"/>
    <s v="Uttar Pradesh"/>
    <s v="Noida"/>
    <x v="0"/>
    <s v="Amazon Website"/>
    <s v="Android"/>
    <x v="2"/>
    <s v="Hair Care"/>
    <s v="Hair Serum"/>
    <s v="L'Oreal"/>
    <s v="BEA-HAI-80758"/>
    <s v="FBA"/>
    <x v="4"/>
    <x v="0"/>
    <n v="3"/>
    <n v="1002.86"/>
    <n v="0.2"/>
    <n v="601.72"/>
    <n v="3008.58"/>
    <n v="2406.86"/>
    <n v="191.1"/>
    <n v="1255.83"/>
    <n v="959.93"/>
    <n v="0.39879999999999999"/>
    <n v="7"/>
    <s v="Delayed"/>
    <s v="No"/>
    <m/>
    <n v="5"/>
    <n v="3"/>
    <s v="No"/>
    <s v="Prime Deal"/>
    <n v="2999.72"/>
    <n v="0.8024"/>
    <n v="343"/>
    <s v="In Stock"/>
  </r>
  <r>
    <s v="AMZ26-00221"/>
    <d v="2026-10-24T00:00:00"/>
    <x v="8"/>
    <s v="Q4"/>
    <n v="2026"/>
    <s v="CUST-4056"/>
    <s v="Rohan Verma"/>
    <s v="Small Business"/>
    <s v="India"/>
    <s v="Maharashtra"/>
    <s v="Pune"/>
    <x v="3"/>
    <s v="Amazon App"/>
    <s v="Tablet"/>
    <x v="0"/>
    <s v="Men Clothing"/>
    <s v="Casual T-Shirt"/>
    <s v="Puma"/>
    <s v="FAS-MEN-77303"/>
    <s v="FBA"/>
    <x v="0"/>
    <x v="0"/>
    <n v="1"/>
    <n v="731.1"/>
    <n v="0.05"/>
    <n v="36.549999999999997"/>
    <n v="731.1"/>
    <n v="694.55"/>
    <n v="124.4"/>
    <n v="446.75"/>
    <n v="123.4"/>
    <n v="0.1777"/>
    <n v="4"/>
    <s v="On Time"/>
    <s v="No"/>
    <m/>
    <n v="3"/>
    <n v="1"/>
    <s v="Yes"/>
    <s v="Amazon Coupon"/>
    <n v="820.08"/>
    <n v="0.84689999999999999"/>
    <n v="298"/>
    <s v="In Stock"/>
  </r>
  <r>
    <s v="AMZ26-00222"/>
    <d v="2026-07-03T00:00:00"/>
    <x v="3"/>
    <s v="Q3"/>
    <n v="2026"/>
    <s v="CUST-2404"/>
    <s v="Meera Gupta"/>
    <s v="Corporate"/>
    <s v="India"/>
    <s v="Maharashtra"/>
    <s v="Mumbai"/>
    <x v="3"/>
    <s v="Amazon Website"/>
    <s v="Desktop"/>
    <x v="1"/>
    <s v="Accessories"/>
    <s v="Bluetooth Speaker"/>
    <s v="boAt"/>
    <s v="ELE-ACC-57465"/>
    <s v="FBM"/>
    <x v="0"/>
    <x v="0"/>
    <n v="4"/>
    <n v="808.55"/>
    <n v="0.15"/>
    <n v="485.13"/>
    <n v="3234.2"/>
    <n v="2749.07"/>
    <n v="213.45"/>
    <n v="1351.89"/>
    <n v="1183.73"/>
    <n v="0.43059999999999998"/>
    <n v="2"/>
    <s v="On Time"/>
    <s v="No"/>
    <m/>
    <n v="5"/>
    <n v="1"/>
    <s v="Yes"/>
    <s v="Festival Sale"/>
    <n v="2494"/>
    <n v="1.1023000000000001"/>
    <n v="308"/>
    <s v="In Stock"/>
  </r>
  <r>
    <s v="AMZ26-00223"/>
    <d v="2026-07-26T00:00:00"/>
    <x v="3"/>
    <s v="Q3"/>
    <n v="2026"/>
    <s v="CUST-4453"/>
    <s v="Vihaan Reddy"/>
    <s v="Small Business"/>
    <s v="India"/>
    <s v="Tamil Nadu"/>
    <s v="Chennai"/>
    <x v="1"/>
    <s v="Amazon Website"/>
    <s v="iOS"/>
    <x v="1"/>
    <s v="Mobiles"/>
    <s v="Moto G"/>
    <s v="Motorola"/>
    <s v="ELE-MOB-12341"/>
    <s v="FBM"/>
    <x v="4"/>
    <x v="0"/>
    <n v="5"/>
    <n v="5006.92"/>
    <n v="0.25"/>
    <n v="6258.65"/>
    <n v="25034.6"/>
    <n v="18775.95"/>
    <n v="215.49"/>
    <n v="10284.58"/>
    <n v="8275.8799999999992"/>
    <n v="0.44080000000000003"/>
    <n v="7"/>
    <s v="Delayed"/>
    <s v="No"/>
    <m/>
    <n v="5"/>
    <n v="3"/>
    <s v="Yes"/>
    <s v="Prime Deal"/>
    <n v="17861.07"/>
    <n v="1.0511999999999999"/>
    <n v="482"/>
    <s v="In Stock"/>
  </r>
  <r>
    <s v="AMZ26-00224"/>
    <d v="2026-06-16T00:00:00"/>
    <x v="5"/>
    <s v="Q2"/>
    <n v="2026"/>
    <s v="CUST-2097"/>
    <s v="Isha Verma"/>
    <s v="Consumer"/>
    <s v="India"/>
    <s v="Kerala"/>
    <s v="Kochi"/>
    <x v="1"/>
    <s v="Amazon Website"/>
    <s v="iOS"/>
    <x v="0"/>
    <s v="Footwear"/>
    <s v="Sandals"/>
    <s v="Bata"/>
    <s v="FAS-FOO-27915"/>
    <s v="FBM"/>
    <x v="0"/>
    <x v="0"/>
    <n v="2"/>
    <n v="1362.89"/>
    <n v="0"/>
    <n v="0"/>
    <n v="2725.78"/>
    <n v="2725.78"/>
    <n v="6.79"/>
    <n v="1549.95"/>
    <n v="1169.04"/>
    <n v="0.4289"/>
    <n v="3"/>
    <s v="On Time"/>
    <s v="No"/>
    <m/>
    <n v="3"/>
    <n v="3"/>
    <s v="Yes"/>
    <s v="Lightning Deal"/>
    <n v="3044.67"/>
    <n v="0.89529999999999998"/>
    <n v="226"/>
    <s v="In Stock"/>
  </r>
  <r>
    <s v="AMZ26-00225"/>
    <d v="2026-08-07T00:00:00"/>
    <x v="4"/>
    <s v="Q3"/>
    <n v="2026"/>
    <s v="CUST-2963"/>
    <s v="Diya Nair"/>
    <s v="Small Business"/>
    <s v="India"/>
    <s v="Gujarat"/>
    <s v="Ahmedabad"/>
    <x v="3"/>
    <s v="Amazon App"/>
    <s v="Tablet"/>
    <x v="0"/>
    <s v="Women Clothing"/>
    <s v="Denim Jeans"/>
    <s v="Levi's"/>
    <s v="FAS-WOM-48181"/>
    <s v="FBA"/>
    <x v="2"/>
    <x v="2"/>
    <n v="1"/>
    <n v="463.3"/>
    <n v="0.25"/>
    <n v="115.83"/>
    <n v="463.3"/>
    <n v="347.47"/>
    <n v="116.94"/>
    <n v="169.37"/>
    <n v="61.16"/>
    <n v="0.17599999999999999"/>
    <n v="5"/>
    <s v="In Transit"/>
    <s v="No"/>
    <m/>
    <m/>
    <n v="0"/>
    <s v="No"/>
    <s v="Prime Deal"/>
    <n v="375.68"/>
    <n v="0.92490000000000006"/>
    <n v="165"/>
    <s v="In Stock"/>
  </r>
  <r>
    <s v="AMZ26-00226"/>
    <d v="2026-06-16T00:00:00"/>
    <x v="5"/>
    <s v="Q2"/>
    <n v="2026"/>
    <s v="CUST-1409"/>
    <s v="Priya Reddy"/>
    <s v="Consumer"/>
    <s v="India"/>
    <s v="Uttar Pradesh"/>
    <s v="Noida"/>
    <x v="0"/>
    <s v="Amazon App"/>
    <s v="Tablet"/>
    <x v="0"/>
    <s v="Men Clothing"/>
    <s v="Casual T-Shirt"/>
    <s v="Puma"/>
    <s v="FAS-MEN-16389"/>
    <s v="FBM"/>
    <x v="4"/>
    <x v="0"/>
    <n v="2"/>
    <n v="2050.36"/>
    <n v="0"/>
    <n v="0"/>
    <n v="4100.72"/>
    <n v="4100.72"/>
    <n v="15.19"/>
    <n v="2355.31"/>
    <n v="1730.22"/>
    <n v="0.4219"/>
    <n v="6"/>
    <s v="Delayed"/>
    <s v="No"/>
    <m/>
    <n v="4"/>
    <n v="4"/>
    <s v="Yes"/>
    <s v="Lightning Deal"/>
    <n v="4749.09"/>
    <n v="0.86350000000000005"/>
    <n v="140"/>
    <s v="In Stock"/>
  </r>
  <r>
    <s v="AMZ26-00227"/>
    <d v="2026-05-28T00:00:00"/>
    <x v="2"/>
    <s v="Q2"/>
    <n v="2026"/>
    <s v="CUST-2974"/>
    <s v="Nandini Iyer"/>
    <s v="Small Business"/>
    <s v="India"/>
    <s v="Telangana"/>
    <s v="Hyderabad"/>
    <x v="1"/>
    <s v="Amazon Website"/>
    <s v="iOS"/>
    <x v="2"/>
    <s v="Skin Care"/>
    <s v="Sunscreen"/>
    <s v="Neutrogena"/>
    <s v="BEA-SKI-86998"/>
    <s v="FBA"/>
    <x v="2"/>
    <x v="0"/>
    <n v="5"/>
    <n v="1301.32"/>
    <n v="0"/>
    <n v="0"/>
    <n v="6506.6"/>
    <n v="6506.6"/>
    <n v="43.65"/>
    <n v="3743.57"/>
    <n v="2719.38"/>
    <n v="0.41789999999999999"/>
    <n v="8"/>
    <s v="Delayed"/>
    <s v="No"/>
    <m/>
    <n v="4"/>
    <n v="1"/>
    <s v="Yes"/>
    <s v="Prime Deal"/>
    <n v="6493.61"/>
    <n v="1.002"/>
    <n v="196"/>
    <s v="In Stock"/>
  </r>
  <r>
    <s v="AMZ26-00228"/>
    <d v="2026-01-17T00:00:00"/>
    <x v="10"/>
    <s v="Q1"/>
    <n v="2026"/>
    <s v="CUST-2355"/>
    <s v="Rahul Yadav"/>
    <s v="Consumer"/>
    <s v="India"/>
    <s v="West Bengal"/>
    <s v="Kolkata"/>
    <x v="2"/>
    <s v="Amazon App"/>
    <s v="Tablet"/>
    <x v="0"/>
    <s v="Men Clothing"/>
    <s v="Cotton Shirt"/>
    <s v="Allen Solly"/>
    <s v="FAS-MEN-63766"/>
    <s v="FBM"/>
    <x v="2"/>
    <x v="2"/>
    <n v="4"/>
    <n v="1379.63"/>
    <n v="0"/>
    <n v="0"/>
    <n v="5518.52"/>
    <n v="5518.52"/>
    <n v="112.14"/>
    <n v="2962.57"/>
    <n v="2443.81"/>
    <n v="0.44280000000000003"/>
    <n v="4"/>
    <s v="In Transit"/>
    <s v="No"/>
    <m/>
    <m/>
    <n v="0"/>
    <s v="Yes"/>
    <s v="Festival Sale"/>
    <n v="6380.39"/>
    <n v="0.8649"/>
    <n v="32"/>
    <s v="Low Stock"/>
  </r>
  <r>
    <s v="AMZ26-00229"/>
    <d v="2026-07-09T00:00:00"/>
    <x v="3"/>
    <s v="Q3"/>
    <n v="2026"/>
    <s v="CUST-2760"/>
    <s v="Rahul Yadav"/>
    <s v="Small Business"/>
    <s v="India"/>
    <s v="Kerala"/>
    <s v="Kochi"/>
    <x v="1"/>
    <s v="Amazon App"/>
    <s v="Tablet"/>
    <x v="4"/>
    <s v="Kitchen Appliances"/>
    <s v="Electric Kettle"/>
    <s v="Pigeon"/>
    <s v="HOM-KIT-60535"/>
    <s v="FBA"/>
    <x v="0"/>
    <x v="0"/>
    <n v="2"/>
    <n v="3407.85"/>
    <n v="0"/>
    <n v="0"/>
    <n v="6815.7"/>
    <n v="6815.7"/>
    <n v="89.54"/>
    <n v="4378.66"/>
    <n v="2347.5"/>
    <n v="0.34439999999999998"/>
    <n v="7"/>
    <s v="Delayed"/>
    <s v="No"/>
    <m/>
    <n v="4"/>
    <n v="3"/>
    <s v="No"/>
    <s v="Festival Sale"/>
    <n v="6890.51"/>
    <n v="0.98909999999999998"/>
    <n v="400"/>
    <s v="In Stock"/>
  </r>
  <r>
    <s v="AMZ26-00230"/>
    <d v="2026-05-29T00:00:00"/>
    <x v="2"/>
    <s v="Q2"/>
    <n v="2026"/>
    <s v="CUST-4469"/>
    <s v="Vivek Verma"/>
    <s v="Consumer"/>
    <s v="India"/>
    <s v="Kerala"/>
    <s v="Kochi"/>
    <x v="1"/>
    <s v="Amazon Website"/>
    <s v="Desktop"/>
    <x v="0"/>
    <s v="Women Clothing"/>
    <s v="Printed Kurti"/>
    <s v="BIBA"/>
    <s v="FAS-WOM-57172"/>
    <s v="FBM"/>
    <x v="0"/>
    <x v="0"/>
    <n v="5"/>
    <n v="445.77"/>
    <n v="0.3"/>
    <n v="668.65"/>
    <n v="2228.85"/>
    <n v="1560.2"/>
    <n v="159.04"/>
    <n v="1044.22"/>
    <n v="356.94"/>
    <n v="0.2288"/>
    <n v="7"/>
    <s v="Delayed"/>
    <s v="No"/>
    <m/>
    <n v="4"/>
    <n v="1"/>
    <s v="Yes"/>
    <s v="Bank Offer"/>
    <n v="1801.36"/>
    <n v="0.86609999999999998"/>
    <n v="227"/>
    <s v="In Stock"/>
  </r>
  <r>
    <s v="AMZ26-00231"/>
    <d v="2026-08-01T00:00:00"/>
    <x v="4"/>
    <s v="Q3"/>
    <n v="2026"/>
    <s v="CUST-1609"/>
    <s v="Rohan Rao"/>
    <s v="Consumer"/>
    <s v="India"/>
    <s v="Punjab"/>
    <s v="Ludhiana"/>
    <x v="0"/>
    <s v="Amazon App"/>
    <s v="Android"/>
    <x v="3"/>
    <s v="Staples"/>
    <s v="Basmati Rice"/>
    <s v="India Gate"/>
    <s v="GRO-STA-79205"/>
    <s v="FBM"/>
    <x v="3"/>
    <x v="0"/>
    <n v="2"/>
    <n v="1109.31"/>
    <n v="0.2"/>
    <n v="443.72"/>
    <n v="2218.62"/>
    <n v="1774.9"/>
    <n v="36.24"/>
    <n v="1034.07"/>
    <n v="704.59"/>
    <n v="0.39700000000000002"/>
    <n v="6"/>
    <s v="Delayed"/>
    <s v="No"/>
    <m/>
    <n v="4"/>
    <n v="1"/>
    <s v="Yes"/>
    <s v="Bank Offer"/>
    <n v="1593.2"/>
    <n v="1.1140000000000001"/>
    <n v="168"/>
    <s v="In Stock"/>
  </r>
  <r>
    <s v="AMZ26-00232"/>
    <d v="2026-08-25T00:00:00"/>
    <x v="4"/>
    <s v="Q3"/>
    <n v="2026"/>
    <s v="CUST-1043"/>
    <s v="Sneha Patel"/>
    <s v="Corporate"/>
    <s v="India"/>
    <s v="Punjab"/>
    <s v="Ludhiana"/>
    <x v="0"/>
    <s v="Amazon App"/>
    <s v="iOS"/>
    <x v="0"/>
    <s v="Footwear"/>
    <s v="Running Shoes"/>
    <s v="Adidas"/>
    <s v="FAS-FOO-14016"/>
    <s v="FBM"/>
    <x v="2"/>
    <x v="1"/>
    <n v="2"/>
    <n v="354.4"/>
    <n v="0.15"/>
    <n v="106.32"/>
    <n v="708.8"/>
    <n v="602.48"/>
    <n v="197.34"/>
    <n v="354.08"/>
    <n v="51.06"/>
    <n v="8.4699999999999998E-2"/>
    <n v="0"/>
    <s v="Not Applicable"/>
    <s v="No"/>
    <m/>
    <m/>
    <n v="0"/>
    <s v="Yes"/>
    <s v="None"/>
    <n v="733.45"/>
    <n v="0.82140000000000002"/>
    <n v="68"/>
    <s v="In Stock"/>
  </r>
  <r>
    <s v="AMZ26-00233"/>
    <d v="2026-08-19T00:00:00"/>
    <x v="4"/>
    <s v="Q3"/>
    <n v="2026"/>
    <s v="CUST-3049"/>
    <s v="Nandini Jain"/>
    <s v="Corporate"/>
    <s v="India"/>
    <s v="Gujarat"/>
    <s v="Ahmedabad"/>
    <x v="3"/>
    <s v="Amazon App"/>
    <s v="Android"/>
    <x v="2"/>
    <s v="Hair Care"/>
    <s v="Hair Serum"/>
    <s v="L'Oreal"/>
    <s v="BEA-HAI-44072"/>
    <s v="FBM"/>
    <x v="1"/>
    <x v="0"/>
    <n v="3"/>
    <n v="553.42999999999995"/>
    <n v="0.25"/>
    <n v="415.07"/>
    <n v="1660.29"/>
    <n v="1245.22"/>
    <n v="41.6"/>
    <n v="845.37"/>
    <n v="358.25"/>
    <n v="0.28770000000000001"/>
    <n v="4"/>
    <s v="On Time"/>
    <s v="No"/>
    <m/>
    <n v="5"/>
    <n v="0"/>
    <s v="Yes"/>
    <s v="None"/>
    <n v="1139.3800000000001"/>
    <n v="1.0929"/>
    <n v="0"/>
    <s v="Out of Stock"/>
  </r>
  <r>
    <s v="AMZ26-00234"/>
    <d v="2026-10-24T00:00:00"/>
    <x v="8"/>
    <s v="Q4"/>
    <n v="2026"/>
    <s v="CUST-1439"/>
    <s v="Kiran Gupta"/>
    <s v="Small Business"/>
    <s v="India"/>
    <s v="West Bengal"/>
    <s v="Kolkata"/>
    <x v="2"/>
    <s v="Amazon App"/>
    <s v="Tablet"/>
    <x v="2"/>
    <s v="Makeup"/>
    <s v="Foundation"/>
    <s v="Lakme"/>
    <s v="BEA-MAK-27798"/>
    <s v="FBA"/>
    <x v="3"/>
    <x v="0"/>
    <n v="1"/>
    <n v="698.26"/>
    <n v="0.2"/>
    <n v="139.65"/>
    <n v="698.26"/>
    <n v="558.61"/>
    <n v="103.78"/>
    <n v="379.17"/>
    <n v="75.66"/>
    <n v="0.13539999999999999"/>
    <n v="7"/>
    <s v="Delayed"/>
    <s v="No"/>
    <m/>
    <n v="5"/>
    <n v="2"/>
    <s v="No"/>
    <s v="Bank Offer"/>
    <n v="490.64"/>
    <n v="1.1385000000000001"/>
    <n v="419"/>
    <s v="In Stock"/>
  </r>
  <r>
    <s v="AMZ26-00235"/>
    <d v="2026-01-07T00:00:00"/>
    <x v="10"/>
    <s v="Q1"/>
    <n v="2026"/>
    <s v="CUST-2517"/>
    <s v="Vihaan Kumar"/>
    <s v="Corporate"/>
    <s v="India"/>
    <s v="Bihar"/>
    <s v="Patna"/>
    <x v="2"/>
    <s v="Amazon Website"/>
    <s v="Tablet"/>
    <x v="0"/>
    <s v="Footwear"/>
    <s v="Casual Sneakers"/>
    <s v="Puma"/>
    <s v="FAS-FOO-74511"/>
    <s v="FBA"/>
    <x v="3"/>
    <x v="0"/>
    <n v="2"/>
    <n v="1083.29"/>
    <n v="0.25"/>
    <n v="541.64"/>
    <n v="2166.58"/>
    <n v="1624.94"/>
    <n v="246.96"/>
    <n v="1255.6199999999999"/>
    <n v="122.36"/>
    <n v="7.5300000000000006E-2"/>
    <n v="4"/>
    <s v="On Time"/>
    <s v="No"/>
    <m/>
    <n v="5"/>
    <n v="1"/>
    <s v="Yes"/>
    <s v="None"/>
    <n v="1861.78"/>
    <n v="0.87280000000000002"/>
    <n v="79"/>
    <s v="In Stock"/>
  </r>
  <r>
    <s v="AMZ26-00236"/>
    <d v="2026-07-04T00:00:00"/>
    <x v="3"/>
    <s v="Q3"/>
    <n v="2026"/>
    <s v="CUST-1944"/>
    <s v="Aditya Kumar"/>
    <s v="Small Business"/>
    <s v="India"/>
    <s v="Odisha"/>
    <s v="Bhubaneswar"/>
    <x v="2"/>
    <s v="Amazon Website"/>
    <s v="Desktop"/>
    <x v="4"/>
    <s v="Home Decor"/>
    <s v="LED Lamp"/>
    <s v="Wipro"/>
    <s v="HOM-HOM-87439"/>
    <s v="FBA"/>
    <x v="0"/>
    <x v="2"/>
    <n v="3"/>
    <n v="424.14"/>
    <n v="0.2"/>
    <n v="254.48"/>
    <n v="1272.42"/>
    <n v="1017.94"/>
    <n v="150.13999999999999"/>
    <n v="593.12"/>
    <n v="274.68"/>
    <n v="0.26979999999999998"/>
    <n v="8"/>
    <s v="In Transit"/>
    <s v="No"/>
    <m/>
    <m/>
    <n v="0"/>
    <s v="Yes"/>
    <s v="Lightning Deal"/>
    <n v="984.18"/>
    <n v="1.0343"/>
    <n v="88"/>
    <s v="In Stock"/>
  </r>
  <r>
    <s v="AMZ26-00237"/>
    <d v="2026-07-01T00:00:00"/>
    <x v="3"/>
    <s v="Q3"/>
    <n v="2026"/>
    <s v="CUST-4236"/>
    <s v="Rahul Jain"/>
    <s v="Consumer"/>
    <s v="India"/>
    <s v="Uttar Pradesh"/>
    <s v="Noida"/>
    <x v="0"/>
    <s v="Amazon Website"/>
    <s v="iOS"/>
    <x v="2"/>
    <s v="Makeup"/>
    <s v="Foundation"/>
    <s v="Lakme"/>
    <s v="BEA-MAK-64878"/>
    <s v="FBM"/>
    <x v="4"/>
    <x v="0"/>
    <n v="1"/>
    <n v="700.69"/>
    <n v="0"/>
    <n v="0"/>
    <n v="700.69"/>
    <n v="700.69"/>
    <n v="165.99"/>
    <n v="427.25"/>
    <n v="107.45"/>
    <n v="0.15329999999999999"/>
    <n v="6"/>
    <s v="Delayed"/>
    <s v="No"/>
    <m/>
    <n v="4"/>
    <n v="4"/>
    <s v="Yes"/>
    <s v="Lightning Deal"/>
    <n v="694.64"/>
    <n v="1.0086999999999999"/>
    <n v="287"/>
    <s v="In Stock"/>
  </r>
  <r>
    <s v="AMZ26-00238"/>
    <d v="2026-01-16T00:00:00"/>
    <x v="10"/>
    <s v="Q1"/>
    <n v="2026"/>
    <s v="CUST-1201"/>
    <s v="Kavya Patel"/>
    <s v="Consumer"/>
    <s v="India"/>
    <s v="Gujarat"/>
    <s v="Ahmedabad"/>
    <x v="3"/>
    <s v="Amazon Website"/>
    <s v="Desktop"/>
    <x v="1"/>
    <s v="Mobiles"/>
    <s v="Moto G"/>
    <s v="Motorola"/>
    <s v="ELE-MOB-88662"/>
    <s v="FBA"/>
    <x v="5"/>
    <x v="0"/>
    <n v="3"/>
    <n v="30675.47"/>
    <n v="0.2"/>
    <n v="18405.28"/>
    <n v="92026.41"/>
    <n v="73621.13"/>
    <n v="203.92"/>
    <n v="39704.120000000003"/>
    <n v="33713.089999999997"/>
    <n v="0.45789999999999997"/>
    <n v="7"/>
    <s v="Delayed"/>
    <s v="No"/>
    <m/>
    <n v="5"/>
    <n v="0"/>
    <s v="Yes"/>
    <s v="Lightning Deal"/>
    <n v="91952.21"/>
    <n v="0.80059999999999998"/>
    <n v="450"/>
    <s v="In Stock"/>
  </r>
  <r>
    <s v="AMZ26-00239"/>
    <d v="2026-09-02T00:00:00"/>
    <x v="1"/>
    <s v="Q3"/>
    <n v="2026"/>
    <s v="CUST-3637"/>
    <s v="Aditya Iyer"/>
    <s v="Corporate"/>
    <s v="India"/>
    <s v="Odisha"/>
    <s v="Bhubaneswar"/>
    <x v="2"/>
    <s v="Amazon App"/>
    <s v="Android"/>
    <x v="3"/>
    <s v="Beverages"/>
    <s v="Green Tea"/>
    <s v="Tata Tea"/>
    <s v="GRO-BEV-69118"/>
    <s v="FBA"/>
    <x v="3"/>
    <x v="0"/>
    <n v="3"/>
    <n v="320.41000000000003"/>
    <n v="0.2"/>
    <n v="192.25"/>
    <n v="961.23"/>
    <n v="768.98"/>
    <n v="182.76"/>
    <n v="592.64"/>
    <n v="-6.42"/>
    <n v="-8.3000000000000001E-3"/>
    <n v="7"/>
    <s v="Delayed"/>
    <s v="No"/>
    <m/>
    <n v="3"/>
    <n v="2"/>
    <s v="Yes"/>
    <s v="Amazon Coupon"/>
    <n v="721.53"/>
    <n v="1.0658000000000001"/>
    <n v="496"/>
    <s v="In Stock"/>
  </r>
  <r>
    <s v="AMZ26-00240"/>
    <d v="2026-03-19T00:00:00"/>
    <x v="0"/>
    <s v="Q1"/>
    <n v="2026"/>
    <s v="CUST-1761"/>
    <s v="Meera Das"/>
    <s v="Corporate"/>
    <s v="India"/>
    <s v="Odisha"/>
    <s v="Bhubaneswar"/>
    <x v="2"/>
    <s v="Amazon App"/>
    <s v="Desktop"/>
    <x v="3"/>
    <s v="Staples"/>
    <s v="Atta"/>
    <s v="Aashirvaad"/>
    <s v="GRO-STA-65023"/>
    <s v="FBA"/>
    <x v="4"/>
    <x v="0"/>
    <n v="5"/>
    <n v="714.79"/>
    <n v="0"/>
    <n v="0"/>
    <n v="3573.95"/>
    <n v="3573.95"/>
    <n v="121.33"/>
    <n v="2408.7399999999998"/>
    <n v="1043.8800000000001"/>
    <n v="0.29210000000000003"/>
    <n v="8"/>
    <s v="Delayed"/>
    <s v="No"/>
    <m/>
    <n v="5"/>
    <n v="2"/>
    <s v="Yes"/>
    <s v="Lightning Deal"/>
    <n v="4167.33"/>
    <n v="0.85760000000000003"/>
    <n v="257"/>
    <s v="In Stock"/>
  </r>
  <r>
    <s v="AMZ26-00241"/>
    <d v="2026-07-05T00:00:00"/>
    <x v="3"/>
    <s v="Q3"/>
    <n v="2026"/>
    <s v="CUST-3956"/>
    <s v="Rohan Reddy"/>
    <s v="Consumer"/>
    <s v="India"/>
    <s v="Rajasthan"/>
    <s v="Jaipur"/>
    <x v="3"/>
    <s v="Amazon App"/>
    <s v="iOS"/>
    <x v="2"/>
    <s v="Hair Care"/>
    <s v="Hair Mask"/>
    <s v="Tresemme"/>
    <s v="BEA-HAI-96775"/>
    <s v="FBA"/>
    <x v="2"/>
    <x v="0"/>
    <n v="3"/>
    <n v="152.27000000000001"/>
    <n v="0.05"/>
    <n v="22.84"/>
    <n v="456.81"/>
    <n v="433.97"/>
    <n v="43.43"/>
    <n v="317.22000000000003"/>
    <n v="73.319999999999993"/>
    <n v="0.16900000000000001"/>
    <n v="4"/>
    <s v="On Time"/>
    <s v="No"/>
    <m/>
    <n v="5"/>
    <n v="1"/>
    <s v="Yes"/>
    <s v="Festival Sale"/>
    <n v="409.13"/>
    <n v="1.0607"/>
    <n v="312"/>
    <s v="In Stock"/>
  </r>
  <r>
    <s v="AMZ26-00242"/>
    <d v="2026-04-09T00:00:00"/>
    <x v="9"/>
    <s v="Q2"/>
    <n v="2026"/>
    <s v="CUST-1789"/>
    <s v="Priya Reddy"/>
    <s v="Consumer"/>
    <s v="India"/>
    <s v="Maharashtra"/>
    <s v="Pune"/>
    <x v="3"/>
    <s v="Amazon Website"/>
    <s v="Android"/>
    <x v="2"/>
    <s v="Skin Care"/>
    <s v="Sunscreen"/>
    <s v="Neutrogena"/>
    <s v="BEA-SKI-40280"/>
    <s v="FBM"/>
    <x v="4"/>
    <x v="0"/>
    <n v="4"/>
    <n v="1116.98"/>
    <n v="0.05"/>
    <n v="223.4"/>
    <n v="4467.92"/>
    <n v="4244.5200000000004"/>
    <n v="37.619999999999997"/>
    <n v="2468.7600000000002"/>
    <n v="1738.14"/>
    <n v="0.40949999999999998"/>
    <n v="4"/>
    <s v="On Time"/>
    <s v="No"/>
    <m/>
    <n v="4"/>
    <n v="1"/>
    <s v="Yes"/>
    <s v="None"/>
    <n v="5082.68"/>
    <n v="0.83509999999999995"/>
    <n v="497"/>
    <s v="In Stock"/>
  </r>
  <r>
    <s v="AMZ26-00243"/>
    <d v="2026-06-02T00:00:00"/>
    <x v="5"/>
    <s v="Q2"/>
    <n v="2026"/>
    <s v="CUST-4612"/>
    <s v="Kiran Verma"/>
    <s v="Consumer"/>
    <s v="India"/>
    <s v="Maharashtra"/>
    <s v="Pune"/>
    <x v="3"/>
    <s v="Amazon Website"/>
    <s v="iOS"/>
    <x v="0"/>
    <s v="Women Clothing"/>
    <s v="Denim Jeans"/>
    <s v="Levi's"/>
    <s v="FAS-WOM-97795"/>
    <s v="FBA"/>
    <x v="3"/>
    <x v="0"/>
    <n v="1"/>
    <n v="1288.73"/>
    <n v="0.25"/>
    <n v="322.18"/>
    <n v="1288.73"/>
    <n v="966.55"/>
    <n v="103.19"/>
    <n v="734.43"/>
    <n v="128.93"/>
    <n v="0.13339999999999999"/>
    <n v="1"/>
    <s v="On Time"/>
    <s v="No"/>
    <m/>
    <n v="5"/>
    <n v="3"/>
    <s v="No"/>
    <s v="None"/>
    <n v="1012.53"/>
    <n v="0.9546"/>
    <n v="152"/>
    <s v="In Stock"/>
  </r>
  <r>
    <s v="AMZ26-00244"/>
    <d v="2026-11-03T00:00:00"/>
    <x v="6"/>
    <s v="Q4"/>
    <n v="2026"/>
    <s v="CUST-3284"/>
    <s v="Rahul Sharma"/>
    <s v="Small Business"/>
    <s v="India"/>
    <s v="West Bengal"/>
    <s v="Kolkata"/>
    <x v="2"/>
    <s v="Amazon App"/>
    <s v="Tablet"/>
    <x v="4"/>
    <s v="Kitchen Appliances"/>
    <s v="Mixer Grinder"/>
    <s v="Prestige"/>
    <s v="HOM-KIT-68866"/>
    <s v="FBA"/>
    <x v="2"/>
    <x v="2"/>
    <n v="5"/>
    <n v="4948.7700000000004"/>
    <n v="0.25"/>
    <n v="6185.96"/>
    <n v="24743.85"/>
    <n v="18557.89"/>
    <n v="70.88"/>
    <n v="11566.38"/>
    <n v="6920.63"/>
    <n v="0.37290000000000001"/>
    <n v="5"/>
    <s v="In Transit"/>
    <s v="No"/>
    <m/>
    <m/>
    <n v="0"/>
    <s v="No"/>
    <s v="Bank Offer"/>
    <n v="16051.39"/>
    <n v="1.1561999999999999"/>
    <n v="47"/>
    <s v="In Stock"/>
  </r>
  <r>
    <s v="AMZ26-00245"/>
    <d v="2026-06-24T00:00:00"/>
    <x v="5"/>
    <s v="Q2"/>
    <n v="2026"/>
    <s v="CUST-2734"/>
    <s v="Diya Das"/>
    <s v="Small Business"/>
    <s v="India"/>
    <s v="Delhi"/>
    <s v="New Delhi"/>
    <x v="0"/>
    <s v="Amazon Website"/>
    <s v="Desktop"/>
    <x v="2"/>
    <s v="Skin Care"/>
    <s v="Face Serum"/>
    <s v="Minimalist"/>
    <s v="BEA-SKI-91777"/>
    <s v="FBM"/>
    <x v="0"/>
    <x v="1"/>
    <n v="3"/>
    <n v="947.85"/>
    <n v="0.2"/>
    <n v="568.71"/>
    <n v="2843.55"/>
    <n v="2274.84"/>
    <n v="190.13"/>
    <n v="1708.61"/>
    <n v="376.1"/>
    <n v="0.1653"/>
    <n v="0"/>
    <s v="Not Applicable"/>
    <s v="No"/>
    <m/>
    <m/>
    <n v="0"/>
    <s v="Yes"/>
    <s v="Lightning Deal"/>
    <n v="2164.23"/>
    <n v="1.0510999999999999"/>
    <n v="88"/>
    <s v="In Stock"/>
  </r>
  <r>
    <s v="AMZ26-00246"/>
    <d v="2026-08-31T00:00:00"/>
    <x v="4"/>
    <s v="Q3"/>
    <n v="2026"/>
    <s v="CUST-2319"/>
    <s v="Arjun Jain"/>
    <s v="Small Business"/>
    <s v="India"/>
    <s v="Rajasthan"/>
    <s v="Jaipur"/>
    <x v="3"/>
    <s v="Amazon Website"/>
    <s v="Tablet"/>
    <x v="0"/>
    <s v="Women Clothing"/>
    <s v="Denim Jeans"/>
    <s v="Levi's"/>
    <s v="FAS-WOM-20573"/>
    <s v="FBA"/>
    <x v="0"/>
    <x v="1"/>
    <n v="4"/>
    <n v="3003.79"/>
    <n v="0.1"/>
    <n v="1201.52"/>
    <n v="12015.16"/>
    <n v="10813.64"/>
    <n v="75.63"/>
    <n v="6760.91"/>
    <n v="3977.1"/>
    <n v="0.36780000000000002"/>
    <n v="0"/>
    <s v="Not Applicable"/>
    <s v="No"/>
    <m/>
    <m/>
    <n v="0"/>
    <s v="Yes"/>
    <s v="None"/>
    <n v="11924.4"/>
    <n v="0.90680000000000005"/>
    <n v="467"/>
    <s v="In Stock"/>
  </r>
  <r>
    <s v="AMZ26-00247"/>
    <d v="2026-05-12T00:00:00"/>
    <x v="2"/>
    <s v="Q2"/>
    <n v="2026"/>
    <s v="CUST-4461"/>
    <s v="Diya Verma"/>
    <s v="Consumer"/>
    <s v="India"/>
    <s v="Odisha"/>
    <s v="Bhubaneswar"/>
    <x v="2"/>
    <s v="Amazon App"/>
    <s v="Tablet"/>
    <x v="2"/>
    <s v="Skin Care"/>
    <s v="Sunscreen"/>
    <s v="Neutrogena"/>
    <s v="BEA-SKI-96009"/>
    <s v="FBM"/>
    <x v="1"/>
    <x v="0"/>
    <n v="2"/>
    <n v="365.76"/>
    <n v="0.1"/>
    <n v="73.150000000000006"/>
    <n v="731.52"/>
    <n v="658.37"/>
    <n v="191.56"/>
    <n v="384.14"/>
    <n v="82.67"/>
    <n v="0.12559999999999999"/>
    <n v="3"/>
    <s v="On Time"/>
    <s v="No"/>
    <m/>
    <n v="4"/>
    <n v="0"/>
    <s v="Yes"/>
    <s v="Lightning Deal"/>
    <n v="611.6"/>
    <n v="1.0765"/>
    <n v="205"/>
    <s v="In Stock"/>
  </r>
  <r>
    <s v="AMZ26-00248"/>
    <d v="2026-03-19T00:00:00"/>
    <x v="0"/>
    <s v="Q1"/>
    <n v="2026"/>
    <s v="CUST-4664"/>
    <s v="Aditya Iyer"/>
    <s v="Consumer"/>
    <s v="India"/>
    <s v="Tamil Nadu"/>
    <s v="Chennai"/>
    <x v="1"/>
    <s v="Amazon App"/>
    <s v="iOS"/>
    <x v="4"/>
    <s v="Home Decor"/>
    <s v="Wall Clock"/>
    <s v="Ajanta"/>
    <s v="HOM-HOM-94691"/>
    <s v="FBM"/>
    <x v="2"/>
    <x v="2"/>
    <n v="4"/>
    <n v="6903.27"/>
    <n v="0.2"/>
    <n v="5522.62"/>
    <n v="27613.08"/>
    <n v="22090.46"/>
    <n v="189.76"/>
    <n v="11969.81"/>
    <n v="9930.89"/>
    <n v="0.4496"/>
    <n v="1"/>
    <s v="In Transit"/>
    <s v="No"/>
    <m/>
    <m/>
    <n v="0"/>
    <s v="Yes"/>
    <s v="Amazon Coupon"/>
    <n v="21857.15"/>
    <n v="1.0106999999999999"/>
    <n v="278"/>
    <s v="In Stock"/>
  </r>
  <r>
    <s v="AMZ26-00249"/>
    <d v="2026-03-27T00:00:00"/>
    <x v="0"/>
    <s v="Q1"/>
    <n v="2026"/>
    <s v="CUST-4090"/>
    <s v="Aarav Nair"/>
    <s v="Consumer"/>
    <s v="India"/>
    <s v="Assam"/>
    <s v="Guwahati"/>
    <x v="2"/>
    <s v="Amazon App"/>
    <s v="iOS"/>
    <x v="2"/>
    <s v="Hair Care"/>
    <s v="Hair Serum"/>
    <s v="L'Oreal"/>
    <s v="BEA-HAI-87038"/>
    <s v="FBM"/>
    <x v="0"/>
    <x v="2"/>
    <n v="1"/>
    <n v="1922.17"/>
    <n v="0.05"/>
    <n v="96.11"/>
    <n v="1922.17"/>
    <n v="1826.06"/>
    <n v="16.45"/>
    <n v="936.07"/>
    <n v="873.54"/>
    <n v="0.47839999999999999"/>
    <n v="3"/>
    <s v="In Transit"/>
    <s v="No"/>
    <m/>
    <m/>
    <n v="0"/>
    <s v="Yes"/>
    <s v="Bank Offer"/>
    <n v="1985.04"/>
    <n v="0.91990000000000005"/>
    <n v="214"/>
    <s v="In Stock"/>
  </r>
  <r>
    <s v="AMZ26-00250"/>
    <d v="2026-09-30T00:00:00"/>
    <x v="1"/>
    <s v="Q3"/>
    <n v="2026"/>
    <s v="CUST-1280"/>
    <s v="Rahul Shetty"/>
    <s v="Corporate"/>
    <s v="India"/>
    <s v="Karnataka"/>
    <s v="Mysuru"/>
    <x v="1"/>
    <s v="Amazon App"/>
    <s v="iOS"/>
    <x v="4"/>
    <s v="Kitchen Appliances"/>
    <s v="Air Fryer"/>
    <s v="Philips"/>
    <s v="HOM-KIT-71507"/>
    <s v="FBA"/>
    <x v="0"/>
    <x v="2"/>
    <n v="2"/>
    <n v="3724.3"/>
    <n v="0.15"/>
    <n v="1117.29"/>
    <n v="7448.6"/>
    <n v="6331.31"/>
    <n v="234.65"/>
    <n v="4542.2700000000004"/>
    <n v="1554.39"/>
    <n v="0.2455"/>
    <n v="3"/>
    <s v="In Transit"/>
    <s v="No"/>
    <m/>
    <m/>
    <n v="0"/>
    <s v="Yes"/>
    <s v="Prime Deal"/>
    <n v="6851.64"/>
    <n v="0.92410000000000003"/>
    <n v="314"/>
    <s v="In Stock"/>
  </r>
  <r>
    <s v="AMZ26-00251"/>
    <d v="2026-03-24T00:00:00"/>
    <x v="0"/>
    <s v="Q1"/>
    <n v="2026"/>
    <s v="CUST-4345"/>
    <s v="Meera Kumar"/>
    <s v="Small Business"/>
    <s v="India"/>
    <s v="Maharashtra"/>
    <s v="Mumbai"/>
    <x v="3"/>
    <s v="Amazon App"/>
    <s v="Tablet"/>
    <x v="1"/>
    <s v="Laptops"/>
    <s v="IdeaPad"/>
    <s v="Lenovo"/>
    <s v="ELE-LAP-71387"/>
    <s v="FBM"/>
    <x v="4"/>
    <x v="0"/>
    <n v="2"/>
    <n v="32455.06"/>
    <n v="0.15"/>
    <n v="9736.52"/>
    <n v="64910.12"/>
    <n v="55173.599999999999"/>
    <n v="103.69"/>
    <n v="28826.79"/>
    <n v="26243.119999999999"/>
    <n v="0.47560000000000002"/>
    <n v="6"/>
    <s v="Delayed"/>
    <s v="No"/>
    <m/>
    <n v="5"/>
    <n v="2"/>
    <s v="Yes"/>
    <s v="Lightning Deal"/>
    <n v="51520.35"/>
    <n v="1.0709"/>
    <n v="204"/>
    <s v="In Stock"/>
  </r>
  <r>
    <s v="AMZ26-00252"/>
    <d v="2026-07-30T00:00:00"/>
    <x v="3"/>
    <s v="Q3"/>
    <n v="2026"/>
    <s v="CUST-1354"/>
    <s v="Rohan Iyer"/>
    <s v="Consumer"/>
    <s v="India"/>
    <s v="Karnataka"/>
    <s v="Bengaluru"/>
    <x v="1"/>
    <s v="Amazon Website"/>
    <s v="Android"/>
    <x v="4"/>
    <s v="Home Decor"/>
    <s v="Curtain Set"/>
    <s v="Home Centre"/>
    <s v="HOM-HOM-72596"/>
    <s v="FBM"/>
    <x v="3"/>
    <x v="1"/>
    <n v="1"/>
    <n v="431.51"/>
    <n v="0.25"/>
    <n v="107.88"/>
    <n v="431.51"/>
    <n v="323.63"/>
    <n v="246.31"/>
    <n v="243.21"/>
    <n v="-165.89"/>
    <n v="-0.51259999999999994"/>
    <n v="0"/>
    <s v="Not Applicable"/>
    <s v="No"/>
    <m/>
    <m/>
    <n v="0"/>
    <s v="Yes"/>
    <s v="Lightning Deal"/>
    <n v="393.24"/>
    <n v="0.82299999999999995"/>
    <n v="107"/>
    <s v="In Stock"/>
  </r>
  <r>
    <s v="AMZ26-00253"/>
    <d v="2026-09-27T00:00:00"/>
    <x v="1"/>
    <s v="Q3"/>
    <n v="2026"/>
    <s v="CUST-3458"/>
    <s v="Rohan Nair"/>
    <s v="Consumer"/>
    <s v="India"/>
    <s v="Karnataka"/>
    <s v="Bengaluru"/>
    <x v="1"/>
    <s v="Amazon Website"/>
    <s v="Android"/>
    <x v="4"/>
    <s v="Cookware"/>
    <s v="Pressure Cooker"/>
    <s v="Hawkins"/>
    <s v="HOM-COO-88836"/>
    <s v="FBM"/>
    <x v="2"/>
    <x v="0"/>
    <n v="2"/>
    <n v="860.56"/>
    <n v="0.25"/>
    <n v="430.28"/>
    <n v="1721.12"/>
    <n v="1290.8399999999999"/>
    <n v="146.4"/>
    <n v="916.47"/>
    <n v="227.97"/>
    <n v="0.17660000000000001"/>
    <n v="6"/>
    <s v="Delayed"/>
    <s v="No"/>
    <m/>
    <n v="3"/>
    <n v="1"/>
    <s v="Yes"/>
    <s v="Prime Deal"/>
    <n v="1535.22"/>
    <n v="0.84079999999999999"/>
    <n v="374"/>
    <s v="In Stock"/>
  </r>
  <r>
    <s v="AMZ26-00254"/>
    <d v="2026-01-31T00:00:00"/>
    <x v="10"/>
    <s v="Q1"/>
    <n v="2026"/>
    <s v="CUST-3794"/>
    <s v="Isha Rao"/>
    <s v="Consumer"/>
    <s v="India"/>
    <s v="Karnataka"/>
    <s v="Mysuru"/>
    <x v="1"/>
    <s v="Amazon App"/>
    <s v="iOS"/>
    <x v="3"/>
    <s v="Staples"/>
    <s v="Atta"/>
    <s v="Aashirvaad"/>
    <s v="GRO-STA-80050"/>
    <s v="FBA"/>
    <x v="4"/>
    <x v="0"/>
    <n v="5"/>
    <n v="1453.64"/>
    <n v="0"/>
    <n v="0"/>
    <n v="7268.2"/>
    <n v="7268.2"/>
    <n v="244.88"/>
    <n v="5148.3"/>
    <n v="1875.02"/>
    <n v="0.25800000000000001"/>
    <n v="6"/>
    <s v="Delayed"/>
    <s v="No"/>
    <m/>
    <n v="4"/>
    <n v="2"/>
    <s v="Yes"/>
    <s v="Bank Offer"/>
    <n v="7629.48"/>
    <n v="0.9526"/>
    <n v="123"/>
    <s v="In Stock"/>
  </r>
  <r>
    <s v="AMZ26-00255"/>
    <d v="2026-05-16T00:00:00"/>
    <x v="2"/>
    <s v="Q2"/>
    <n v="2026"/>
    <s v="CUST-3477"/>
    <s v="Isha Das"/>
    <s v="Consumer"/>
    <s v="India"/>
    <s v="Haryana"/>
    <s v="Gurugram"/>
    <x v="0"/>
    <s v="Amazon App"/>
    <s v="Android"/>
    <x v="4"/>
    <s v="Kitchen Appliances"/>
    <s v="Mixer Grinder"/>
    <s v="Prestige"/>
    <s v="HOM-KIT-83707"/>
    <s v="FBM"/>
    <x v="2"/>
    <x v="0"/>
    <n v="1"/>
    <n v="6901.86"/>
    <n v="0.15"/>
    <n v="1035.28"/>
    <n v="6901.86"/>
    <n v="5866.58"/>
    <n v="87.73"/>
    <n v="4371.3100000000004"/>
    <n v="1407.54"/>
    <n v="0.2399"/>
    <n v="3"/>
    <s v="On Time"/>
    <s v="No"/>
    <m/>
    <n v="5"/>
    <n v="3"/>
    <s v="Yes"/>
    <s v="None"/>
    <n v="6191.51"/>
    <n v="0.94750000000000001"/>
    <n v="245"/>
    <s v="In Stock"/>
  </r>
  <r>
    <s v="AMZ26-00256"/>
    <d v="2026-12-04T00:00:00"/>
    <x v="11"/>
    <s v="Q4"/>
    <n v="2026"/>
    <s v="CUST-3322"/>
    <s v="Aditi Patel"/>
    <s v="Small Business"/>
    <s v="India"/>
    <s v="Telangana"/>
    <s v="Hyderabad"/>
    <x v="1"/>
    <s v="Amazon Website"/>
    <s v="Desktop"/>
    <x v="1"/>
    <s v="Mobiles"/>
    <s v="Redmi Note"/>
    <s v="Xiaomi"/>
    <s v="ELE-MOB-17334"/>
    <s v="FBM"/>
    <x v="2"/>
    <x v="0"/>
    <n v="4"/>
    <n v="52851.839999999997"/>
    <n v="0.25"/>
    <n v="52851.839999999997"/>
    <n v="211407.35999999999"/>
    <n v="158555.51999999999"/>
    <n v="105.72"/>
    <n v="94492.89"/>
    <n v="63956.91"/>
    <n v="0.40339999999999998"/>
    <n v="2"/>
    <s v="On Time"/>
    <s v="No"/>
    <m/>
    <n v="5"/>
    <n v="1"/>
    <s v="No"/>
    <s v="None"/>
    <n v="186003.04"/>
    <n v="0.85240000000000005"/>
    <n v="150"/>
    <s v="In Stock"/>
  </r>
  <r>
    <s v="AMZ26-00257"/>
    <d v="2026-03-05T00:00:00"/>
    <x v="0"/>
    <s v="Q1"/>
    <n v="2026"/>
    <s v="CUST-3784"/>
    <s v="Nikhil Yadav"/>
    <s v="Small Business"/>
    <s v="India"/>
    <s v="Tamil Nadu"/>
    <s v="Chennai"/>
    <x v="1"/>
    <s v="Amazon Website"/>
    <s v="iOS"/>
    <x v="2"/>
    <s v="Makeup"/>
    <s v="Kajal"/>
    <s v="Lakme"/>
    <s v="BEA-MAK-90785"/>
    <s v="FBA"/>
    <x v="2"/>
    <x v="0"/>
    <n v="5"/>
    <n v="602.30999999999995"/>
    <n v="0.05"/>
    <n v="150.58000000000001"/>
    <n v="3011.55"/>
    <n v="2860.97"/>
    <n v="112.88"/>
    <n v="1565.38"/>
    <n v="1182.71"/>
    <n v="0.41339999999999999"/>
    <n v="5"/>
    <s v="Delayed"/>
    <s v="No"/>
    <m/>
    <n v="4"/>
    <n v="2"/>
    <s v="Yes"/>
    <s v="None"/>
    <n v="2485.46"/>
    <n v="1.1511"/>
    <n v="192"/>
    <s v="In Stock"/>
  </r>
  <r>
    <s v="AMZ26-00258"/>
    <d v="2026-06-08T00:00:00"/>
    <x v="5"/>
    <s v="Q2"/>
    <n v="2026"/>
    <s v="CUST-2443"/>
    <s v="Kiran Joshi"/>
    <s v="Small Business"/>
    <s v="India"/>
    <s v="Karnataka"/>
    <s v="Mysuru"/>
    <x v="1"/>
    <s v="Amazon Website"/>
    <s v="iOS"/>
    <x v="3"/>
    <s v="Beverages"/>
    <s v="Green Tea"/>
    <s v="Tata Tea"/>
    <s v="GRO-BEV-10101"/>
    <s v="FBM"/>
    <x v="2"/>
    <x v="0"/>
    <n v="2"/>
    <n v="191.59"/>
    <n v="0.05"/>
    <n v="19.16"/>
    <n v="383.18"/>
    <n v="364.02"/>
    <n v="151.33000000000001"/>
    <n v="211.87"/>
    <n v="0.82"/>
    <n v="2.3E-3"/>
    <n v="4"/>
    <s v="On Time"/>
    <s v="No"/>
    <m/>
    <n v="5"/>
    <n v="2"/>
    <s v="No"/>
    <s v="Amazon Coupon"/>
    <n v="433.19"/>
    <n v="0.84030000000000005"/>
    <n v="340"/>
    <s v="In Stock"/>
  </r>
  <r>
    <s v="AMZ26-00259"/>
    <d v="2026-10-09T00:00:00"/>
    <x v="8"/>
    <s v="Q4"/>
    <n v="2026"/>
    <s v="CUST-2461"/>
    <s v="Arjun Nair"/>
    <s v="Corporate"/>
    <s v="India"/>
    <s v="Telangana"/>
    <s v="Hyderabad"/>
    <x v="1"/>
    <s v="Amazon Website"/>
    <s v="iOS"/>
    <x v="0"/>
    <s v="Men Clothing"/>
    <s v="Cotton Shirt"/>
    <s v="Allen Solly"/>
    <s v="FAS-MEN-47993"/>
    <s v="FBM"/>
    <x v="2"/>
    <x v="0"/>
    <n v="2"/>
    <n v="538.70000000000005"/>
    <n v="0.25"/>
    <n v="269.35000000000002"/>
    <n v="1077.4000000000001"/>
    <n v="808.05"/>
    <n v="218.3"/>
    <n v="407.07"/>
    <n v="182.68"/>
    <n v="0.2261"/>
    <n v="1"/>
    <s v="On Time"/>
    <s v="No"/>
    <m/>
    <n v="5"/>
    <n v="1"/>
    <s v="Yes"/>
    <s v="Festival Sale"/>
    <n v="698.28"/>
    <n v="1.1572"/>
    <n v="298"/>
    <s v="In Stock"/>
  </r>
  <r>
    <s v="AMZ26-00260"/>
    <d v="2026-06-03T00:00:00"/>
    <x v="5"/>
    <s v="Q2"/>
    <n v="2026"/>
    <s v="CUST-3471"/>
    <s v="Rahul Patel"/>
    <s v="Small Business"/>
    <s v="India"/>
    <s v="Delhi"/>
    <s v="New Delhi"/>
    <x v="0"/>
    <s v="Amazon App"/>
    <s v="iOS"/>
    <x v="2"/>
    <s v="Skin Care"/>
    <s v="Face Serum"/>
    <s v="Minimalist"/>
    <s v="BEA-SKI-14747"/>
    <s v="FBA"/>
    <x v="3"/>
    <x v="1"/>
    <n v="5"/>
    <n v="1089.05"/>
    <n v="0"/>
    <n v="0"/>
    <n v="5445.25"/>
    <n v="5445.25"/>
    <n v="44.26"/>
    <n v="3189.68"/>
    <n v="2211.31"/>
    <n v="0.40610000000000002"/>
    <n v="0"/>
    <s v="Not Applicable"/>
    <s v="No"/>
    <m/>
    <m/>
    <n v="0"/>
    <s v="No"/>
    <s v="Prime Deal"/>
    <n v="5026.4399999999996"/>
    <n v="1.0832999999999999"/>
    <n v="142"/>
    <s v="In Stock"/>
  </r>
  <r>
    <s v="AMZ26-00261"/>
    <d v="2026-07-19T00:00:00"/>
    <x v="3"/>
    <s v="Q3"/>
    <n v="2026"/>
    <s v="CUST-4130"/>
    <s v="Nandini Jain"/>
    <s v="Small Business"/>
    <s v="India"/>
    <s v="Uttar Pradesh"/>
    <s v="Noida"/>
    <x v="0"/>
    <s v="Amazon App"/>
    <s v="Desktop"/>
    <x v="1"/>
    <s v="Mobiles"/>
    <s v="Nord CE"/>
    <s v="OnePlus"/>
    <s v="ELE-MOB-74772"/>
    <s v="FBM"/>
    <x v="0"/>
    <x v="0"/>
    <n v="3"/>
    <n v="45663.93"/>
    <n v="0.3"/>
    <n v="41097.54"/>
    <n v="136991.79"/>
    <n v="95894.25"/>
    <n v="107.36"/>
    <n v="68542.679999999993"/>
    <n v="27244.21"/>
    <n v="0.28410000000000002"/>
    <n v="5"/>
    <s v="Delayed"/>
    <s v="No"/>
    <m/>
    <n v="3"/>
    <n v="3"/>
    <s v="Yes"/>
    <s v="Prime Deal"/>
    <n v="97478.44"/>
    <n v="0.98370000000000002"/>
    <n v="319"/>
    <s v="In Stock"/>
  </r>
  <r>
    <s v="AMZ26-00262"/>
    <d v="2026-06-21T00:00:00"/>
    <x v="5"/>
    <s v="Q2"/>
    <n v="2026"/>
    <s v="CUST-4613"/>
    <s v="Arjun Iyer"/>
    <s v="Small Business"/>
    <s v="India"/>
    <s v="Uttar Pradesh"/>
    <s v="Noida"/>
    <x v="0"/>
    <s v="Amazon Website"/>
    <s v="Android"/>
    <x v="2"/>
    <s v="Skin Care"/>
    <s v="Moisturizer"/>
    <s v="Cetaphil"/>
    <s v="BEA-SKI-93436"/>
    <s v="FBA"/>
    <x v="2"/>
    <x v="0"/>
    <n v="4"/>
    <n v="800.11"/>
    <n v="0.05"/>
    <n v="160.02000000000001"/>
    <n v="3200.44"/>
    <n v="3040.42"/>
    <n v="159.71"/>
    <n v="2100.89"/>
    <n v="779.82"/>
    <n v="0.25650000000000001"/>
    <n v="3"/>
    <s v="On Time"/>
    <s v="No"/>
    <m/>
    <n v="5"/>
    <n v="0"/>
    <s v="Yes"/>
    <s v="None"/>
    <n v="2881.22"/>
    <n v="1.0552999999999999"/>
    <n v="484"/>
    <s v="In Stock"/>
  </r>
  <r>
    <s v="AMZ26-00263"/>
    <d v="2026-07-07T00:00:00"/>
    <x v="3"/>
    <s v="Q3"/>
    <n v="2026"/>
    <s v="CUST-4021"/>
    <s v="Sai Iyer"/>
    <s v="Small Business"/>
    <s v="India"/>
    <s v="Gujarat"/>
    <s v="Ahmedabad"/>
    <x v="3"/>
    <s v="Amazon Website"/>
    <s v="Desktop"/>
    <x v="1"/>
    <s v="Laptops"/>
    <s v="Pavilion"/>
    <s v="HP"/>
    <s v="ELE-LAP-13576"/>
    <s v="FBM"/>
    <x v="4"/>
    <x v="1"/>
    <n v="5"/>
    <n v="34125.230000000003"/>
    <n v="0.15"/>
    <n v="25593.919999999998"/>
    <n v="170626.15"/>
    <n v="145032.23000000001"/>
    <n v="41.4"/>
    <n v="76096.899999999994"/>
    <n v="68893.929999999993"/>
    <n v="0.47499999999999998"/>
    <n v="0"/>
    <s v="Not Applicable"/>
    <s v="No"/>
    <m/>
    <m/>
    <n v="0"/>
    <s v="Yes"/>
    <s v="Bank Offer"/>
    <n v="167225.17000000001"/>
    <n v="0.86729999999999996"/>
    <n v="197"/>
    <s v="In Stock"/>
  </r>
  <r>
    <s v="AMZ26-00264"/>
    <d v="2026-09-14T00:00:00"/>
    <x v="1"/>
    <s v="Q3"/>
    <n v="2026"/>
    <s v="CUST-1334"/>
    <s v="Sai Singh"/>
    <s v="Corporate"/>
    <s v="India"/>
    <s v="Odisha"/>
    <s v="Bhubaneswar"/>
    <x v="2"/>
    <s v="Amazon App"/>
    <s v="Tablet"/>
    <x v="2"/>
    <s v="Hair Care"/>
    <s v="Hair Mask"/>
    <s v="Tresemme"/>
    <s v="BEA-HAI-51765"/>
    <s v="FBM"/>
    <x v="3"/>
    <x v="0"/>
    <n v="3"/>
    <n v="2248.2399999999998"/>
    <n v="0.15"/>
    <n v="1011.71"/>
    <n v="6744.72"/>
    <n v="5733.01"/>
    <n v="8.0399999999999991"/>
    <n v="4176.75"/>
    <n v="1548.22"/>
    <n v="0.27010000000000001"/>
    <n v="4"/>
    <s v="On Time"/>
    <s v="Yes"/>
    <s v="Damaged Product"/>
    <n v="4"/>
    <n v="1"/>
    <s v="Yes"/>
    <s v="Festival Sale"/>
    <n v="5820.14"/>
    <n v="0.98499999999999999"/>
    <n v="352"/>
    <s v="In Stock"/>
  </r>
  <r>
    <s v="AMZ26-00265"/>
    <d v="2026-11-28T00:00:00"/>
    <x v="6"/>
    <s v="Q4"/>
    <n v="2026"/>
    <s v="CUST-4499"/>
    <s v="Kavya Jain"/>
    <s v="Consumer"/>
    <s v="India"/>
    <s v="Maharashtra"/>
    <s v="Pune"/>
    <x v="3"/>
    <s v="Amazon App"/>
    <s v="iOS"/>
    <x v="1"/>
    <s v="Laptops"/>
    <s v="IdeaPad"/>
    <s v="Lenovo"/>
    <s v="ELE-LAP-92897"/>
    <s v="FBA"/>
    <x v="1"/>
    <x v="0"/>
    <n v="3"/>
    <n v="6104.41"/>
    <n v="0.15"/>
    <n v="2746.98"/>
    <n v="18313.23"/>
    <n v="15566.25"/>
    <n v="55.19"/>
    <n v="12058.22"/>
    <n v="3452.84"/>
    <n v="0.2218"/>
    <n v="6"/>
    <s v="Delayed"/>
    <s v="No"/>
    <m/>
    <n v="5"/>
    <n v="3"/>
    <s v="Yes"/>
    <s v="Amazon Coupon"/>
    <n v="17742.38"/>
    <n v="0.87729999999999997"/>
    <n v="203"/>
    <s v="In Stock"/>
  </r>
  <r>
    <s v="AMZ26-00266"/>
    <d v="2026-02-17T00:00:00"/>
    <x v="7"/>
    <s v="Q1"/>
    <n v="2026"/>
    <s v="CUST-4496"/>
    <s v="Sai Sharma"/>
    <s v="Consumer"/>
    <s v="India"/>
    <s v="Odisha"/>
    <s v="Bhubaneswar"/>
    <x v="2"/>
    <s v="Amazon App"/>
    <s v="Tablet"/>
    <x v="3"/>
    <s v="Staples"/>
    <s v="Atta"/>
    <s v="Aashirvaad"/>
    <s v="GRO-STA-60483"/>
    <s v="FBM"/>
    <x v="2"/>
    <x v="1"/>
    <n v="2"/>
    <n v="696.5"/>
    <n v="0.05"/>
    <n v="69.650000000000006"/>
    <n v="1393"/>
    <n v="1323.35"/>
    <n v="198.89"/>
    <n v="688.21"/>
    <n v="436.25"/>
    <n v="0.32969999999999999"/>
    <n v="0"/>
    <s v="Not Applicable"/>
    <s v="No"/>
    <m/>
    <m/>
    <n v="0"/>
    <s v="No"/>
    <s v="Prime Deal"/>
    <n v="1370.57"/>
    <n v="0.96550000000000002"/>
    <n v="182"/>
    <s v="In Stock"/>
  </r>
  <r>
    <s v="AMZ26-00267"/>
    <d v="2026-09-30T00:00:00"/>
    <x v="1"/>
    <s v="Q3"/>
    <n v="2026"/>
    <s v="CUST-1001"/>
    <s v="Rohan Patel"/>
    <s v="Consumer"/>
    <s v="India"/>
    <s v="Maharashtra"/>
    <s v="Mumbai"/>
    <x v="3"/>
    <s v="Amazon App"/>
    <s v="Tablet"/>
    <x v="2"/>
    <s v="Makeup"/>
    <s v="Foundation"/>
    <s v="Lakme"/>
    <s v="BEA-MAK-80558"/>
    <s v="FBA"/>
    <x v="2"/>
    <x v="0"/>
    <n v="5"/>
    <n v="190.38"/>
    <n v="0.1"/>
    <n v="95.19"/>
    <n v="951.9"/>
    <n v="856.71"/>
    <n v="90.04"/>
    <n v="566.91999999999996"/>
    <n v="199.75"/>
    <n v="0.23319999999999999"/>
    <n v="1"/>
    <s v="On Time"/>
    <s v="Yes"/>
    <s v="Size/Fit Issue"/>
    <n v="3"/>
    <n v="2"/>
    <s v="Yes"/>
    <s v="Bank Offer"/>
    <n v="885.42"/>
    <n v="0.96760000000000002"/>
    <n v="497"/>
    <s v="In Stock"/>
  </r>
  <r>
    <s v="AMZ26-00268"/>
    <d v="2026-01-18T00:00:00"/>
    <x v="10"/>
    <s v="Q1"/>
    <n v="2026"/>
    <s v="CUST-3172"/>
    <s v="Nikhil Verma"/>
    <s v="Consumer"/>
    <s v="India"/>
    <s v="Karnataka"/>
    <s v="Mysuru"/>
    <x v="1"/>
    <s v="Amazon App"/>
    <s v="iOS"/>
    <x v="3"/>
    <s v="Snacks"/>
    <s v="Cookies"/>
    <s v="Britannia"/>
    <s v="GRO-SNA-24099"/>
    <s v="FBM"/>
    <x v="2"/>
    <x v="0"/>
    <n v="1"/>
    <n v="449.88"/>
    <n v="0"/>
    <n v="0"/>
    <n v="449.88"/>
    <n v="449.88"/>
    <n v="41.2"/>
    <n v="270.57"/>
    <n v="138.11000000000001"/>
    <n v="0.307"/>
    <n v="3"/>
    <s v="On Time"/>
    <s v="No"/>
    <m/>
    <n v="3"/>
    <n v="3"/>
    <s v="No"/>
    <s v="Lightning Deal"/>
    <n v="454.55"/>
    <n v="0.98970000000000002"/>
    <n v="150"/>
    <s v="In Stock"/>
  </r>
  <r>
    <s v="AMZ26-00269"/>
    <d v="2026-01-07T00:00:00"/>
    <x v="10"/>
    <s v="Q1"/>
    <n v="2026"/>
    <s v="CUST-2422"/>
    <s v="Nikhil Reddy"/>
    <s v="Corporate"/>
    <s v="India"/>
    <s v="Bihar"/>
    <s v="Patna"/>
    <x v="2"/>
    <s v="Amazon App"/>
    <s v="Desktop"/>
    <x v="2"/>
    <s v="Makeup"/>
    <s v="Foundation"/>
    <s v="Lakme"/>
    <s v="BEA-MAK-93784"/>
    <s v="FBM"/>
    <x v="5"/>
    <x v="0"/>
    <n v="2"/>
    <n v="228.96"/>
    <n v="0.25"/>
    <n v="114.48"/>
    <n v="457.92"/>
    <n v="343.44"/>
    <n v="129.13"/>
    <n v="177.28"/>
    <n v="37.03"/>
    <n v="0.10780000000000001"/>
    <n v="3"/>
    <s v="On Time"/>
    <s v="Yes"/>
    <s v="Quality Issue"/>
    <n v="5"/>
    <n v="2"/>
    <s v="Yes"/>
    <s v="Lightning Deal"/>
    <n v="302.23"/>
    <n v="1.1364000000000001"/>
    <n v="174"/>
    <s v="In Stock"/>
  </r>
  <r>
    <s v="AMZ26-00270"/>
    <d v="2026-05-19T00:00:00"/>
    <x v="2"/>
    <s v="Q2"/>
    <n v="2026"/>
    <s v="CUST-3134"/>
    <s v="Isha Nair"/>
    <s v="Corporate"/>
    <s v="India"/>
    <s v="Kerala"/>
    <s v="Kochi"/>
    <x v="1"/>
    <s v="Amazon App"/>
    <s v="iOS"/>
    <x v="4"/>
    <s v="Kitchen Appliances"/>
    <s v="Air Fryer"/>
    <s v="Philips"/>
    <s v="HOM-KIT-63766"/>
    <s v="FBM"/>
    <x v="3"/>
    <x v="0"/>
    <n v="3"/>
    <n v="7754.85"/>
    <n v="0.3"/>
    <n v="6979.36"/>
    <n v="23264.55"/>
    <n v="16285.19"/>
    <n v="44.43"/>
    <n v="12304.9"/>
    <n v="3935.86"/>
    <n v="0.2417"/>
    <n v="2"/>
    <s v="On Time"/>
    <s v="No"/>
    <m/>
    <n v="4"/>
    <n v="1"/>
    <s v="No"/>
    <s v="Bank Offer"/>
    <n v="15558.36"/>
    <n v="1.0467"/>
    <n v="293"/>
    <s v="In Stock"/>
  </r>
  <r>
    <s v="AMZ26-00271"/>
    <d v="2026-08-21T00:00:00"/>
    <x v="4"/>
    <s v="Q3"/>
    <n v="2026"/>
    <s v="CUST-3167"/>
    <s v="Meera Shetty"/>
    <s v="Consumer"/>
    <s v="India"/>
    <s v="Rajasthan"/>
    <s v="Jaipur"/>
    <x v="3"/>
    <s v="Amazon Website"/>
    <s v="Tablet"/>
    <x v="2"/>
    <s v="Skin Care"/>
    <s v="Moisturizer"/>
    <s v="Cetaphil"/>
    <s v="BEA-SKI-11887"/>
    <s v="FBA"/>
    <x v="3"/>
    <x v="0"/>
    <n v="4"/>
    <n v="912.19"/>
    <n v="0.25"/>
    <n v="912.19"/>
    <n v="3648.76"/>
    <n v="2736.57"/>
    <n v="51.36"/>
    <n v="1324.77"/>
    <n v="1360.44"/>
    <n v="0.49709999999999999"/>
    <n v="8"/>
    <s v="Delayed"/>
    <s v="No"/>
    <m/>
    <n v="5"/>
    <n v="2"/>
    <s v="No"/>
    <s v="Amazon Coupon"/>
    <n v="2429.42"/>
    <n v="1.1264000000000001"/>
    <n v="53"/>
    <s v="In Stock"/>
  </r>
  <r>
    <s v="AMZ26-00272"/>
    <d v="2026-03-10T00:00:00"/>
    <x v="0"/>
    <s v="Q1"/>
    <n v="2026"/>
    <s v="CUST-4687"/>
    <s v="Nikhil Yadav"/>
    <s v="Corporate"/>
    <s v="India"/>
    <s v="Odisha"/>
    <s v="Bhubaneswar"/>
    <x v="2"/>
    <s v="Amazon Website"/>
    <s v="Desktop"/>
    <x v="2"/>
    <s v="Makeup"/>
    <s v="Kajal"/>
    <s v="Lakme"/>
    <s v="BEA-MAK-15331"/>
    <s v="FBM"/>
    <x v="3"/>
    <x v="0"/>
    <n v="3"/>
    <n v="1147.71"/>
    <n v="0.15"/>
    <n v="516.47"/>
    <n v="3443.13"/>
    <n v="2926.66"/>
    <n v="136.66"/>
    <n v="1716.59"/>
    <n v="1073.4100000000001"/>
    <n v="0.36680000000000001"/>
    <n v="8"/>
    <s v="Delayed"/>
    <s v="Yes"/>
    <s v="Late Delivery"/>
    <n v="5"/>
    <n v="0"/>
    <s v="Yes"/>
    <s v="Amazon Coupon"/>
    <n v="2794.55"/>
    <n v="1.0472999999999999"/>
    <n v="220"/>
    <s v="In Stock"/>
  </r>
  <r>
    <s v="AMZ26-00273"/>
    <d v="2026-10-04T00:00:00"/>
    <x v="8"/>
    <s v="Q4"/>
    <n v="2026"/>
    <s v="CUST-3856"/>
    <s v="Nandini Reddy"/>
    <s v="Corporate"/>
    <s v="India"/>
    <s v="Gujarat"/>
    <s v="Ahmedabad"/>
    <x v="3"/>
    <s v="Amazon Website"/>
    <s v="Desktop"/>
    <x v="3"/>
    <s v="Beverages"/>
    <s v="Fruit Juice"/>
    <s v="Real"/>
    <s v="GRO-BEV-52539"/>
    <s v="FBA"/>
    <x v="1"/>
    <x v="0"/>
    <n v="5"/>
    <n v="829.24"/>
    <n v="0.2"/>
    <n v="829.24"/>
    <n v="4146.2"/>
    <n v="3316.96"/>
    <n v="71.61"/>
    <n v="2228.27"/>
    <n v="1017.08"/>
    <n v="0.30659999999999998"/>
    <n v="8"/>
    <s v="Delayed"/>
    <s v="No"/>
    <m/>
    <n v="4"/>
    <n v="0"/>
    <s v="Yes"/>
    <s v="Amazon Coupon"/>
    <n v="3012.34"/>
    <n v="1.1011"/>
    <n v="77"/>
    <s v="In Stock"/>
  </r>
  <r>
    <s v="AMZ26-00274"/>
    <d v="2026-10-05T00:00:00"/>
    <x v="8"/>
    <s v="Q4"/>
    <n v="2026"/>
    <s v="CUST-1992"/>
    <s v="Kiran Gupta"/>
    <s v="Consumer"/>
    <s v="India"/>
    <s v="Delhi"/>
    <s v="New Delhi"/>
    <x v="0"/>
    <s v="Amazon App"/>
    <s v="Tablet"/>
    <x v="0"/>
    <s v="Women Clothing"/>
    <s v="Denim Jeans"/>
    <s v="Levi's"/>
    <s v="FAS-WOM-24085"/>
    <s v="FBM"/>
    <x v="2"/>
    <x v="0"/>
    <n v="1"/>
    <n v="692.88"/>
    <n v="0"/>
    <n v="0"/>
    <n v="692.88"/>
    <n v="692.88"/>
    <n v="152.35"/>
    <n v="454.23"/>
    <n v="86.3"/>
    <n v="0.1246"/>
    <n v="7"/>
    <s v="Delayed"/>
    <s v="No"/>
    <m/>
    <n v="4"/>
    <n v="4"/>
    <s v="No"/>
    <s v="Prime Deal"/>
    <n v="812.25"/>
    <n v="0.85299999999999998"/>
    <n v="20"/>
    <s v="Low Stock"/>
  </r>
  <r>
    <s v="AMZ26-00275"/>
    <d v="2026-04-22T00:00:00"/>
    <x v="9"/>
    <s v="Q2"/>
    <n v="2026"/>
    <s v="CUST-3618"/>
    <s v="Kiran Singh"/>
    <s v="Consumer"/>
    <s v="India"/>
    <s v="Gujarat"/>
    <s v="Ahmedabad"/>
    <x v="3"/>
    <s v="Amazon App"/>
    <s v="Tablet"/>
    <x v="2"/>
    <s v="Skin Care"/>
    <s v="Sunscreen"/>
    <s v="Neutrogena"/>
    <s v="BEA-SKI-90519"/>
    <s v="FBA"/>
    <x v="1"/>
    <x v="2"/>
    <n v="2"/>
    <n v="741.4"/>
    <n v="0.2"/>
    <n v="296.56"/>
    <n v="1482.8"/>
    <n v="1186.24"/>
    <n v="102.95"/>
    <n v="857.32"/>
    <n v="225.97"/>
    <n v="0.1905"/>
    <n v="8"/>
    <s v="In Transit"/>
    <s v="No"/>
    <m/>
    <m/>
    <n v="0"/>
    <s v="Yes"/>
    <s v="Prime Deal"/>
    <n v="1054.74"/>
    <n v="1.1247"/>
    <n v="473"/>
    <s v="In Stock"/>
  </r>
  <r>
    <s v="AMZ26-00276"/>
    <d v="2026-12-24T00:00:00"/>
    <x v="11"/>
    <s v="Q4"/>
    <n v="2026"/>
    <s v="CUST-1439"/>
    <s v="Diya Singh"/>
    <s v="Small Business"/>
    <s v="India"/>
    <s v="Uttar Pradesh"/>
    <s v="Noida"/>
    <x v="0"/>
    <s v="Amazon Website"/>
    <s v="Android"/>
    <x v="1"/>
    <s v="Mobiles"/>
    <s v="Redmi Note"/>
    <s v="Xiaomi"/>
    <s v="ELE-MOB-60927"/>
    <s v="FBM"/>
    <x v="0"/>
    <x v="1"/>
    <n v="2"/>
    <n v="1913.93"/>
    <n v="0"/>
    <n v="0"/>
    <n v="3827.86"/>
    <n v="3827.86"/>
    <n v="116.16"/>
    <n v="2759.55"/>
    <n v="952.15"/>
    <n v="0.2487"/>
    <n v="0"/>
    <s v="Not Applicable"/>
    <s v="No"/>
    <m/>
    <m/>
    <n v="0"/>
    <s v="Yes"/>
    <s v="None"/>
    <n v="3587.7"/>
    <n v="1.0669"/>
    <n v="7"/>
    <s v="Low Stock"/>
  </r>
  <r>
    <s v="AMZ26-00277"/>
    <d v="2026-01-21T00:00:00"/>
    <x v="10"/>
    <s v="Q1"/>
    <n v="2026"/>
    <s v="CUST-3651"/>
    <s v="Meera Shetty"/>
    <s v="Consumer"/>
    <s v="India"/>
    <s v="Gujarat"/>
    <s v="Ahmedabad"/>
    <x v="3"/>
    <s v="Amazon App"/>
    <s v="Android"/>
    <x v="3"/>
    <s v="Beverages"/>
    <s v="Fruit Juice"/>
    <s v="Real"/>
    <s v="GRO-BEV-81256"/>
    <s v="FBA"/>
    <x v="5"/>
    <x v="2"/>
    <n v="2"/>
    <n v="981.85"/>
    <n v="0.25"/>
    <n v="490.93"/>
    <n v="1963.7"/>
    <n v="1472.77"/>
    <n v="234.43"/>
    <n v="856.65"/>
    <n v="381.69"/>
    <n v="0.25919999999999999"/>
    <n v="6"/>
    <s v="In Transit"/>
    <s v="No"/>
    <m/>
    <m/>
    <n v="0"/>
    <s v="Yes"/>
    <s v="Lightning Deal"/>
    <n v="1340.62"/>
    <n v="1.0986"/>
    <n v="442"/>
    <s v="In Stock"/>
  </r>
  <r>
    <s v="AMZ26-00278"/>
    <d v="2026-01-08T00:00:00"/>
    <x v="10"/>
    <s v="Q1"/>
    <n v="2026"/>
    <s v="CUST-2368"/>
    <s v="Vihaan Shetty"/>
    <s v="Corporate"/>
    <s v="India"/>
    <s v="Delhi"/>
    <s v="New Delhi"/>
    <x v="0"/>
    <s v="Amazon Website"/>
    <s v="Android"/>
    <x v="4"/>
    <s v="Home Decor"/>
    <s v="Wall Clock"/>
    <s v="Ajanta"/>
    <s v="HOM-HOM-38089"/>
    <s v="FBA"/>
    <x v="3"/>
    <x v="0"/>
    <n v="5"/>
    <n v="5254.48"/>
    <n v="0"/>
    <n v="0"/>
    <n v="26272.400000000001"/>
    <n v="26272.400000000001"/>
    <n v="109.36"/>
    <n v="17829.150000000001"/>
    <n v="8333.89"/>
    <n v="0.31719999999999998"/>
    <n v="1"/>
    <s v="On Time"/>
    <s v="No"/>
    <m/>
    <n v="4"/>
    <n v="4"/>
    <s v="Yes"/>
    <s v="Festival Sale"/>
    <n v="30063.599999999999"/>
    <n v="0.87390000000000001"/>
    <n v="28"/>
    <s v="Low Stock"/>
  </r>
  <r>
    <s v="AMZ26-00279"/>
    <d v="2026-10-28T00:00:00"/>
    <x v="8"/>
    <s v="Q4"/>
    <n v="2026"/>
    <s v="CUST-1783"/>
    <s v="Sai Singh"/>
    <s v="Small Business"/>
    <s v="India"/>
    <s v="Punjab"/>
    <s v="Ludhiana"/>
    <x v="0"/>
    <s v="Amazon Website"/>
    <s v="Tablet"/>
    <x v="3"/>
    <s v="Beverages"/>
    <s v="Coffee"/>
    <s v="Nescafe"/>
    <s v="GRO-BEV-50986"/>
    <s v="FBA"/>
    <x v="5"/>
    <x v="0"/>
    <n v="3"/>
    <n v="189.31"/>
    <n v="0"/>
    <n v="0"/>
    <n v="567.92999999999995"/>
    <n v="567.92999999999995"/>
    <n v="158.63"/>
    <n v="316.8"/>
    <n v="92.5"/>
    <n v="0.16289999999999999"/>
    <n v="2"/>
    <s v="On Time"/>
    <s v="Yes"/>
    <s v="Late Delivery"/>
    <n v="4"/>
    <n v="0"/>
    <s v="No"/>
    <s v="Prime Deal"/>
    <n v="548.05999999999995"/>
    <n v="1.0363"/>
    <n v="0"/>
    <s v="Out of Stock"/>
  </r>
  <r>
    <s v="AMZ26-00280"/>
    <d v="2026-09-10T00:00:00"/>
    <x v="1"/>
    <s v="Q3"/>
    <n v="2026"/>
    <s v="CUST-4543"/>
    <s v="Diya Iyer"/>
    <s v="Consumer"/>
    <s v="India"/>
    <s v="Bihar"/>
    <s v="Patna"/>
    <x v="2"/>
    <s v="Amazon App"/>
    <s v="Desktop"/>
    <x v="2"/>
    <s v="Hair Care"/>
    <s v="Shampoo"/>
    <s v="Dove"/>
    <s v="BEA-HAI-98081"/>
    <s v="FBM"/>
    <x v="2"/>
    <x v="1"/>
    <n v="4"/>
    <n v="1214.7"/>
    <n v="0"/>
    <n v="0"/>
    <n v="4858.8"/>
    <n v="4858.8"/>
    <n v="75.13"/>
    <n v="2404.7199999999998"/>
    <n v="2378.9499999999998"/>
    <n v="0.48959999999999998"/>
    <n v="0"/>
    <s v="Not Applicable"/>
    <s v="No"/>
    <m/>
    <m/>
    <n v="0"/>
    <s v="Yes"/>
    <s v="Prime Deal"/>
    <n v="4586.6099999999997"/>
    <n v="1.0592999999999999"/>
    <n v="97"/>
    <s v="In Stock"/>
  </r>
  <r>
    <s v="AMZ26-00281"/>
    <d v="2026-03-19T00:00:00"/>
    <x v="0"/>
    <s v="Q1"/>
    <n v="2026"/>
    <s v="CUST-2721"/>
    <s v="Aarav Nair"/>
    <s v="Small Business"/>
    <s v="India"/>
    <s v="Telangana"/>
    <s v="Hyderabad"/>
    <x v="1"/>
    <s v="Amazon App"/>
    <s v="iOS"/>
    <x v="2"/>
    <s v="Skin Care"/>
    <s v="Face Serum"/>
    <s v="Minimalist"/>
    <s v="BEA-SKI-61792"/>
    <s v="FBA"/>
    <x v="3"/>
    <x v="0"/>
    <n v="4"/>
    <n v="2293.0700000000002"/>
    <n v="0"/>
    <n v="0"/>
    <n v="9172.2800000000007"/>
    <n v="9172.2800000000007"/>
    <n v="108.39"/>
    <n v="4883.09"/>
    <n v="4180.8"/>
    <n v="0.45579999999999998"/>
    <n v="5"/>
    <s v="Delayed"/>
    <s v="No"/>
    <m/>
    <n v="4"/>
    <n v="0"/>
    <s v="Yes"/>
    <s v="Festival Sale"/>
    <n v="9192.99"/>
    <n v="0.99770000000000003"/>
    <n v="431"/>
    <s v="In Stock"/>
  </r>
  <r>
    <s v="AMZ26-00282"/>
    <d v="2026-05-20T00:00:00"/>
    <x v="2"/>
    <s v="Q2"/>
    <n v="2026"/>
    <s v="CUST-3667"/>
    <s v="Rohan Sharma"/>
    <s v="Consumer"/>
    <s v="India"/>
    <s v="Telangana"/>
    <s v="Hyderabad"/>
    <x v="1"/>
    <s v="Amazon Website"/>
    <s v="Android"/>
    <x v="4"/>
    <s v="Kitchen Appliances"/>
    <s v="Electric Kettle"/>
    <s v="Pigeon"/>
    <s v="HOM-KIT-18539"/>
    <s v="FBM"/>
    <x v="4"/>
    <x v="2"/>
    <n v="5"/>
    <n v="2358.96"/>
    <n v="0.25"/>
    <n v="2948.7"/>
    <n v="11794.8"/>
    <n v="8846.1"/>
    <n v="140.54"/>
    <n v="5713.68"/>
    <n v="2991.88"/>
    <n v="0.3382"/>
    <n v="5"/>
    <s v="In Transit"/>
    <s v="No"/>
    <m/>
    <m/>
    <n v="0"/>
    <s v="Yes"/>
    <s v="Lightning Deal"/>
    <n v="8591.74"/>
    <n v="1.0296000000000001"/>
    <n v="83"/>
    <s v="In Stock"/>
  </r>
  <r>
    <s v="AMZ26-00283"/>
    <d v="2026-06-02T00:00:00"/>
    <x v="5"/>
    <s v="Q2"/>
    <n v="2026"/>
    <s v="CUST-3008"/>
    <s v="Vivek Jain"/>
    <s v="Corporate"/>
    <s v="India"/>
    <s v="West Bengal"/>
    <s v="Kolkata"/>
    <x v="2"/>
    <s v="Amazon App"/>
    <s v="Desktop"/>
    <x v="1"/>
    <s v="Mobiles"/>
    <s v="Nord CE"/>
    <s v="OnePlus"/>
    <s v="ELE-MOB-47142"/>
    <s v="FBM"/>
    <x v="2"/>
    <x v="0"/>
    <n v="2"/>
    <n v="29393.09"/>
    <n v="0.3"/>
    <n v="17635.849999999999"/>
    <n v="58786.18"/>
    <n v="41150.33"/>
    <n v="170.94"/>
    <n v="27740.65"/>
    <n v="13238.74"/>
    <n v="0.32169999999999999"/>
    <n v="6"/>
    <s v="Delayed"/>
    <s v="No"/>
    <m/>
    <n v="4"/>
    <n v="3"/>
    <s v="Yes"/>
    <s v="Prime Deal"/>
    <n v="46111.63"/>
    <n v="0.89239999999999997"/>
    <n v="149"/>
    <s v="In Stock"/>
  </r>
  <r>
    <s v="AMZ26-00284"/>
    <d v="2026-02-05T00:00:00"/>
    <x v="7"/>
    <s v="Q1"/>
    <n v="2026"/>
    <s v="CUST-3922"/>
    <s v="Nandini Iyer"/>
    <s v="Consumer"/>
    <s v="India"/>
    <s v="Karnataka"/>
    <s v="Mysuru"/>
    <x v="1"/>
    <s v="Amazon Website"/>
    <s v="Android"/>
    <x v="4"/>
    <s v="Cookware"/>
    <s v="Pressure Cooker"/>
    <s v="Hawkins"/>
    <s v="HOM-COO-28021"/>
    <s v="FBA"/>
    <x v="2"/>
    <x v="1"/>
    <n v="4"/>
    <n v="7718.37"/>
    <n v="0.05"/>
    <n v="1543.67"/>
    <n v="30873.48"/>
    <n v="29329.81"/>
    <n v="240.26"/>
    <n v="22835.57"/>
    <n v="6253.98"/>
    <n v="0.2132"/>
    <n v="0"/>
    <s v="Not Applicable"/>
    <s v="No"/>
    <m/>
    <m/>
    <n v="0"/>
    <s v="Yes"/>
    <s v="Prime Deal"/>
    <n v="25345.61"/>
    <n v="1.1572"/>
    <n v="141"/>
    <s v="In Stock"/>
  </r>
  <r>
    <s v="AMZ26-00285"/>
    <d v="2026-11-23T00:00:00"/>
    <x v="6"/>
    <s v="Q4"/>
    <n v="2026"/>
    <s v="CUST-1693"/>
    <s v="Priya Kumar"/>
    <s v="Small Business"/>
    <s v="India"/>
    <s v="Gujarat"/>
    <s v="Ahmedabad"/>
    <x v="3"/>
    <s v="Amazon Website"/>
    <s v="Desktop"/>
    <x v="4"/>
    <s v="Home Decor"/>
    <s v="Curtain Set"/>
    <s v="Home Centre"/>
    <s v="HOM-HOM-97934"/>
    <s v="FBM"/>
    <x v="1"/>
    <x v="1"/>
    <n v="1"/>
    <n v="346.71"/>
    <n v="0.05"/>
    <n v="17.34"/>
    <n v="346.71"/>
    <n v="329.37"/>
    <n v="40.33"/>
    <n v="174.31"/>
    <n v="114.73"/>
    <n v="0.3483"/>
    <n v="0"/>
    <s v="Not Applicable"/>
    <s v="No"/>
    <m/>
    <m/>
    <n v="0"/>
    <s v="Yes"/>
    <s v="Festival Sale"/>
    <n v="335.94"/>
    <n v="0.98040000000000005"/>
    <n v="210"/>
    <s v="In Stock"/>
  </r>
  <r>
    <s v="AMZ26-00286"/>
    <d v="2026-02-22T00:00:00"/>
    <x v="7"/>
    <s v="Q1"/>
    <n v="2026"/>
    <s v="CUST-2139"/>
    <s v="Rahul Patel"/>
    <s v="Corporate"/>
    <s v="India"/>
    <s v="Odisha"/>
    <s v="Bhubaneswar"/>
    <x v="2"/>
    <s v="Amazon Website"/>
    <s v="Desktop"/>
    <x v="3"/>
    <s v="Beverages"/>
    <s v="Green Tea"/>
    <s v="Tata Tea"/>
    <s v="GRO-BEV-75608"/>
    <s v="FBA"/>
    <x v="1"/>
    <x v="2"/>
    <n v="4"/>
    <n v="218.19"/>
    <n v="0.3"/>
    <n v="261.83"/>
    <n v="872.76"/>
    <n v="610.92999999999995"/>
    <n v="210.83"/>
    <n v="368.92"/>
    <n v="31.18"/>
    <n v="5.0999999999999997E-2"/>
    <n v="2"/>
    <s v="In Transit"/>
    <s v="No"/>
    <m/>
    <m/>
    <n v="0"/>
    <s v="Yes"/>
    <s v="Bank Offer"/>
    <n v="525.69000000000005"/>
    <n v="1.1620999999999999"/>
    <n v="448"/>
    <s v="In Stock"/>
  </r>
  <r>
    <s v="AMZ26-00287"/>
    <d v="2026-11-07T00:00:00"/>
    <x v="6"/>
    <s v="Q4"/>
    <n v="2026"/>
    <s v="CUST-4636"/>
    <s v="Nandini Yadav"/>
    <s v="Small Business"/>
    <s v="India"/>
    <s v="Rajasthan"/>
    <s v="Jaipur"/>
    <x v="3"/>
    <s v="Amazon App"/>
    <s v="Android"/>
    <x v="2"/>
    <s v="Hair Care"/>
    <s v="Hair Mask"/>
    <s v="Tresemme"/>
    <s v="BEA-HAI-51017"/>
    <s v="FBA"/>
    <x v="3"/>
    <x v="0"/>
    <n v="2"/>
    <n v="659.38"/>
    <n v="0.3"/>
    <n v="395.63"/>
    <n v="1318.76"/>
    <n v="923.13"/>
    <n v="22.59"/>
    <n v="595.26"/>
    <n v="305.27999999999997"/>
    <n v="0.33069999999999999"/>
    <n v="1"/>
    <s v="On Time"/>
    <s v="No"/>
    <m/>
    <n v="3"/>
    <n v="1"/>
    <s v="No"/>
    <s v="Festival Sale"/>
    <n v="912.15"/>
    <n v="1.012"/>
    <n v="289"/>
    <s v="In Stock"/>
  </r>
  <r>
    <s v="AMZ26-00288"/>
    <d v="2026-11-30T00:00:00"/>
    <x v="6"/>
    <s v="Q4"/>
    <n v="2026"/>
    <s v="CUST-3877"/>
    <s v="Sneha Kumar"/>
    <s v="Corporate"/>
    <s v="India"/>
    <s v="Karnataka"/>
    <s v="Mysuru"/>
    <x v="1"/>
    <s v="Amazon Website"/>
    <s v="Android"/>
    <x v="3"/>
    <s v="Beverages"/>
    <s v="Fruit Juice"/>
    <s v="Real"/>
    <s v="GRO-BEV-13331"/>
    <s v="FBM"/>
    <x v="3"/>
    <x v="2"/>
    <n v="5"/>
    <n v="662.6"/>
    <n v="0"/>
    <n v="0"/>
    <n v="3313"/>
    <n v="3313"/>
    <n v="234.29"/>
    <n v="2552.9899999999998"/>
    <n v="525.72"/>
    <n v="0.15870000000000001"/>
    <n v="1"/>
    <s v="In Transit"/>
    <s v="No"/>
    <m/>
    <m/>
    <n v="0"/>
    <s v="Yes"/>
    <s v="Prime Deal"/>
    <n v="4094.87"/>
    <n v="0.80910000000000004"/>
    <n v="145"/>
    <s v="In Stock"/>
  </r>
  <r>
    <s v="AMZ26-00289"/>
    <d v="2026-01-11T00:00:00"/>
    <x v="10"/>
    <s v="Q1"/>
    <n v="2026"/>
    <s v="CUST-2544"/>
    <s v="Nandini Iyer"/>
    <s v="Consumer"/>
    <s v="India"/>
    <s v="West Bengal"/>
    <s v="Kolkata"/>
    <x v="2"/>
    <s v="Amazon App"/>
    <s v="Desktop"/>
    <x v="4"/>
    <s v="Home Decor"/>
    <s v="Curtain Set"/>
    <s v="Home Centre"/>
    <s v="HOM-HOM-75910"/>
    <s v="FBA"/>
    <x v="0"/>
    <x v="0"/>
    <n v="2"/>
    <n v="6895.27"/>
    <n v="0"/>
    <n v="0"/>
    <n v="13790.54"/>
    <n v="13790.54"/>
    <n v="140.41"/>
    <n v="6623.96"/>
    <n v="7026.17"/>
    <n v="0.50949999999999995"/>
    <n v="3"/>
    <s v="On Time"/>
    <s v="No"/>
    <m/>
    <n v="3"/>
    <n v="3"/>
    <s v="No"/>
    <s v="Prime Deal"/>
    <n v="12746.75"/>
    <n v="1.0819000000000001"/>
    <n v="176"/>
    <s v="In Stock"/>
  </r>
  <r>
    <s v="AMZ26-00290"/>
    <d v="2026-09-11T00:00:00"/>
    <x v="1"/>
    <s v="Q3"/>
    <n v="2026"/>
    <s v="CUST-1488"/>
    <s v="Ananya Nair"/>
    <s v="Small Business"/>
    <s v="India"/>
    <s v="Uttar Pradesh"/>
    <s v="Noida"/>
    <x v="0"/>
    <s v="Amazon App"/>
    <s v="iOS"/>
    <x v="2"/>
    <s v="Hair Care"/>
    <s v="Shampoo"/>
    <s v="Dove"/>
    <s v="BEA-HAI-11331"/>
    <s v="FBM"/>
    <x v="1"/>
    <x v="0"/>
    <n v="1"/>
    <n v="1305.3599999999999"/>
    <n v="0.3"/>
    <n v="391.61"/>
    <n v="1305.3599999999999"/>
    <n v="913.75"/>
    <n v="95.83"/>
    <n v="552.16999999999996"/>
    <n v="265.75"/>
    <n v="0.2908"/>
    <n v="7"/>
    <s v="Delayed"/>
    <s v="No"/>
    <m/>
    <n v="5"/>
    <n v="3"/>
    <s v="No"/>
    <s v="Amazon Coupon"/>
    <n v="899.2"/>
    <n v="1.0162"/>
    <n v="124"/>
    <s v="In Stock"/>
  </r>
  <r>
    <s v="AMZ26-00291"/>
    <d v="2026-12-06T00:00:00"/>
    <x v="11"/>
    <s v="Q4"/>
    <n v="2026"/>
    <s v="CUST-3232"/>
    <s v="Nandini Reddy"/>
    <s v="Corporate"/>
    <s v="India"/>
    <s v="Assam"/>
    <s v="Guwahati"/>
    <x v="2"/>
    <s v="Amazon App"/>
    <s v="Android"/>
    <x v="1"/>
    <s v="Mobiles"/>
    <s v="Galaxy A Series"/>
    <s v="Samsung"/>
    <s v="ELE-MOB-12419"/>
    <s v="FBA"/>
    <x v="1"/>
    <x v="1"/>
    <n v="3"/>
    <n v="600.24"/>
    <n v="0.25"/>
    <n v="450.18"/>
    <n v="1800.72"/>
    <n v="1350.54"/>
    <n v="127.48"/>
    <n v="663.82"/>
    <n v="559.24"/>
    <n v="0.41410000000000002"/>
    <n v="0"/>
    <s v="Not Applicable"/>
    <s v="No"/>
    <m/>
    <m/>
    <n v="0"/>
    <s v="Yes"/>
    <s v="Amazon Coupon"/>
    <n v="1665.75"/>
    <n v="0.81079999999999997"/>
    <n v="296"/>
    <s v="In Stock"/>
  </r>
  <r>
    <s v="AMZ26-00292"/>
    <d v="2026-07-20T00:00:00"/>
    <x v="3"/>
    <s v="Q3"/>
    <n v="2026"/>
    <s v="CUST-4247"/>
    <s v="Priya Iyer"/>
    <s v="Corporate"/>
    <s v="India"/>
    <s v="Punjab"/>
    <s v="Ludhiana"/>
    <x v="0"/>
    <s v="Amazon App"/>
    <s v="Tablet"/>
    <x v="0"/>
    <s v="Men Clothing"/>
    <s v="Slim Jeans"/>
    <s v="Levi's"/>
    <s v="FAS-MEN-20341"/>
    <s v="FBA"/>
    <x v="1"/>
    <x v="2"/>
    <n v="3"/>
    <n v="2067.41"/>
    <n v="0"/>
    <n v="0"/>
    <n v="6202.23"/>
    <n v="6202.23"/>
    <n v="199.12"/>
    <n v="3652.34"/>
    <n v="2350.77"/>
    <n v="0.379"/>
    <n v="7"/>
    <s v="In Transit"/>
    <s v="No"/>
    <m/>
    <m/>
    <n v="0"/>
    <s v="No"/>
    <s v="Prime Deal"/>
    <n v="7530.02"/>
    <n v="0.82369999999999999"/>
    <n v="50"/>
    <s v="In Stock"/>
  </r>
  <r>
    <s v="AMZ26-00293"/>
    <d v="2026-06-03T00:00:00"/>
    <x v="5"/>
    <s v="Q2"/>
    <n v="2026"/>
    <s v="CUST-3625"/>
    <s v="Sai Iyer"/>
    <s v="Small Business"/>
    <s v="India"/>
    <s v="West Bengal"/>
    <s v="Kolkata"/>
    <x v="2"/>
    <s v="Amazon App"/>
    <s v="Tablet"/>
    <x v="2"/>
    <s v="Skin Care"/>
    <s v="Face Serum"/>
    <s v="Minimalist"/>
    <s v="BEA-SKI-62705"/>
    <s v="FBM"/>
    <x v="2"/>
    <x v="2"/>
    <n v="3"/>
    <n v="823.58"/>
    <n v="0.25"/>
    <n v="617.67999999999995"/>
    <n v="2470.7399999999998"/>
    <n v="1853.06"/>
    <n v="198.09"/>
    <n v="1015.13"/>
    <n v="639.84"/>
    <n v="0.3453"/>
    <n v="2"/>
    <s v="In Transit"/>
    <s v="No"/>
    <m/>
    <m/>
    <n v="0"/>
    <s v="Yes"/>
    <s v="Amazon Coupon"/>
    <n v="2158.0500000000002"/>
    <n v="0.85870000000000002"/>
    <n v="189"/>
    <s v="In Stock"/>
  </r>
  <r>
    <s v="AMZ26-00294"/>
    <d v="2026-09-12T00:00:00"/>
    <x v="1"/>
    <s v="Q3"/>
    <n v="2026"/>
    <s v="CUST-4672"/>
    <s v="Kavya Jain"/>
    <s v="Consumer"/>
    <s v="India"/>
    <s v="Tamil Nadu"/>
    <s v="Chennai"/>
    <x v="1"/>
    <s v="Amazon Website"/>
    <s v="Android"/>
    <x v="0"/>
    <s v="Women Clothing"/>
    <s v="Denim Jeans"/>
    <s v="Levi's"/>
    <s v="FAS-WOM-37458"/>
    <s v="FBA"/>
    <x v="3"/>
    <x v="0"/>
    <n v="1"/>
    <n v="354.03"/>
    <n v="0.2"/>
    <n v="70.81"/>
    <n v="354.03"/>
    <n v="283.22000000000003"/>
    <n v="71.39"/>
    <n v="220.88"/>
    <n v="-9.0500000000000007"/>
    <n v="-3.2000000000000001E-2"/>
    <n v="3"/>
    <s v="On Time"/>
    <s v="No"/>
    <m/>
    <n v="4"/>
    <n v="3"/>
    <s v="No"/>
    <s v="Bank Offer"/>
    <n v="336.27"/>
    <n v="0.84219999999999995"/>
    <n v="193"/>
    <s v="In Stock"/>
  </r>
  <r>
    <s v="AMZ26-00295"/>
    <d v="2026-08-13T00:00:00"/>
    <x v="4"/>
    <s v="Q3"/>
    <n v="2026"/>
    <s v="CUST-2345"/>
    <s v="Ananya Joshi"/>
    <s v="Corporate"/>
    <s v="India"/>
    <s v="Karnataka"/>
    <s v="Mysuru"/>
    <x v="1"/>
    <s v="Amazon App"/>
    <s v="iOS"/>
    <x v="4"/>
    <s v="Home Decor"/>
    <s v="LED Lamp"/>
    <s v="Wipro"/>
    <s v="HOM-HOM-19781"/>
    <s v="FBM"/>
    <x v="0"/>
    <x v="0"/>
    <n v="5"/>
    <n v="3898.68"/>
    <n v="0"/>
    <n v="0"/>
    <n v="19493.400000000001"/>
    <n v="19493.400000000001"/>
    <n v="239.67"/>
    <n v="14448.36"/>
    <n v="4805.37"/>
    <n v="0.2465"/>
    <n v="2"/>
    <s v="On Time"/>
    <s v="No"/>
    <m/>
    <n v="4"/>
    <n v="3"/>
    <s v="Yes"/>
    <s v="Lightning Deal"/>
    <n v="22679.49"/>
    <n v="0.85950000000000004"/>
    <n v="169"/>
    <s v="In Stock"/>
  </r>
  <r>
    <s v="AMZ26-00296"/>
    <d v="2026-03-27T00:00:00"/>
    <x v="0"/>
    <s v="Q1"/>
    <n v="2026"/>
    <s v="CUST-2135"/>
    <s v="Vivek Kumar"/>
    <s v="Corporate"/>
    <s v="India"/>
    <s v="West Bengal"/>
    <s v="Kolkata"/>
    <x v="2"/>
    <s v="Amazon Website"/>
    <s v="Android"/>
    <x v="1"/>
    <s v="Laptops"/>
    <s v="Vivobook"/>
    <s v="ASUS"/>
    <s v="ELE-LAP-83848"/>
    <s v="FBM"/>
    <x v="1"/>
    <x v="0"/>
    <n v="5"/>
    <n v="39920.449999999997"/>
    <n v="0.3"/>
    <n v="59880.67"/>
    <n v="199602.25"/>
    <n v="139721.57999999999"/>
    <n v="92.81"/>
    <n v="96651.16"/>
    <n v="42977.61"/>
    <n v="0.30759999999999998"/>
    <n v="4"/>
    <s v="On Time"/>
    <s v="No"/>
    <m/>
    <n v="4"/>
    <n v="1"/>
    <s v="No"/>
    <s v="Bank Offer"/>
    <n v="148111.35"/>
    <n v="0.94340000000000002"/>
    <n v="374"/>
    <s v="In Stock"/>
  </r>
  <r>
    <s v="AMZ26-00297"/>
    <d v="2026-09-19T00:00:00"/>
    <x v="1"/>
    <s v="Q3"/>
    <n v="2026"/>
    <s v="CUST-2465"/>
    <s v="Kavya Das"/>
    <s v="Corporate"/>
    <s v="India"/>
    <s v="Rajasthan"/>
    <s v="Jaipur"/>
    <x v="3"/>
    <s v="Amazon App"/>
    <s v="Tablet"/>
    <x v="2"/>
    <s v="Hair Care"/>
    <s v="Hair Mask"/>
    <s v="Tresemme"/>
    <s v="BEA-HAI-64219"/>
    <s v="FBA"/>
    <x v="4"/>
    <x v="1"/>
    <n v="1"/>
    <n v="166.99"/>
    <n v="0.05"/>
    <n v="8.35"/>
    <n v="166.99"/>
    <n v="158.63999999999999"/>
    <n v="53.5"/>
    <n v="115.75"/>
    <n v="-10.61"/>
    <n v="-6.6900000000000001E-2"/>
    <n v="0"/>
    <s v="Not Applicable"/>
    <s v="No"/>
    <m/>
    <m/>
    <n v="0"/>
    <s v="Yes"/>
    <s v="Festival Sale"/>
    <n v="171.09"/>
    <n v="0.92720000000000002"/>
    <n v="141"/>
    <s v="In Stock"/>
  </r>
  <r>
    <s v="AMZ26-00298"/>
    <d v="2026-05-07T00:00:00"/>
    <x v="2"/>
    <s v="Q2"/>
    <n v="2026"/>
    <s v="CUST-2926"/>
    <s v="Rahul Jain"/>
    <s v="Small Business"/>
    <s v="India"/>
    <s v="Uttar Pradesh"/>
    <s v="Noida"/>
    <x v="0"/>
    <s v="Amazon Website"/>
    <s v="Android"/>
    <x v="2"/>
    <s v="Skin Care"/>
    <s v="Moisturizer"/>
    <s v="Cetaphil"/>
    <s v="BEA-SKI-98676"/>
    <s v="FBM"/>
    <x v="3"/>
    <x v="1"/>
    <n v="5"/>
    <n v="877.16"/>
    <n v="0.15"/>
    <n v="657.87"/>
    <n v="4385.8"/>
    <n v="3727.93"/>
    <n v="216.21"/>
    <n v="2139.0500000000002"/>
    <n v="1372.67"/>
    <n v="0.36820000000000003"/>
    <n v="0"/>
    <s v="Not Applicable"/>
    <s v="No"/>
    <m/>
    <m/>
    <n v="0"/>
    <s v="Yes"/>
    <s v="Amazon Coupon"/>
    <n v="3328.92"/>
    <n v="1.1198999999999999"/>
    <n v="149"/>
    <s v="In Stock"/>
  </r>
  <r>
    <s v="AMZ26-00299"/>
    <d v="2026-09-04T00:00:00"/>
    <x v="1"/>
    <s v="Q3"/>
    <n v="2026"/>
    <s v="CUST-3970"/>
    <s v="Ananya Reddy"/>
    <s v="Small Business"/>
    <s v="India"/>
    <s v="Punjab"/>
    <s v="Ludhiana"/>
    <x v="0"/>
    <s v="Amazon App"/>
    <s v="iOS"/>
    <x v="2"/>
    <s v="Makeup"/>
    <s v="Kajal"/>
    <s v="Lakme"/>
    <s v="BEA-MAK-21154"/>
    <s v="FBA"/>
    <x v="1"/>
    <x v="0"/>
    <n v="1"/>
    <n v="2212.12"/>
    <n v="0"/>
    <n v="0"/>
    <n v="2212.12"/>
    <n v="2212.12"/>
    <n v="220.46"/>
    <n v="1659.83"/>
    <n v="331.83"/>
    <n v="0.15"/>
    <n v="7"/>
    <s v="Delayed"/>
    <s v="No"/>
    <m/>
    <n v="3"/>
    <n v="0"/>
    <s v="Yes"/>
    <s v="Bank Offer"/>
    <n v="1963.83"/>
    <n v="1.1264000000000001"/>
    <n v="436"/>
    <s v="In Stock"/>
  </r>
  <r>
    <s v="AMZ26-00300"/>
    <d v="2026-11-21T00:00:00"/>
    <x v="6"/>
    <s v="Q4"/>
    <n v="2026"/>
    <s v="CUST-3504"/>
    <s v="Sai Joshi"/>
    <s v="Corporate"/>
    <s v="India"/>
    <s v="Delhi"/>
    <s v="New Delhi"/>
    <x v="0"/>
    <s v="Amazon App"/>
    <s v="Tablet"/>
    <x v="1"/>
    <s v="Laptops"/>
    <s v="Vivobook"/>
    <s v="ASUS"/>
    <s v="ELE-LAP-69340"/>
    <s v="FBA"/>
    <x v="2"/>
    <x v="0"/>
    <n v="4"/>
    <n v="16131.21"/>
    <n v="0.3"/>
    <n v="19357.45"/>
    <n v="64524.84"/>
    <n v="45167.39"/>
    <n v="88.95"/>
    <n v="34571.589999999997"/>
    <n v="10506.85"/>
    <n v="0.2326"/>
    <n v="7"/>
    <s v="Delayed"/>
    <s v="No"/>
    <m/>
    <n v="5"/>
    <n v="1"/>
    <s v="Yes"/>
    <s v="Lightning Deal"/>
    <n v="47713.39"/>
    <n v="0.9466"/>
    <n v="188"/>
    <s v="In Stock"/>
  </r>
  <r>
    <s v="AMZ26-00301"/>
    <d v="2026-11-27T00:00:00"/>
    <x v="6"/>
    <s v="Q4"/>
    <n v="2026"/>
    <s v="CUST-3403"/>
    <s v="Kiran Reddy"/>
    <s v="Corporate"/>
    <s v="India"/>
    <s v="West Bengal"/>
    <s v="Kolkata"/>
    <x v="2"/>
    <s v="Amazon Website"/>
    <s v="iOS"/>
    <x v="1"/>
    <s v="Mobiles"/>
    <s v="Galaxy A Series"/>
    <s v="Samsung"/>
    <s v="ELE-MOB-11129"/>
    <s v="FBM"/>
    <x v="3"/>
    <x v="0"/>
    <n v="5"/>
    <n v="33156.83"/>
    <n v="0.05"/>
    <n v="8289.2099999999991"/>
    <n v="165784.15"/>
    <n v="157494.94"/>
    <n v="213.74"/>
    <n v="84554.81"/>
    <n v="72726.39"/>
    <n v="0.46179999999999999"/>
    <n v="7"/>
    <s v="Delayed"/>
    <s v="No"/>
    <m/>
    <n v="5"/>
    <n v="3"/>
    <s v="Yes"/>
    <s v="Prime Deal"/>
    <n v="178915.36"/>
    <n v="0.88029999999999997"/>
    <n v="127"/>
    <s v="In Stock"/>
  </r>
  <r>
    <s v="AMZ26-00302"/>
    <d v="2026-01-10T00:00:00"/>
    <x v="10"/>
    <s v="Q1"/>
    <n v="2026"/>
    <s v="CUST-4293"/>
    <s v="Vivek Patel"/>
    <s v="Consumer"/>
    <s v="India"/>
    <s v="Delhi"/>
    <s v="New Delhi"/>
    <x v="0"/>
    <s v="Amazon Website"/>
    <s v="Desktop"/>
    <x v="3"/>
    <s v="Beverages"/>
    <s v="Green Tea"/>
    <s v="Tata Tea"/>
    <s v="GRO-BEV-15157"/>
    <s v="FBA"/>
    <x v="0"/>
    <x v="0"/>
    <n v="2"/>
    <n v="769.97"/>
    <n v="0"/>
    <n v="0"/>
    <n v="1539.94"/>
    <n v="1539.94"/>
    <n v="92.61"/>
    <n v="1093.8499999999999"/>
    <n v="353.48"/>
    <n v="0.22950000000000001"/>
    <n v="6"/>
    <s v="Delayed"/>
    <s v="Yes"/>
    <s v="Quality Issue"/>
    <n v="4"/>
    <n v="2"/>
    <s v="No"/>
    <s v="Prime Deal"/>
    <n v="1879.96"/>
    <n v="0.81910000000000005"/>
    <n v="403"/>
    <s v="In Stock"/>
  </r>
  <r>
    <s v="AMZ26-00303"/>
    <d v="2026-07-20T00:00:00"/>
    <x v="3"/>
    <s v="Q3"/>
    <n v="2026"/>
    <s v="CUST-4295"/>
    <s v="Aditi Das"/>
    <s v="Small Business"/>
    <s v="India"/>
    <s v="Kerala"/>
    <s v="Kochi"/>
    <x v="1"/>
    <s v="Amazon Website"/>
    <s v="Tablet"/>
    <x v="0"/>
    <s v="Men Clothing"/>
    <s v="Casual T-Shirt"/>
    <s v="Puma"/>
    <s v="FAS-MEN-74027"/>
    <s v="FBM"/>
    <x v="2"/>
    <x v="0"/>
    <n v="1"/>
    <n v="2250.3000000000002"/>
    <n v="0"/>
    <n v="0"/>
    <n v="2250.3000000000002"/>
    <n v="2250.3000000000002"/>
    <n v="63.58"/>
    <n v="1267.8499999999999"/>
    <n v="918.87"/>
    <n v="0.4083"/>
    <n v="7"/>
    <s v="Delayed"/>
    <s v="No"/>
    <m/>
    <n v="3"/>
    <n v="4"/>
    <s v="Yes"/>
    <s v="Amazon Coupon"/>
    <n v="2536.19"/>
    <n v="0.88729999999999998"/>
    <n v="397"/>
    <s v="In Stock"/>
  </r>
  <r>
    <s v="AMZ26-00304"/>
    <d v="2026-07-25T00:00:00"/>
    <x v="3"/>
    <s v="Q3"/>
    <n v="2026"/>
    <s v="CUST-2864"/>
    <s v="Diya Patel"/>
    <s v="Corporate"/>
    <s v="India"/>
    <s v="Odisha"/>
    <s v="Bhubaneswar"/>
    <x v="2"/>
    <s v="Amazon App"/>
    <s v="Android"/>
    <x v="0"/>
    <s v="Footwear"/>
    <s v="Casual Sneakers"/>
    <s v="Puma"/>
    <s v="FAS-FOO-36692"/>
    <s v="FBM"/>
    <x v="2"/>
    <x v="0"/>
    <n v="3"/>
    <n v="426.61"/>
    <n v="0.1"/>
    <n v="127.98"/>
    <n v="1279.83"/>
    <n v="1151.8499999999999"/>
    <n v="19.04"/>
    <n v="574.85"/>
    <n v="557.96"/>
    <n v="0.4844"/>
    <n v="5"/>
    <s v="Delayed"/>
    <s v="No"/>
    <m/>
    <n v="3"/>
    <n v="2"/>
    <s v="Yes"/>
    <s v="None"/>
    <n v="999.69"/>
    <n v="1.1521999999999999"/>
    <n v="499"/>
    <s v="In Stock"/>
  </r>
  <r>
    <s v="AMZ26-00305"/>
    <d v="2026-03-15T00:00:00"/>
    <x v="0"/>
    <s v="Q1"/>
    <n v="2026"/>
    <s v="CUST-4847"/>
    <s v="Aditi Kumar"/>
    <s v="Small Business"/>
    <s v="India"/>
    <s v="Haryana"/>
    <s v="Gurugram"/>
    <x v="0"/>
    <s v="Amazon Website"/>
    <s v="iOS"/>
    <x v="4"/>
    <s v="Kitchen Appliances"/>
    <s v="Electric Kettle"/>
    <s v="Pigeon"/>
    <s v="HOM-KIT-65001"/>
    <s v="FBA"/>
    <x v="5"/>
    <x v="0"/>
    <n v="3"/>
    <n v="7683.8"/>
    <n v="0.1"/>
    <n v="2305.14"/>
    <n v="23051.4"/>
    <n v="20746.259999999998"/>
    <n v="66.38"/>
    <n v="10885.37"/>
    <n v="9794.51"/>
    <n v="0.47210000000000002"/>
    <n v="8"/>
    <s v="Delayed"/>
    <s v="No"/>
    <m/>
    <n v="4"/>
    <n v="2"/>
    <s v="No"/>
    <s v="Lightning Deal"/>
    <n v="19285.61"/>
    <n v="1.0757000000000001"/>
    <n v="332"/>
    <s v="In Stock"/>
  </r>
  <r>
    <s v="AMZ26-00306"/>
    <d v="2026-08-11T00:00:00"/>
    <x v="4"/>
    <s v="Q3"/>
    <n v="2026"/>
    <s v="CUST-3667"/>
    <s v="Aditi Jain"/>
    <s v="Consumer"/>
    <s v="India"/>
    <s v="Rajasthan"/>
    <s v="Jaipur"/>
    <x v="3"/>
    <s v="Amazon Website"/>
    <s v="Tablet"/>
    <x v="2"/>
    <s v="Makeup"/>
    <s v="Foundation"/>
    <s v="Lakme"/>
    <s v="BEA-MAK-18408"/>
    <s v="FBA"/>
    <x v="5"/>
    <x v="0"/>
    <n v="5"/>
    <n v="2175.4499999999998"/>
    <n v="0.25"/>
    <n v="2719.31"/>
    <n v="10877.25"/>
    <n v="8157.94"/>
    <n v="96.3"/>
    <n v="6130.13"/>
    <n v="1931.51"/>
    <n v="0.23680000000000001"/>
    <n v="7"/>
    <s v="Delayed"/>
    <s v="No"/>
    <m/>
    <n v="5"/>
    <n v="2"/>
    <s v="No"/>
    <s v="Amazon Coupon"/>
    <n v="7847.09"/>
    <n v="1.0396000000000001"/>
    <n v="204"/>
    <s v="In Stock"/>
  </r>
  <r>
    <s v="AMZ26-00307"/>
    <d v="2026-10-06T00:00:00"/>
    <x v="8"/>
    <s v="Q4"/>
    <n v="2026"/>
    <s v="CUST-4797"/>
    <s v="Diya Kumar"/>
    <s v="Corporate"/>
    <s v="India"/>
    <s v="Rajasthan"/>
    <s v="Jaipur"/>
    <x v="3"/>
    <s v="Amazon App"/>
    <s v="Android"/>
    <x v="2"/>
    <s v="Skin Care"/>
    <s v="Face Serum"/>
    <s v="Minimalist"/>
    <s v="BEA-SKI-44114"/>
    <s v="FBA"/>
    <x v="2"/>
    <x v="1"/>
    <n v="3"/>
    <n v="1282.8900000000001"/>
    <n v="0"/>
    <n v="0"/>
    <n v="3848.67"/>
    <n v="3848.67"/>
    <n v="91.65"/>
    <n v="1971.4"/>
    <n v="1785.62"/>
    <n v="0.46400000000000002"/>
    <n v="0"/>
    <s v="Not Applicable"/>
    <s v="No"/>
    <m/>
    <m/>
    <n v="0"/>
    <s v="Yes"/>
    <s v="Lightning Deal"/>
    <n v="4109.16"/>
    <n v="0.93659999999999999"/>
    <n v="7"/>
    <s v="Low Stock"/>
  </r>
  <r>
    <s v="AMZ26-00308"/>
    <d v="2026-09-17T00:00:00"/>
    <x v="1"/>
    <s v="Q3"/>
    <n v="2026"/>
    <s v="CUST-2972"/>
    <s v="Vihaan Rao"/>
    <s v="Small Business"/>
    <s v="India"/>
    <s v="Odisha"/>
    <s v="Bhubaneswar"/>
    <x v="2"/>
    <s v="Amazon Website"/>
    <s v="Tablet"/>
    <x v="1"/>
    <s v="Laptops"/>
    <s v="Inspiron Laptop"/>
    <s v="Dell"/>
    <s v="ELE-LAP-47814"/>
    <s v="FBM"/>
    <x v="1"/>
    <x v="0"/>
    <n v="4"/>
    <n v="13780.77"/>
    <n v="0.2"/>
    <n v="11024.62"/>
    <n v="55123.08"/>
    <n v="44098.46"/>
    <n v="150.58000000000001"/>
    <n v="27160.73"/>
    <n v="16787.150000000001"/>
    <n v="0.38069999999999998"/>
    <n v="8"/>
    <s v="Delayed"/>
    <s v="No"/>
    <m/>
    <n v="4"/>
    <n v="3"/>
    <s v="Yes"/>
    <s v="Lightning Deal"/>
    <n v="43890.2"/>
    <n v="1.0046999999999999"/>
    <n v="231"/>
    <s v="In Stock"/>
  </r>
  <r>
    <s v="AMZ26-00309"/>
    <d v="2026-01-22T00:00:00"/>
    <x v="10"/>
    <s v="Q1"/>
    <n v="2026"/>
    <s v="CUST-4612"/>
    <s v="Diya Shetty"/>
    <s v="Consumer"/>
    <s v="India"/>
    <s v="Maharashtra"/>
    <s v="Pune"/>
    <x v="3"/>
    <s v="Amazon Website"/>
    <s v="Desktop"/>
    <x v="3"/>
    <s v="Beverages"/>
    <s v="Coffee"/>
    <s v="Nescafe"/>
    <s v="GRO-BEV-28761"/>
    <s v="FBM"/>
    <x v="2"/>
    <x v="2"/>
    <n v="4"/>
    <n v="159.43"/>
    <n v="0.05"/>
    <n v="31.89"/>
    <n v="637.72"/>
    <n v="605.83000000000004"/>
    <n v="23.08"/>
    <n v="356.42"/>
    <n v="226.33"/>
    <n v="0.37359999999999999"/>
    <n v="6"/>
    <s v="In Transit"/>
    <s v="No"/>
    <m/>
    <m/>
    <n v="0"/>
    <s v="Yes"/>
    <s v="Bank Offer"/>
    <n v="667.94"/>
    <n v="0.90700000000000003"/>
    <n v="347"/>
    <s v="In Stock"/>
  </r>
  <r>
    <s v="AMZ26-00310"/>
    <d v="2026-05-22T00:00:00"/>
    <x v="2"/>
    <s v="Q2"/>
    <n v="2026"/>
    <s v="CUST-4222"/>
    <s v="Pooja Iyer"/>
    <s v="Consumer"/>
    <s v="India"/>
    <s v="Maharashtra"/>
    <s v="Pune"/>
    <x v="3"/>
    <s v="Amazon App"/>
    <s v="Android"/>
    <x v="0"/>
    <s v="Men Clothing"/>
    <s v="Cotton Shirt"/>
    <s v="Allen Solly"/>
    <s v="FAS-MEN-78476"/>
    <s v="FBA"/>
    <x v="3"/>
    <x v="0"/>
    <n v="1"/>
    <n v="916.62"/>
    <n v="0.2"/>
    <n v="183.32"/>
    <n v="916.62"/>
    <n v="733.3"/>
    <n v="11.87"/>
    <n v="493.22"/>
    <n v="228.21"/>
    <n v="0.31119999999999998"/>
    <n v="1"/>
    <s v="On Time"/>
    <s v="No"/>
    <m/>
    <n v="5"/>
    <n v="0"/>
    <s v="No"/>
    <s v="None"/>
    <n v="916.1"/>
    <n v="0.80049999999999999"/>
    <n v="375"/>
    <s v="In Stock"/>
  </r>
  <r>
    <s v="AMZ26-00311"/>
    <d v="2026-11-27T00:00:00"/>
    <x v="6"/>
    <s v="Q4"/>
    <n v="2026"/>
    <s v="CUST-2114"/>
    <s v="Vihaan Reddy"/>
    <s v="Small Business"/>
    <s v="India"/>
    <s v="Karnataka"/>
    <s v="Mysuru"/>
    <x v="1"/>
    <s v="Amazon Website"/>
    <s v="iOS"/>
    <x v="3"/>
    <s v="Beverages"/>
    <s v="Coffee"/>
    <s v="Nescafe"/>
    <s v="GRO-BEV-16759"/>
    <s v="FBA"/>
    <x v="4"/>
    <x v="0"/>
    <n v="4"/>
    <n v="192.66"/>
    <n v="0.2"/>
    <n v="154.13"/>
    <n v="770.64"/>
    <n v="616.51"/>
    <n v="49.52"/>
    <n v="365.54"/>
    <n v="201.45"/>
    <n v="0.32679999999999998"/>
    <n v="4"/>
    <s v="On Time"/>
    <s v="No"/>
    <m/>
    <n v="5"/>
    <n v="1"/>
    <s v="No"/>
    <s v="Prime Deal"/>
    <n v="556.04"/>
    <n v="1.1088"/>
    <n v="440"/>
    <s v="In Stock"/>
  </r>
  <r>
    <s v="AMZ26-00312"/>
    <d v="2026-11-13T00:00:00"/>
    <x v="6"/>
    <s v="Q4"/>
    <n v="2026"/>
    <s v="CUST-4475"/>
    <s v="Pooja Patel"/>
    <s v="Small Business"/>
    <s v="India"/>
    <s v="Haryana"/>
    <s v="Gurugram"/>
    <x v="0"/>
    <s v="Amazon App"/>
    <s v="Tablet"/>
    <x v="4"/>
    <s v="Home Decor"/>
    <s v="Curtain Set"/>
    <s v="Home Centre"/>
    <s v="HOM-HOM-25040"/>
    <s v="FBA"/>
    <x v="3"/>
    <x v="0"/>
    <n v="1"/>
    <n v="292.81"/>
    <n v="0.15"/>
    <n v="43.92"/>
    <n v="292.81"/>
    <n v="248.89"/>
    <n v="109.6"/>
    <n v="174.16"/>
    <n v="-34.869999999999997"/>
    <n v="-0.1401"/>
    <n v="1"/>
    <s v="On Time"/>
    <s v="Yes"/>
    <s v="Wrong Item"/>
    <n v="5"/>
    <n v="1"/>
    <s v="No"/>
    <s v="Bank Offer"/>
    <n v="287.36"/>
    <n v="0.86609999999999998"/>
    <n v="87"/>
    <s v="In Stock"/>
  </r>
  <r>
    <s v="AMZ26-00313"/>
    <d v="2026-08-04T00:00:00"/>
    <x v="4"/>
    <s v="Q3"/>
    <n v="2026"/>
    <s v="CUST-1731"/>
    <s v="Pooja Joshi"/>
    <s v="Corporate"/>
    <s v="India"/>
    <s v="West Bengal"/>
    <s v="Kolkata"/>
    <x v="2"/>
    <s v="Amazon App"/>
    <s v="iOS"/>
    <x v="0"/>
    <s v="Footwear"/>
    <s v="Casual Sneakers"/>
    <s v="Puma"/>
    <s v="FAS-FOO-23962"/>
    <s v="FBM"/>
    <x v="0"/>
    <x v="0"/>
    <n v="4"/>
    <n v="1817.89"/>
    <n v="0.2"/>
    <n v="1454.31"/>
    <n v="7271.56"/>
    <n v="5817.25"/>
    <n v="206.66"/>
    <n v="4525.6000000000004"/>
    <n v="1084.99"/>
    <n v="0.1865"/>
    <n v="5"/>
    <s v="Delayed"/>
    <s v="No"/>
    <m/>
    <n v="5"/>
    <n v="0"/>
    <s v="Yes"/>
    <s v="Prime Deal"/>
    <n v="7108.06"/>
    <n v="0.81840000000000002"/>
    <n v="146"/>
    <s v="In Stock"/>
  </r>
  <r>
    <s v="AMZ26-00314"/>
    <d v="2026-04-05T00:00:00"/>
    <x v="9"/>
    <s v="Q2"/>
    <n v="2026"/>
    <s v="CUST-1699"/>
    <s v="Kavya Rao"/>
    <s v="Corporate"/>
    <s v="India"/>
    <s v="Rajasthan"/>
    <s v="Jaipur"/>
    <x v="3"/>
    <s v="Amazon Website"/>
    <s v="Tablet"/>
    <x v="0"/>
    <s v="Men Clothing"/>
    <s v="Cotton Shirt"/>
    <s v="Allen Solly"/>
    <s v="FAS-MEN-62691"/>
    <s v="FBA"/>
    <x v="0"/>
    <x v="0"/>
    <n v="4"/>
    <n v="3991.37"/>
    <n v="0"/>
    <n v="0"/>
    <n v="15965.48"/>
    <n v="15965.48"/>
    <n v="106.06"/>
    <n v="10666.7"/>
    <n v="5192.72"/>
    <n v="0.32519999999999999"/>
    <n v="7"/>
    <s v="Delayed"/>
    <s v="Yes"/>
    <s v="Size/Fit Issue"/>
    <n v="3"/>
    <n v="1"/>
    <s v="Yes"/>
    <s v="Amazon Coupon"/>
    <n v="17357.599999999999"/>
    <n v="0.91979999999999995"/>
    <n v="27"/>
    <s v="Low Stock"/>
  </r>
  <r>
    <s v="AMZ26-00315"/>
    <d v="2026-12-03T00:00:00"/>
    <x v="11"/>
    <s v="Q4"/>
    <n v="2026"/>
    <s v="CUST-1979"/>
    <s v="Nandini Shetty"/>
    <s v="Consumer"/>
    <s v="India"/>
    <s v="Maharashtra"/>
    <s v="Pune"/>
    <x v="3"/>
    <s v="Amazon Website"/>
    <s v="Desktop"/>
    <x v="1"/>
    <s v="Laptops"/>
    <s v="Vivobook"/>
    <s v="ASUS"/>
    <s v="ELE-LAP-48270"/>
    <s v="FBA"/>
    <x v="1"/>
    <x v="0"/>
    <n v="3"/>
    <n v="27457.35"/>
    <n v="0"/>
    <n v="0"/>
    <n v="82372.05"/>
    <n v="82372.05"/>
    <n v="36.979999999999997"/>
    <n v="54679.35"/>
    <n v="27655.72"/>
    <n v="0.3357"/>
    <n v="6"/>
    <s v="Delayed"/>
    <s v="No"/>
    <m/>
    <n v="5"/>
    <n v="3"/>
    <s v="Yes"/>
    <s v="Bank Offer"/>
    <n v="88149.56"/>
    <n v="0.9345"/>
    <n v="18"/>
    <s v="Low Stock"/>
  </r>
  <r>
    <s v="AMZ26-00316"/>
    <d v="2026-08-16T00:00:00"/>
    <x v="4"/>
    <s v="Q3"/>
    <n v="2026"/>
    <s v="CUST-2413"/>
    <s v="Nikhil Yadav"/>
    <s v="Corporate"/>
    <s v="India"/>
    <s v="Bihar"/>
    <s v="Patna"/>
    <x v="2"/>
    <s v="Amazon App"/>
    <s v="Tablet"/>
    <x v="2"/>
    <s v="Hair Care"/>
    <s v="Shampoo"/>
    <s v="Dove"/>
    <s v="BEA-HAI-82212"/>
    <s v="FBM"/>
    <x v="3"/>
    <x v="0"/>
    <n v="3"/>
    <n v="1792.59"/>
    <n v="0.1"/>
    <n v="537.78"/>
    <n v="5377.77"/>
    <n v="4839.99"/>
    <n v="233.11"/>
    <n v="2402.44"/>
    <n v="2204.44"/>
    <n v="0.45550000000000002"/>
    <n v="1"/>
    <s v="On Time"/>
    <s v="No"/>
    <m/>
    <n v="4"/>
    <n v="3"/>
    <s v="Yes"/>
    <s v="Bank Offer"/>
    <n v="5139.33"/>
    <n v="0.94179999999999997"/>
    <n v="141"/>
    <s v="In Stock"/>
  </r>
  <r>
    <s v="AMZ26-00317"/>
    <d v="2026-05-18T00:00:00"/>
    <x v="2"/>
    <s v="Q2"/>
    <n v="2026"/>
    <s v="CUST-3797"/>
    <s v="Arjun Rao"/>
    <s v="Consumer"/>
    <s v="India"/>
    <s v="Haryana"/>
    <s v="Gurugram"/>
    <x v="0"/>
    <s v="Amazon Website"/>
    <s v="iOS"/>
    <x v="0"/>
    <s v="Women Clothing"/>
    <s v="Printed Kurti"/>
    <s v="BIBA"/>
    <s v="FAS-WOM-28652"/>
    <s v="FBA"/>
    <x v="1"/>
    <x v="0"/>
    <n v="3"/>
    <n v="799.63"/>
    <n v="0.1"/>
    <n v="239.89"/>
    <n v="2398.89"/>
    <n v="2159"/>
    <n v="147.86000000000001"/>
    <n v="1203.95"/>
    <n v="807.19"/>
    <n v="0.37390000000000001"/>
    <n v="6"/>
    <s v="Delayed"/>
    <s v="No"/>
    <m/>
    <n v="4"/>
    <n v="1"/>
    <s v="Yes"/>
    <s v="Prime Deal"/>
    <n v="2422.29"/>
    <n v="0.89129999999999998"/>
    <n v="228"/>
    <s v="In Stock"/>
  </r>
  <r>
    <s v="AMZ26-00318"/>
    <d v="2026-09-26T00:00:00"/>
    <x v="1"/>
    <s v="Q3"/>
    <n v="2026"/>
    <s v="CUST-1483"/>
    <s v="Aarav Reddy"/>
    <s v="Small Business"/>
    <s v="India"/>
    <s v="Uttar Pradesh"/>
    <s v="Noida"/>
    <x v="0"/>
    <s v="Amazon App"/>
    <s v="Tablet"/>
    <x v="3"/>
    <s v="Staples"/>
    <s v="Basmati Rice"/>
    <s v="India Gate"/>
    <s v="GRO-STA-97600"/>
    <s v="FBA"/>
    <x v="1"/>
    <x v="0"/>
    <n v="1"/>
    <n v="1139.5"/>
    <n v="0.15"/>
    <n v="170.92"/>
    <n v="1139.5"/>
    <n v="968.58"/>
    <n v="58.81"/>
    <n v="527.72"/>
    <n v="382.05"/>
    <n v="0.39439999999999997"/>
    <n v="5"/>
    <s v="Delayed"/>
    <s v="No"/>
    <m/>
    <n v="5"/>
    <n v="0"/>
    <s v="Yes"/>
    <s v="None"/>
    <n v="954.99"/>
    <n v="1.0142"/>
    <n v="358"/>
    <s v="In Stock"/>
  </r>
  <r>
    <s v="AMZ26-00319"/>
    <d v="2026-10-24T00:00:00"/>
    <x v="8"/>
    <s v="Q4"/>
    <n v="2026"/>
    <s v="CUST-4424"/>
    <s v="Nikhil Sharma"/>
    <s v="Corporate"/>
    <s v="India"/>
    <s v="Bihar"/>
    <s v="Patna"/>
    <x v="2"/>
    <s v="Amazon Website"/>
    <s v="Tablet"/>
    <x v="4"/>
    <s v="Kitchen Appliances"/>
    <s v="Mixer Grinder"/>
    <s v="Prestige"/>
    <s v="HOM-KIT-61105"/>
    <s v="FBM"/>
    <x v="0"/>
    <x v="0"/>
    <n v="1"/>
    <n v="5063.79"/>
    <n v="0"/>
    <n v="0"/>
    <n v="5063.79"/>
    <n v="5063.79"/>
    <n v="43.3"/>
    <n v="3726.11"/>
    <n v="1294.3800000000001"/>
    <n v="0.25559999999999999"/>
    <n v="5"/>
    <s v="Delayed"/>
    <s v="No"/>
    <m/>
    <n v="4"/>
    <n v="2"/>
    <s v="Yes"/>
    <s v="Lightning Deal"/>
    <n v="5722.69"/>
    <n v="0.88490000000000002"/>
    <n v="118"/>
    <s v="In Stock"/>
  </r>
  <r>
    <s v="AMZ26-00320"/>
    <d v="2026-08-15T00:00:00"/>
    <x v="4"/>
    <s v="Q3"/>
    <n v="2026"/>
    <s v="CUST-2764"/>
    <s v="Aditya Shetty"/>
    <s v="Corporate"/>
    <s v="India"/>
    <s v="Uttar Pradesh"/>
    <s v="Noida"/>
    <x v="0"/>
    <s v="Amazon Website"/>
    <s v="Android"/>
    <x v="4"/>
    <s v="Cookware"/>
    <s v="Pressure Cooker"/>
    <s v="Hawkins"/>
    <s v="HOM-COO-13581"/>
    <s v="FBA"/>
    <x v="3"/>
    <x v="0"/>
    <n v="4"/>
    <n v="7257.54"/>
    <n v="0.2"/>
    <n v="5806.03"/>
    <n v="29030.16"/>
    <n v="23224.13"/>
    <n v="55.27"/>
    <n v="11857.11"/>
    <n v="11311.75"/>
    <n v="0.48709999999999998"/>
    <n v="5"/>
    <s v="Delayed"/>
    <s v="Yes"/>
    <s v="Changed Mind"/>
    <n v="4"/>
    <n v="3"/>
    <s v="Yes"/>
    <s v="Amazon Coupon"/>
    <n v="25742.11"/>
    <n v="0.9022"/>
    <n v="23"/>
    <s v="Low Stock"/>
  </r>
  <r>
    <s v="AMZ26-00321"/>
    <d v="2026-12-11T00:00:00"/>
    <x v="11"/>
    <s v="Q4"/>
    <n v="2026"/>
    <s v="CUST-4341"/>
    <s v="Arjun Shetty"/>
    <s v="Consumer"/>
    <s v="India"/>
    <s v="Haryana"/>
    <s v="Gurugram"/>
    <x v="0"/>
    <s v="Amazon Website"/>
    <s v="iOS"/>
    <x v="2"/>
    <s v="Skin Care"/>
    <s v="Sunscreen"/>
    <s v="Neutrogena"/>
    <s v="BEA-SKI-39898"/>
    <s v="FBM"/>
    <x v="5"/>
    <x v="0"/>
    <n v="4"/>
    <n v="677.22"/>
    <n v="0.05"/>
    <n v="135.44"/>
    <n v="2708.88"/>
    <n v="2573.44"/>
    <n v="211.69"/>
    <n v="1559.81"/>
    <n v="801.94"/>
    <n v="0.31159999999999999"/>
    <n v="2"/>
    <s v="On Time"/>
    <s v="No"/>
    <m/>
    <n v="5"/>
    <n v="0"/>
    <s v="Yes"/>
    <s v="Prime Deal"/>
    <n v="2818.25"/>
    <n v="0.91310000000000002"/>
    <n v="129"/>
    <s v="In Stock"/>
  </r>
  <r>
    <s v="AMZ26-00322"/>
    <d v="2026-12-11T00:00:00"/>
    <x v="11"/>
    <s v="Q4"/>
    <n v="2026"/>
    <s v="CUST-1235"/>
    <s v="Nandini Patel"/>
    <s v="Corporate"/>
    <s v="India"/>
    <s v="Uttar Pradesh"/>
    <s v="Noida"/>
    <x v="0"/>
    <s v="Amazon Website"/>
    <s v="Android"/>
    <x v="2"/>
    <s v="Hair Care"/>
    <s v="Hair Mask"/>
    <s v="Tresemme"/>
    <s v="BEA-HAI-23767"/>
    <s v="FBM"/>
    <x v="3"/>
    <x v="0"/>
    <n v="1"/>
    <n v="353.05"/>
    <n v="0.3"/>
    <n v="105.92"/>
    <n v="353.05"/>
    <n v="247.13"/>
    <n v="115.52"/>
    <n v="169.74"/>
    <n v="-38.130000000000003"/>
    <n v="-0.15429999999999999"/>
    <n v="2"/>
    <s v="On Time"/>
    <s v="No"/>
    <m/>
    <n v="5"/>
    <n v="1"/>
    <s v="Yes"/>
    <s v="Prime Deal"/>
    <n v="223.24"/>
    <n v="1.107"/>
    <n v="247"/>
    <s v="In Stock"/>
  </r>
  <r>
    <s v="AMZ26-00323"/>
    <d v="2026-10-13T00:00:00"/>
    <x v="8"/>
    <s v="Q4"/>
    <n v="2026"/>
    <s v="CUST-1263"/>
    <s v="Rohan Gupta"/>
    <s v="Small Business"/>
    <s v="India"/>
    <s v="Assam"/>
    <s v="Guwahati"/>
    <x v="2"/>
    <s v="Amazon Website"/>
    <s v="iOS"/>
    <x v="4"/>
    <s v="Kitchen Appliances"/>
    <s v="Air Fryer"/>
    <s v="Philips"/>
    <s v="HOM-KIT-63776"/>
    <s v="FBA"/>
    <x v="3"/>
    <x v="0"/>
    <n v="1"/>
    <n v="1980.41"/>
    <n v="0.2"/>
    <n v="396.08"/>
    <n v="1980.41"/>
    <n v="1584.33"/>
    <n v="76.89"/>
    <n v="977.55"/>
    <n v="529.89"/>
    <n v="0.33450000000000002"/>
    <n v="3"/>
    <s v="On Time"/>
    <s v="No"/>
    <m/>
    <n v="5"/>
    <n v="3"/>
    <s v="No"/>
    <s v="Lightning Deal"/>
    <n v="1897.12"/>
    <n v="0.83509999999999995"/>
    <n v="211"/>
    <s v="In Stock"/>
  </r>
  <r>
    <s v="AMZ26-00324"/>
    <d v="2026-04-06T00:00:00"/>
    <x v="9"/>
    <s v="Q2"/>
    <n v="2026"/>
    <s v="CUST-3866"/>
    <s v="Aditi Sharma"/>
    <s v="Corporate"/>
    <s v="India"/>
    <s v="Haryana"/>
    <s v="Gurugram"/>
    <x v="0"/>
    <s v="Amazon App"/>
    <s v="Android"/>
    <x v="0"/>
    <s v="Women Clothing"/>
    <s v="Denim Jeans"/>
    <s v="Levi's"/>
    <s v="FAS-WOM-35836"/>
    <s v="FBM"/>
    <x v="3"/>
    <x v="2"/>
    <n v="5"/>
    <n v="2423.0700000000002"/>
    <n v="0"/>
    <n v="0"/>
    <n v="12115.35"/>
    <n v="12115.35"/>
    <n v="25.42"/>
    <n v="6842.95"/>
    <n v="5246.98"/>
    <n v="0.43309999999999998"/>
    <n v="3"/>
    <s v="In Transit"/>
    <s v="No"/>
    <m/>
    <m/>
    <n v="0"/>
    <s v="No"/>
    <s v="Festival Sale"/>
    <n v="12539.78"/>
    <n v="0.96619999999999995"/>
    <n v="30"/>
    <s v="Low Stock"/>
  </r>
  <r>
    <s v="AMZ26-00325"/>
    <d v="2026-03-04T00:00:00"/>
    <x v="0"/>
    <s v="Q1"/>
    <n v="2026"/>
    <s v="CUST-4319"/>
    <s v="Sneha Jain"/>
    <s v="Corporate"/>
    <s v="India"/>
    <s v="Uttar Pradesh"/>
    <s v="Noida"/>
    <x v="0"/>
    <s v="Amazon App"/>
    <s v="iOS"/>
    <x v="4"/>
    <s v="Home Decor"/>
    <s v="Wall Clock"/>
    <s v="Ajanta"/>
    <s v="HOM-HOM-35542"/>
    <s v="FBM"/>
    <x v="4"/>
    <x v="0"/>
    <n v="4"/>
    <n v="8017.01"/>
    <n v="0.15"/>
    <n v="4810.21"/>
    <n v="32068.04"/>
    <n v="27257.83"/>
    <n v="46.41"/>
    <n v="14412.83"/>
    <n v="12798.59"/>
    <n v="0.46949999999999997"/>
    <n v="4"/>
    <s v="On Time"/>
    <s v="No"/>
    <m/>
    <n v="3"/>
    <n v="3"/>
    <s v="No"/>
    <s v="Festival Sale"/>
    <n v="29776.400000000001"/>
    <n v="0.91539999999999999"/>
    <n v="202"/>
    <s v="In Stock"/>
  </r>
  <r>
    <s v="AMZ26-00326"/>
    <d v="2026-08-20T00:00:00"/>
    <x v="4"/>
    <s v="Q3"/>
    <n v="2026"/>
    <s v="CUST-3847"/>
    <s v="Pooja Jain"/>
    <s v="Corporate"/>
    <s v="India"/>
    <s v="Maharashtra"/>
    <s v="Mumbai"/>
    <x v="3"/>
    <s v="Amazon Website"/>
    <s v="Tablet"/>
    <x v="1"/>
    <s v="Laptops"/>
    <s v="Pavilion"/>
    <s v="HP"/>
    <s v="ELE-LAP-46698"/>
    <s v="FBA"/>
    <x v="4"/>
    <x v="1"/>
    <n v="2"/>
    <n v="28906.639999999999"/>
    <n v="0.15"/>
    <n v="8671.99"/>
    <n v="57813.279999999999"/>
    <n v="49141.29"/>
    <n v="235.99"/>
    <n v="24893.18"/>
    <n v="24012.12"/>
    <n v="0.48859999999999998"/>
    <n v="0"/>
    <s v="Not Applicable"/>
    <s v="No"/>
    <m/>
    <m/>
    <n v="0"/>
    <s v="Yes"/>
    <s v="Festival Sale"/>
    <n v="58302.73"/>
    <n v="0.84289999999999998"/>
    <n v="250"/>
    <s v="In Stock"/>
  </r>
  <r>
    <s v="AMZ26-00327"/>
    <d v="2026-12-09T00:00:00"/>
    <x v="11"/>
    <s v="Q4"/>
    <n v="2026"/>
    <s v="CUST-3815"/>
    <s v="Vivek Kumar"/>
    <s v="Small Business"/>
    <s v="India"/>
    <s v="Uttar Pradesh"/>
    <s v="Noida"/>
    <x v="0"/>
    <s v="Amazon App"/>
    <s v="iOS"/>
    <x v="1"/>
    <s v="Laptops"/>
    <s v="Pavilion"/>
    <s v="HP"/>
    <s v="ELE-LAP-66001"/>
    <s v="FBA"/>
    <x v="2"/>
    <x v="2"/>
    <n v="5"/>
    <n v="671.12"/>
    <n v="0.2"/>
    <n v="671.12"/>
    <n v="3355.6"/>
    <n v="2684.48"/>
    <n v="158.15"/>
    <n v="2062.5300000000002"/>
    <n v="463.8"/>
    <n v="0.17280000000000001"/>
    <n v="6"/>
    <s v="In Transit"/>
    <s v="No"/>
    <m/>
    <m/>
    <n v="0"/>
    <s v="Yes"/>
    <s v="Bank Offer"/>
    <n v="3154.75"/>
    <n v="0.85089999999999999"/>
    <n v="290"/>
    <s v="In Stock"/>
  </r>
  <r>
    <s v="AMZ26-00328"/>
    <d v="2026-01-31T00:00:00"/>
    <x v="10"/>
    <s v="Q1"/>
    <n v="2026"/>
    <s v="CUST-4468"/>
    <s v="Pooja Iyer"/>
    <s v="Small Business"/>
    <s v="India"/>
    <s v="Haryana"/>
    <s v="Gurugram"/>
    <x v="0"/>
    <s v="Amazon Website"/>
    <s v="Desktop"/>
    <x v="3"/>
    <s v="Staples"/>
    <s v="Cooking Oil"/>
    <s v="Fortune"/>
    <s v="GRO-STA-98799"/>
    <s v="FBM"/>
    <x v="3"/>
    <x v="2"/>
    <n v="5"/>
    <n v="1589.77"/>
    <n v="0.25"/>
    <n v="1987.21"/>
    <n v="7948.85"/>
    <n v="5961.64"/>
    <n v="59.61"/>
    <n v="3590.09"/>
    <n v="2311.94"/>
    <n v="0.38779999999999998"/>
    <n v="1"/>
    <s v="In Transit"/>
    <s v="No"/>
    <m/>
    <m/>
    <n v="0"/>
    <s v="Yes"/>
    <s v="Prime Deal"/>
    <n v="5491.08"/>
    <n v="1.0857000000000001"/>
    <n v="325"/>
    <s v="In Stock"/>
  </r>
  <r>
    <s v="AMZ26-00329"/>
    <d v="2026-05-27T00:00:00"/>
    <x v="2"/>
    <s v="Q2"/>
    <n v="2026"/>
    <s v="CUST-3185"/>
    <s v="Priya Gupta"/>
    <s v="Consumer"/>
    <s v="India"/>
    <s v="Maharashtra"/>
    <s v="Mumbai"/>
    <x v="3"/>
    <s v="Amazon App"/>
    <s v="Android"/>
    <x v="0"/>
    <s v="Women Clothing"/>
    <s v="Printed Kurti"/>
    <s v="BIBA"/>
    <s v="FAS-WOM-25685"/>
    <s v="FBA"/>
    <x v="1"/>
    <x v="0"/>
    <n v="4"/>
    <n v="1225.54"/>
    <n v="0.2"/>
    <n v="980.43"/>
    <n v="4902.16"/>
    <n v="3921.73"/>
    <n v="1.62"/>
    <n v="2215.44"/>
    <n v="1704.67"/>
    <n v="0.43469999999999998"/>
    <n v="7"/>
    <s v="Delayed"/>
    <s v="No"/>
    <m/>
    <n v="5"/>
    <n v="2"/>
    <s v="Yes"/>
    <s v="Bank Offer"/>
    <n v="4187.3100000000004"/>
    <n v="0.93659999999999999"/>
    <n v="260"/>
    <s v="In Stock"/>
  </r>
  <r>
    <s v="AMZ26-00330"/>
    <d v="2026-12-23T00:00:00"/>
    <x v="11"/>
    <s v="Q4"/>
    <n v="2026"/>
    <s v="CUST-3858"/>
    <s v="Diya Jain"/>
    <s v="Corporate"/>
    <s v="India"/>
    <s v="Maharashtra"/>
    <s v="Pune"/>
    <x v="3"/>
    <s v="Amazon Website"/>
    <s v="iOS"/>
    <x v="4"/>
    <s v="Cookware"/>
    <s v="Cookware Set"/>
    <s v="Pigeon"/>
    <s v="HOM-COO-18824"/>
    <s v="FBA"/>
    <x v="3"/>
    <x v="0"/>
    <n v="2"/>
    <n v="8364.43"/>
    <n v="0.05"/>
    <n v="836.44"/>
    <n v="16728.86"/>
    <n v="15892.42"/>
    <n v="31.23"/>
    <n v="10205.41"/>
    <n v="5655.78"/>
    <n v="0.35589999999999999"/>
    <n v="8"/>
    <s v="Delayed"/>
    <s v="No"/>
    <m/>
    <n v="4"/>
    <n v="4"/>
    <s v="Yes"/>
    <s v="Amazon Coupon"/>
    <n v="17338.79"/>
    <n v="0.91659999999999997"/>
    <n v="350"/>
    <s v="In Stock"/>
  </r>
  <r>
    <s v="AMZ26-00331"/>
    <d v="2026-03-21T00:00:00"/>
    <x v="0"/>
    <s v="Q1"/>
    <n v="2026"/>
    <s v="CUST-3695"/>
    <s v="Diya Yadav"/>
    <s v="Corporate"/>
    <s v="India"/>
    <s v="Kerala"/>
    <s v="Kochi"/>
    <x v="1"/>
    <s v="Amazon Website"/>
    <s v="iOS"/>
    <x v="2"/>
    <s v="Hair Care"/>
    <s v="Shampoo"/>
    <s v="Dove"/>
    <s v="BEA-HAI-99864"/>
    <s v="FBM"/>
    <x v="4"/>
    <x v="0"/>
    <n v="1"/>
    <n v="1620.35"/>
    <n v="0.1"/>
    <n v="162.03"/>
    <n v="1620.35"/>
    <n v="1458.32"/>
    <n v="118.24"/>
    <n v="749.71"/>
    <n v="590.37"/>
    <n v="0.40479999999999999"/>
    <n v="3"/>
    <s v="On Time"/>
    <s v="No"/>
    <m/>
    <n v="5"/>
    <n v="4"/>
    <s v="Yes"/>
    <s v="Prime Deal"/>
    <n v="1690.83"/>
    <n v="0.86250000000000004"/>
    <n v="54"/>
    <s v="In Stock"/>
  </r>
  <r>
    <s v="AMZ26-00332"/>
    <d v="2026-09-03T00:00:00"/>
    <x v="1"/>
    <s v="Q3"/>
    <n v="2026"/>
    <s v="CUST-4421"/>
    <s v="Rohan Patel"/>
    <s v="Consumer"/>
    <s v="India"/>
    <s v="West Bengal"/>
    <s v="Kolkata"/>
    <x v="2"/>
    <s v="Amazon Website"/>
    <s v="iOS"/>
    <x v="3"/>
    <s v="Staples"/>
    <s v="Atta"/>
    <s v="Aashirvaad"/>
    <s v="GRO-STA-29501"/>
    <s v="FBA"/>
    <x v="2"/>
    <x v="0"/>
    <n v="4"/>
    <n v="482.7"/>
    <n v="0.1"/>
    <n v="193.08"/>
    <n v="1930.8"/>
    <n v="1737.72"/>
    <n v="101.96"/>
    <n v="1349.77"/>
    <n v="285.99"/>
    <n v="0.1646"/>
    <n v="1"/>
    <s v="On Time"/>
    <s v="No"/>
    <m/>
    <n v="5"/>
    <n v="4"/>
    <s v="Yes"/>
    <s v="Bank Offer"/>
    <n v="2035.37"/>
    <n v="0.8538"/>
    <n v="74"/>
    <s v="In Stock"/>
  </r>
  <r>
    <s v="AMZ26-00333"/>
    <d v="2026-04-16T00:00:00"/>
    <x v="9"/>
    <s v="Q2"/>
    <n v="2026"/>
    <s v="CUST-2572"/>
    <s v="Priya Rao"/>
    <s v="Small Business"/>
    <s v="India"/>
    <s v="Uttar Pradesh"/>
    <s v="Noida"/>
    <x v="0"/>
    <s v="Amazon Website"/>
    <s v="Android"/>
    <x v="1"/>
    <s v="Mobiles"/>
    <s v="Redmi Note"/>
    <s v="Xiaomi"/>
    <s v="ELE-MOB-95055"/>
    <s v="FBM"/>
    <x v="3"/>
    <x v="1"/>
    <n v="3"/>
    <n v="55377.82"/>
    <n v="0.3"/>
    <n v="49840.04"/>
    <n v="166133.46"/>
    <n v="116293.42"/>
    <n v="86.54"/>
    <n v="57917.43"/>
    <n v="58289.45"/>
    <n v="0.50119999999999998"/>
    <n v="0"/>
    <s v="Not Applicable"/>
    <s v="No"/>
    <m/>
    <m/>
    <n v="0"/>
    <s v="No"/>
    <s v="None"/>
    <n v="105260.96"/>
    <n v="1.1048"/>
    <n v="156"/>
    <s v="In Stock"/>
  </r>
  <r>
    <s v="AMZ26-00334"/>
    <d v="2026-04-02T00:00:00"/>
    <x v="9"/>
    <s v="Q2"/>
    <n v="2026"/>
    <s v="CUST-2148"/>
    <s v="Vihaan Sharma"/>
    <s v="Corporate"/>
    <s v="India"/>
    <s v="West Bengal"/>
    <s v="Kolkata"/>
    <x v="2"/>
    <s v="Amazon App"/>
    <s v="Android"/>
    <x v="1"/>
    <s v="Accessories"/>
    <s v="Keyboard"/>
    <s v="HP"/>
    <s v="ELE-ACC-72046"/>
    <s v="FBA"/>
    <x v="1"/>
    <x v="1"/>
    <n v="2"/>
    <n v="3902.03"/>
    <n v="0.25"/>
    <n v="1951.02"/>
    <n v="7804.06"/>
    <n v="5853.04"/>
    <n v="233.66"/>
    <n v="3074.93"/>
    <n v="2544.4499999999998"/>
    <n v="0.43469999999999998"/>
    <n v="0"/>
    <s v="Not Applicable"/>
    <s v="No"/>
    <m/>
    <m/>
    <n v="0"/>
    <s v="Yes"/>
    <s v="Prime Deal"/>
    <n v="6386.08"/>
    <n v="0.91649999999999998"/>
    <n v="170"/>
    <s v="In Stock"/>
  </r>
  <r>
    <s v="AMZ26-00335"/>
    <d v="2026-12-16T00:00:00"/>
    <x v="11"/>
    <s v="Q4"/>
    <n v="2026"/>
    <s v="CUST-3541"/>
    <s v="Rahul Singh"/>
    <s v="Corporate"/>
    <s v="India"/>
    <s v="Uttar Pradesh"/>
    <s v="Noida"/>
    <x v="0"/>
    <s v="Amazon App"/>
    <s v="Tablet"/>
    <x v="0"/>
    <s v="Women Clothing"/>
    <s v="Casual Top"/>
    <s v="ONLY"/>
    <s v="FAS-WOM-47411"/>
    <s v="FBM"/>
    <x v="1"/>
    <x v="2"/>
    <n v="2"/>
    <n v="2976.17"/>
    <n v="0.1"/>
    <n v="595.23"/>
    <n v="5952.34"/>
    <n v="5357.11"/>
    <n v="149.77000000000001"/>
    <n v="3695.13"/>
    <n v="1512.21"/>
    <n v="0.2823"/>
    <n v="5"/>
    <s v="In Transit"/>
    <s v="No"/>
    <m/>
    <m/>
    <n v="0"/>
    <s v="No"/>
    <s v="None"/>
    <n v="4964.97"/>
    <n v="1.079"/>
    <n v="172"/>
    <s v="In Stock"/>
  </r>
  <r>
    <s v="AMZ26-00336"/>
    <d v="2026-08-28T00:00:00"/>
    <x v="4"/>
    <s v="Q3"/>
    <n v="2026"/>
    <s v="CUST-2490"/>
    <s v="Arjun Yadav"/>
    <s v="Consumer"/>
    <s v="India"/>
    <s v="Kerala"/>
    <s v="Kochi"/>
    <x v="1"/>
    <s v="Amazon App"/>
    <s v="Desktop"/>
    <x v="4"/>
    <s v="Kitchen Appliances"/>
    <s v="Electric Kettle"/>
    <s v="Pigeon"/>
    <s v="HOM-KIT-92691"/>
    <s v="FBA"/>
    <x v="1"/>
    <x v="0"/>
    <n v="2"/>
    <n v="5047.8"/>
    <n v="0"/>
    <n v="0"/>
    <n v="10095.6"/>
    <n v="10095.6"/>
    <n v="178.18"/>
    <n v="7354.65"/>
    <n v="2562.77"/>
    <n v="0.25390000000000001"/>
    <n v="4"/>
    <s v="On Time"/>
    <s v="No"/>
    <m/>
    <n v="5"/>
    <n v="4"/>
    <s v="No"/>
    <s v="Lightning Deal"/>
    <n v="9639.9599999999991"/>
    <n v="1.0472999999999999"/>
    <n v="172"/>
    <s v="In Stock"/>
  </r>
  <r>
    <s v="AMZ26-00337"/>
    <d v="2026-12-14T00:00:00"/>
    <x v="11"/>
    <s v="Q4"/>
    <n v="2026"/>
    <s v="CUST-4019"/>
    <s v="Nandini Rao"/>
    <s v="Small Business"/>
    <s v="India"/>
    <s v="Haryana"/>
    <s v="Gurugram"/>
    <x v="0"/>
    <s v="Amazon Website"/>
    <s v="Desktop"/>
    <x v="3"/>
    <s v="Snacks"/>
    <s v="Potato Chips"/>
    <s v="Lay's"/>
    <s v="GRO-SNA-63809"/>
    <s v="FBA"/>
    <x v="2"/>
    <x v="0"/>
    <n v="5"/>
    <n v="483.07"/>
    <n v="0.25"/>
    <n v="603.84"/>
    <n v="2415.35"/>
    <n v="1811.51"/>
    <n v="173.34"/>
    <n v="1365.72"/>
    <n v="272.45"/>
    <n v="0.15040000000000001"/>
    <n v="7"/>
    <s v="Delayed"/>
    <s v="No"/>
    <m/>
    <n v="4"/>
    <n v="3"/>
    <s v="No"/>
    <s v="Amazon Coupon"/>
    <n v="1635.39"/>
    <n v="1.1076999999999999"/>
    <n v="275"/>
    <s v="In Stock"/>
  </r>
  <r>
    <s v="AMZ26-00338"/>
    <d v="2026-08-07T00:00:00"/>
    <x v="4"/>
    <s v="Q3"/>
    <n v="2026"/>
    <s v="CUST-2204"/>
    <s v="Ananya Rao"/>
    <s v="Corporate"/>
    <s v="India"/>
    <s v="Karnataka"/>
    <s v="Bengaluru"/>
    <x v="1"/>
    <s v="Amazon App"/>
    <s v="Tablet"/>
    <x v="2"/>
    <s v="Makeup"/>
    <s v="Foundation"/>
    <s v="Lakme"/>
    <s v="BEA-MAK-94676"/>
    <s v="FBA"/>
    <x v="2"/>
    <x v="0"/>
    <n v="2"/>
    <n v="2256.6999999999998"/>
    <n v="0"/>
    <n v="0"/>
    <n v="4513.3999999999996"/>
    <n v="4513.3999999999996"/>
    <n v="245.4"/>
    <n v="2326.02"/>
    <n v="1941.98"/>
    <n v="0.43030000000000002"/>
    <n v="5"/>
    <s v="Delayed"/>
    <s v="No"/>
    <m/>
    <n v="5"/>
    <n v="2"/>
    <s v="Yes"/>
    <s v="Amazon Coupon"/>
    <n v="5032.6099999999997"/>
    <n v="0.89680000000000004"/>
    <n v="389"/>
    <s v="In Stock"/>
  </r>
  <r>
    <s v="AMZ26-00339"/>
    <d v="2026-08-10T00:00:00"/>
    <x v="4"/>
    <s v="Q3"/>
    <n v="2026"/>
    <s v="CUST-3021"/>
    <s v="Aarav Singh"/>
    <s v="Small Business"/>
    <s v="India"/>
    <s v="West Bengal"/>
    <s v="Kolkata"/>
    <x v="2"/>
    <s v="Amazon App"/>
    <s v="Tablet"/>
    <x v="0"/>
    <s v="Men Clothing"/>
    <s v="Slim Jeans"/>
    <s v="Levi's"/>
    <s v="FAS-MEN-96312"/>
    <s v="FBA"/>
    <x v="1"/>
    <x v="0"/>
    <n v="2"/>
    <n v="2124.3200000000002"/>
    <n v="0"/>
    <n v="0"/>
    <n v="4248.6400000000003"/>
    <n v="4248.6400000000003"/>
    <n v="1.04"/>
    <n v="2534.0100000000002"/>
    <n v="1713.59"/>
    <n v="0.40329999999999999"/>
    <n v="2"/>
    <s v="On Time"/>
    <s v="No"/>
    <m/>
    <n v="4"/>
    <n v="4"/>
    <s v="Yes"/>
    <s v="Festival Sale"/>
    <n v="3931.26"/>
    <n v="1.0807"/>
    <n v="385"/>
    <s v="In Stock"/>
  </r>
  <r>
    <s v="AMZ26-00340"/>
    <d v="2026-05-15T00:00:00"/>
    <x v="2"/>
    <s v="Q2"/>
    <n v="2026"/>
    <s v="CUST-1649"/>
    <s v="Aditya Shetty"/>
    <s v="Consumer"/>
    <s v="India"/>
    <s v="Bihar"/>
    <s v="Patna"/>
    <x v="2"/>
    <s v="Amazon App"/>
    <s v="Android"/>
    <x v="1"/>
    <s v="Accessories"/>
    <s v="USB-C Hub"/>
    <s v="Portronics"/>
    <s v="ELE-ACC-40221"/>
    <s v="FBM"/>
    <x v="3"/>
    <x v="0"/>
    <n v="5"/>
    <n v="5151.8"/>
    <n v="0"/>
    <n v="0"/>
    <n v="25759"/>
    <n v="25759"/>
    <n v="106.46"/>
    <n v="14699.66"/>
    <n v="10952.88"/>
    <n v="0.42520000000000002"/>
    <n v="1"/>
    <s v="On Time"/>
    <s v="No"/>
    <m/>
    <n v="4"/>
    <n v="3"/>
    <s v="Yes"/>
    <s v="Festival Sale"/>
    <n v="31769.72"/>
    <n v="0.81079999999999997"/>
    <n v="272"/>
    <s v="In Stock"/>
  </r>
  <r>
    <s v="AMZ26-00341"/>
    <d v="2026-10-04T00:00:00"/>
    <x v="8"/>
    <s v="Q4"/>
    <n v="2026"/>
    <s v="CUST-2323"/>
    <s v="Kavya Patel"/>
    <s v="Small Business"/>
    <s v="India"/>
    <s v="West Bengal"/>
    <s v="Kolkata"/>
    <x v="2"/>
    <s v="Amazon App"/>
    <s v="Desktop"/>
    <x v="1"/>
    <s v="Accessories"/>
    <s v="Bluetooth Speaker"/>
    <s v="boAt"/>
    <s v="ELE-ACC-35326"/>
    <s v="FBA"/>
    <x v="5"/>
    <x v="0"/>
    <n v="3"/>
    <n v="15652.21"/>
    <n v="0"/>
    <n v="0"/>
    <n v="46956.63"/>
    <n v="46956.63"/>
    <n v="4.26"/>
    <n v="29233.61"/>
    <n v="17718.759999999998"/>
    <n v="0.37730000000000002"/>
    <n v="1"/>
    <s v="On Time"/>
    <s v="Yes"/>
    <s v="Late Delivery"/>
    <n v="5"/>
    <n v="1"/>
    <s v="Yes"/>
    <s v="None"/>
    <n v="44285.440000000002"/>
    <n v="1.0603"/>
    <n v="36"/>
    <s v="Low Stock"/>
  </r>
  <r>
    <s v="AMZ26-00342"/>
    <d v="2026-01-03T00:00:00"/>
    <x v="10"/>
    <s v="Q1"/>
    <n v="2026"/>
    <s v="CUST-3240"/>
    <s v="Nikhil Iyer"/>
    <s v="Corporate"/>
    <s v="India"/>
    <s v="Maharashtra"/>
    <s v="Mumbai"/>
    <x v="3"/>
    <s v="Amazon App"/>
    <s v="Android"/>
    <x v="3"/>
    <s v="Snacks"/>
    <s v="Cookies"/>
    <s v="Britannia"/>
    <s v="GRO-SNA-15154"/>
    <s v="FBM"/>
    <x v="0"/>
    <x v="1"/>
    <n v="3"/>
    <n v="632.32000000000005"/>
    <n v="0"/>
    <n v="0"/>
    <n v="1896.96"/>
    <n v="1896.96"/>
    <n v="68.91"/>
    <n v="1051.57"/>
    <n v="776.48"/>
    <n v="0.4093"/>
    <n v="0"/>
    <s v="Not Applicable"/>
    <s v="No"/>
    <m/>
    <m/>
    <n v="0"/>
    <s v="Yes"/>
    <s v="Bank Offer"/>
    <n v="1684.54"/>
    <n v="1.1261000000000001"/>
    <n v="424"/>
    <s v="In Stock"/>
  </r>
  <r>
    <s v="AMZ26-00343"/>
    <d v="2026-11-03T00:00:00"/>
    <x v="6"/>
    <s v="Q4"/>
    <n v="2026"/>
    <s v="CUST-3761"/>
    <s v="Sneha Sharma"/>
    <s v="Small Business"/>
    <s v="India"/>
    <s v="Rajasthan"/>
    <s v="Jaipur"/>
    <x v="3"/>
    <s v="Amazon Website"/>
    <s v="iOS"/>
    <x v="4"/>
    <s v="Kitchen Appliances"/>
    <s v="Mixer Grinder"/>
    <s v="Prestige"/>
    <s v="HOM-KIT-27299"/>
    <s v="FBM"/>
    <x v="2"/>
    <x v="0"/>
    <n v="4"/>
    <n v="10385.35"/>
    <n v="0.25"/>
    <n v="10385.35"/>
    <n v="41541.4"/>
    <n v="31156.05"/>
    <n v="230.12"/>
    <n v="19435.689999999999"/>
    <n v="11490.24"/>
    <n v="0.36880000000000002"/>
    <n v="5"/>
    <s v="Delayed"/>
    <s v="Yes"/>
    <s v="Late Delivery"/>
    <n v="4"/>
    <n v="4"/>
    <s v="Yes"/>
    <s v="None"/>
    <n v="33993.620000000003"/>
    <n v="0.91649999999999998"/>
    <n v="491"/>
    <s v="In Stock"/>
  </r>
  <r>
    <s v="AMZ26-00344"/>
    <d v="2026-11-25T00:00:00"/>
    <x v="6"/>
    <s v="Q4"/>
    <n v="2026"/>
    <s v="CUST-4005"/>
    <s v="Rahul Iyer"/>
    <s v="Corporate"/>
    <s v="India"/>
    <s v="Tamil Nadu"/>
    <s v="Chennai"/>
    <x v="1"/>
    <s v="Amazon App"/>
    <s v="iOS"/>
    <x v="0"/>
    <s v="Women Clothing"/>
    <s v="Denim Jeans"/>
    <s v="Levi's"/>
    <s v="FAS-WOM-27732"/>
    <s v="FBA"/>
    <x v="2"/>
    <x v="0"/>
    <n v="5"/>
    <n v="2310.1999999999998"/>
    <n v="0.3"/>
    <n v="3465.3"/>
    <n v="11551"/>
    <n v="8085.7"/>
    <n v="1.46"/>
    <n v="4626.97"/>
    <n v="3457.27"/>
    <n v="0.42759999999999998"/>
    <n v="3"/>
    <s v="On Time"/>
    <s v="No"/>
    <m/>
    <n v="5"/>
    <n v="4"/>
    <s v="Yes"/>
    <s v="None"/>
    <n v="7045.76"/>
    <n v="1.1476"/>
    <n v="190"/>
    <s v="In Stock"/>
  </r>
  <r>
    <s v="AMZ26-00345"/>
    <d v="2026-05-11T00:00:00"/>
    <x v="2"/>
    <s v="Q2"/>
    <n v="2026"/>
    <s v="CUST-2167"/>
    <s v="Aditya Das"/>
    <s v="Corporate"/>
    <s v="India"/>
    <s v="Karnataka"/>
    <s v="Bengaluru"/>
    <x v="1"/>
    <s v="Amazon Website"/>
    <s v="Desktop"/>
    <x v="1"/>
    <s v="Laptops"/>
    <s v="Pavilion"/>
    <s v="HP"/>
    <s v="ELE-LAP-74320"/>
    <s v="FBA"/>
    <x v="1"/>
    <x v="0"/>
    <n v="3"/>
    <n v="22794.04"/>
    <n v="0"/>
    <n v="0"/>
    <n v="68382.12"/>
    <n v="68382.12"/>
    <n v="117"/>
    <n v="46631.92"/>
    <n v="21633.200000000001"/>
    <n v="0.31640000000000001"/>
    <n v="7"/>
    <s v="Delayed"/>
    <s v="No"/>
    <m/>
    <n v="3"/>
    <n v="2"/>
    <s v="Yes"/>
    <s v="Prime Deal"/>
    <n v="76408.92"/>
    <n v="0.89490000000000003"/>
    <n v="345"/>
    <s v="In Stock"/>
  </r>
  <r>
    <s v="AMZ26-00346"/>
    <d v="2026-07-02T00:00:00"/>
    <x v="3"/>
    <s v="Q3"/>
    <n v="2026"/>
    <s v="CUST-3072"/>
    <s v="Rohan Gupta"/>
    <s v="Small Business"/>
    <s v="India"/>
    <s v="Kerala"/>
    <s v="Kochi"/>
    <x v="1"/>
    <s v="Amazon Website"/>
    <s v="Android"/>
    <x v="3"/>
    <s v="Beverages"/>
    <s v="Fruit Juice"/>
    <s v="Real"/>
    <s v="GRO-BEV-21340"/>
    <s v="FBA"/>
    <x v="2"/>
    <x v="0"/>
    <n v="4"/>
    <n v="693.99"/>
    <n v="0.25"/>
    <n v="693.99"/>
    <n v="2775.96"/>
    <n v="2081.9699999999998"/>
    <n v="178.29"/>
    <n v="1308.95"/>
    <n v="594.73"/>
    <n v="0.28570000000000001"/>
    <n v="3"/>
    <s v="On Time"/>
    <s v="No"/>
    <m/>
    <n v="5"/>
    <n v="1"/>
    <s v="Yes"/>
    <s v="None"/>
    <n v="2439.5100000000002"/>
    <n v="0.85340000000000005"/>
    <n v="254"/>
    <s v="In Stock"/>
  </r>
  <r>
    <s v="AMZ26-00347"/>
    <d v="2026-10-08T00:00:00"/>
    <x v="8"/>
    <s v="Q4"/>
    <n v="2026"/>
    <s v="CUST-3250"/>
    <s v="Priya Jain"/>
    <s v="Consumer"/>
    <s v="India"/>
    <s v="Telangana"/>
    <s v="Hyderabad"/>
    <x v="1"/>
    <s v="Amazon App"/>
    <s v="iOS"/>
    <x v="2"/>
    <s v="Makeup"/>
    <s v="Lipstick"/>
    <s v="Maybelline"/>
    <s v="BEA-MAK-23125"/>
    <s v="FBM"/>
    <x v="3"/>
    <x v="1"/>
    <n v="4"/>
    <n v="1313.22"/>
    <n v="0"/>
    <n v="0"/>
    <n v="5252.88"/>
    <n v="5252.88"/>
    <n v="11.53"/>
    <n v="3571.01"/>
    <n v="1670.34"/>
    <n v="0.318"/>
    <n v="0"/>
    <s v="Not Applicable"/>
    <s v="No"/>
    <m/>
    <m/>
    <n v="0"/>
    <s v="Yes"/>
    <s v="Festival Sale"/>
    <n v="5069.5"/>
    <n v="1.0362"/>
    <n v="148"/>
    <s v="In Stock"/>
  </r>
  <r>
    <s v="AMZ26-00348"/>
    <d v="2026-12-26T00:00:00"/>
    <x v="11"/>
    <s v="Q4"/>
    <n v="2026"/>
    <s v="CUST-3493"/>
    <s v="Vihaan Reddy"/>
    <s v="Small Business"/>
    <s v="India"/>
    <s v="Haryana"/>
    <s v="Gurugram"/>
    <x v="0"/>
    <s v="Amazon App"/>
    <s v="Desktop"/>
    <x v="1"/>
    <s v="Laptops"/>
    <s v="Pavilion"/>
    <s v="HP"/>
    <s v="ELE-LAP-18617"/>
    <s v="FBM"/>
    <x v="5"/>
    <x v="0"/>
    <n v="2"/>
    <n v="20260.03"/>
    <n v="0"/>
    <n v="0"/>
    <n v="40520.06"/>
    <n v="40520.06"/>
    <n v="122.5"/>
    <n v="27341.46"/>
    <n v="13056.1"/>
    <n v="0.32219999999999999"/>
    <n v="3"/>
    <s v="On Time"/>
    <s v="No"/>
    <m/>
    <n v="5"/>
    <n v="1"/>
    <s v="Yes"/>
    <s v="Bank Offer"/>
    <n v="49371.48"/>
    <n v="0.82069999999999999"/>
    <n v="132"/>
    <s v="In Stock"/>
  </r>
  <r>
    <s v="AMZ26-00349"/>
    <d v="2026-11-22T00:00:00"/>
    <x v="6"/>
    <s v="Q4"/>
    <n v="2026"/>
    <s v="CUST-4255"/>
    <s v="Sai Patel"/>
    <s v="Small Business"/>
    <s v="India"/>
    <s v="Punjab"/>
    <s v="Ludhiana"/>
    <x v="0"/>
    <s v="Amazon Website"/>
    <s v="Desktop"/>
    <x v="1"/>
    <s v="Laptops"/>
    <s v="Pavilion"/>
    <s v="HP"/>
    <s v="ELE-LAP-93286"/>
    <s v="FBA"/>
    <x v="5"/>
    <x v="0"/>
    <n v="3"/>
    <n v="47783.26"/>
    <n v="0.1"/>
    <n v="14334.98"/>
    <n v="143349.78"/>
    <n v="129014.8"/>
    <n v="219.63"/>
    <n v="80960.62"/>
    <n v="47834.55"/>
    <n v="0.37080000000000002"/>
    <n v="4"/>
    <s v="On Time"/>
    <s v="No"/>
    <m/>
    <n v="5"/>
    <n v="2"/>
    <s v="Yes"/>
    <s v="Amazon Coupon"/>
    <n v="116605.62"/>
    <n v="1.1064000000000001"/>
    <n v="122"/>
    <s v="In Stock"/>
  </r>
  <r>
    <s v="AMZ26-00350"/>
    <d v="2026-09-19T00:00:00"/>
    <x v="1"/>
    <s v="Q3"/>
    <n v="2026"/>
    <s v="CUST-3915"/>
    <s v="Arjun Nair"/>
    <s v="Consumer"/>
    <s v="India"/>
    <s v="Rajasthan"/>
    <s v="Jaipur"/>
    <x v="3"/>
    <s v="Amazon Website"/>
    <s v="Desktop"/>
    <x v="0"/>
    <s v="Footwear"/>
    <s v="Sandals"/>
    <s v="Bata"/>
    <s v="FAS-FOO-29392"/>
    <s v="FBA"/>
    <x v="0"/>
    <x v="1"/>
    <n v="1"/>
    <n v="1286.6400000000001"/>
    <n v="0.1"/>
    <n v="128.66"/>
    <n v="1286.6400000000001"/>
    <n v="1157.98"/>
    <n v="31.9"/>
    <n v="859.98"/>
    <n v="266.10000000000002"/>
    <n v="0.2298"/>
    <n v="0"/>
    <s v="Not Applicable"/>
    <s v="No"/>
    <m/>
    <m/>
    <n v="0"/>
    <s v="Yes"/>
    <s v="Bank Offer"/>
    <n v="1315.38"/>
    <n v="0.88029999999999997"/>
    <n v="27"/>
    <s v="Low Stock"/>
  </r>
  <r>
    <s v="AMZ26-00351"/>
    <d v="2026-07-23T00:00:00"/>
    <x v="3"/>
    <s v="Q3"/>
    <n v="2026"/>
    <s v="CUST-2465"/>
    <s v="Rohan Sharma"/>
    <s v="Corporate"/>
    <s v="India"/>
    <s v="Odisha"/>
    <s v="Bhubaneswar"/>
    <x v="2"/>
    <s v="Amazon Website"/>
    <s v="Tablet"/>
    <x v="0"/>
    <s v="Women Clothing"/>
    <s v="Printed Kurti"/>
    <s v="BIBA"/>
    <s v="FAS-WOM-75494"/>
    <s v="FBA"/>
    <x v="3"/>
    <x v="1"/>
    <n v="2"/>
    <n v="2652.82"/>
    <n v="0.15"/>
    <n v="795.85"/>
    <n v="5305.64"/>
    <n v="4509.79"/>
    <n v="114.88"/>
    <n v="2304.7399999999998"/>
    <n v="2090.17"/>
    <n v="0.46350000000000002"/>
    <n v="0"/>
    <s v="Not Applicable"/>
    <s v="No"/>
    <m/>
    <m/>
    <n v="0"/>
    <s v="No"/>
    <s v="Bank Offer"/>
    <n v="4143.38"/>
    <n v="1.0884"/>
    <n v="152"/>
    <s v="In Stock"/>
  </r>
  <r>
    <s v="AMZ26-00352"/>
    <d v="2026-04-15T00:00:00"/>
    <x v="9"/>
    <s v="Q2"/>
    <n v="2026"/>
    <s v="CUST-2383"/>
    <s v="Vivek Sharma"/>
    <s v="Small Business"/>
    <s v="India"/>
    <s v="Odisha"/>
    <s v="Bhubaneswar"/>
    <x v="2"/>
    <s v="Amazon Website"/>
    <s v="Desktop"/>
    <x v="4"/>
    <s v="Home Decor"/>
    <s v="Curtain Set"/>
    <s v="Home Centre"/>
    <s v="HOM-HOM-26717"/>
    <s v="FBA"/>
    <x v="3"/>
    <x v="1"/>
    <n v="1"/>
    <n v="5743.41"/>
    <n v="0.3"/>
    <n v="1723.02"/>
    <n v="5743.41"/>
    <n v="4020.39"/>
    <n v="48.64"/>
    <n v="2252.52"/>
    <n v="1719.23"/>
    <n v="0.42759999999999998"/>
    <n v="0"/>
    <s v="Not Applicable"/>
    <s v="No"/>
    <m/>
    <m/>
    <n v="0"/>
    <s v="Yes"/>
    <s v="Amazon Coupon"/>
    <n v="3791.17"/>
    <n v="1.0605"/>
    <n v="271"/>
    <s v="In Stock"/>
  </r>
  <r>
    <s v="AMZ26-00353"/>
    <d v="2026-12-29T00:00:00"/>
    <x v="11"/>
    <s v="Q4"/>
    <n v="2026"/>
    <s v="CUST-2247"/>
    <s v="Aarav Reddy"/>
    <s v="Consumer"/>
    <s v="India"/>
    <s v="Assam"/>
    <s v="Guwahati"/>
    <x v="2"/>
    <s v="Amazon App"/>
    <s v="Tablet"/>
    <x v="0"/>
    <s v="Women Clothing"/>
    <s v="Casual Top"/>
    <s v="ONLY"/>
    <s v="FAS-WOM-13149"/>
    <s v="FBA"/>
    <x v="5"/>
    <x v="0"/>
    <n v="1"/>
    <n v="1497.46"/>
    <n v="0.1"/>
    <n v="149.75"/>
    <n v="1497.46"/>
    <n v="1347.71"/>
    <n v="75.17"/>
    <n v="862.12"/>
    <n v="410.42"/>
    <n v="0.30449999999999999"/>
    <n v="6"/>
    <s v="Delayed"/>
    <s v="No"/>
    <m/>
    <n v="4"/>
    <n v="2"/>
    <s v="No"/>
    <s v="Lightning Deal"/>
    <n v="1301.9000000000001"/>
    <n v="1.0351999999999999"/>
    <n v="289"/>
    <s v="In Stock"/>
  </r>
  <r>
    <s v="AMZ26-00354"/>
    <d v="2026-04-15T00:00:00"/>
    <x v="9"/>
    <s v="Q2"/>
    <n v="2026"/>
    <s v="CUST-1741"/>
    <s v="Kiran Rao"/>
    <s v="Consumer"/>
    <s v="India"/>
    <s v="Uttar Pradesh"/>
    <s v="Noida"/>
    <x v="0"/>
    <s v="Amazon App"/>
    <s v="Desktop"/>
    <x v="4"/>
    <s v="Cookware"/>
    <s v="Cookware Set"/>
    <s v="Pigeon"/>
    <s v="HOM-COO-18270"/>
    <s v="FBA"/>
    <x v="4"/>
    <x v="1"/>
    <n v="2"/>
    <n v="721.62"/>
    <n v="0.3"/>
    <n v="432.97"/>
    <n v="1443.24"/>
    <n v="1010.27"/>
    <n v="82.66"/>
    <n v="496.86"/>
    <n v="430.75"/>
    <n v="0.4264"/>
    <n v="0"/>
    <s v="Not Applicable"/>
    <s v="No"/>
    <m/>
    <m/>
    <n v="0"/>
    <s v="Yes"/>
    <s v="Bank Offer"/>
    <n v="1084.6099999999999"/>
    <n v="0.93149999999999999"/>
    <n v="494"/>
    <s v="In Stock"/>
  </r>
  <r>
    <s v="AMZ26-00355"/>
    <d v="2026-08-22T00:00:00"/>
    <x v="4"/>
    <s v="Q3"/>
    <n v="2026"/>
    <s v="CUST-1977"/>
    <s v="Isha Das"/>
    <s v="Small Business"/>
    <s v="India"/>
    <s v="Tamil Nadu"/>
    <s v="Chennai"/>
    <x v="1"/>
    <s v="Amazon Website"/>
    <s v="Desktop"/>
    <x v="0"/>
    <s v="Women Clothing"/>
    <s v="Printed Kurti"/>
    <s v="BIBA"/>
    <s v="FAS-WOM-17265"/>
    <s v="FBA"/>
    <x v="4"/>
    <x v="2"/>
    <n v="2"/>
    <n v="707.36"/>
    <n v="0.3"/>
    <n v="424.42"/>
    <n v="1414.72"/>
    <n v="990.3"/>
    <n v="69.819999999999993"/>
    <n v="569.30999999999995"/>
    <n v="351.17"/>
    <n v="0.35460000000000003"/>
    <n v="1"/>
    <s v="In Transit"/>
    <s v="No"/>
    <m/>
    <m/>
    <n v="0"/>
    <s v="No"/>
    <s v="Amazon Coupon"/>
    <n v="903.91"/>
    <n v="1.0955999999999999"/>
    <n v="52"/>
    <s v="In Stock"/>
  </r>
  <r>
    <s v="AMZ26-00356"/>
    <d v="2026-10-22T00:00:00"/>
    <x v="8"/>
    <s v="Q4"/>
    <n v="2026"/>
    <s v="CUST-4296"/>
    <s v="Rohan Jain"/>
    <s v="Consumer"/>
    <s v="India"/>
    <s v="Delhi"/>
    <s v="New Delhi"/>
    <x v="0"/>
    <s v="Amazon Website"/>
    <s v="iOS"/>
    <x v="1"/>
    <s v="Laptops"/>
    <s v="Pavilion"/>
    <s v="HP"/>
    <s v="ELE-LAP-81113"/>
    <s v="FBA"/>
    <x v="5"/>
    <x v="0"/>
    <n v="1"/>
    <n v="12498.22"/>
    <n v="0"/>
    <n v="0"/>
    <n v="12498.22"/>
    <n v="12498.22"/>
    <n v="186.03"/>
    <n v="7232.04"/>
    <n v="5080.1499999999996"/>
    <n v="0.40649999999999997"/>
    <n v="6"/>
    <s v="Delayed"/>
    <s v="No"/>
    <m/>
    <n v="4"/>
    <n v="3"/>
    <s v="No"/>
    <s v="Prime Deal"/>
    <n v="11547.05"/>
    <n v="1.0824"/>
    <n v="222"/>
    <s v="In Stock"/>
  </r>
  <r>
    <s v="AMZ26-00357"/>
    <d v="2026-09-06T00:00:00"/>
    <x v="1"/>
    <s v="Q3"/>
    <n v="2026"/>
    <s v="CUST-2807"/>
    <s v="Kiran Joshi"/>
    <s v="Small Business"/>
    <s v="India"/>
    <s v="Odisha"/>
    <s v="Bhubaneswar"/>
    <x v="2"/>
    <s v="Amazon App"/>
    <s v="Android"/>
    <x v="2"/>
    <s v="Makeup"/>
    <s v="Lipstick"/>
    <s v="Maybelline"/>
    <s v="BEA-MAK-92848"/>
    <s v="FBM"/>
    <x v="4"/>
    <x v="0"/>
    <n v="3"/>
    <n v="150.72999999999999"/>
    <n v="0"/>
    <n v="0"/>
    <n v="452.19"/>
    <n v="452.19"/>
    <n v="63.16"/>
    <n v="238.7"/>
    <n v="150.33000000000001"/>
    <n v="0.33239999999999997"/>
    <n v="6"/>
    <s v="Delayed"/>
    <s v="No"/>
    <m/>
    <n v="5"/>
    <n v="1"/>
    <s v="No"/>
    <s v="Amazon Coupon"/>
    <n v="476.09"/>
    <n v="0.94979999999999998"/>
    <n v="297"/>
    <s v="In Stock"/>
  </r>
  <r>
    <s v="AMZ26-00358"/>
    <d v="2026-04-13T00:00:00"/>
    <x v="9"/>
    <s v="Q2"/>
    <n v="2026"/>
    <s v="CUST-2481"/>
    <s v="Kiran Iyer"/>
    <s v="Consumer"/>
    <s v="India"/>
    <s v="Karnataka"/>
    <s v="Mysuru"/>
    <x v="1"/>
    <s v="Amazon Website"/>
    <s v="Android"/>
    <x v="2"/>
    <s v="Makeup"/>
    <s v="Foundation"/>
    <s v="Lakme"/>
    <s v="BEA-MAK-10103"/>
    <s v="FBM"/>
    <x v="2"/>
    <x v="0"/>
    <n v="3"/>
    <n v="2296.75"/>
    <n v="0.05"/>
    <n v="344.51"/>
    <n v="6890.25"/>
    <n v="6545.74"/>
    <n v="210.38"/>
    <n v="3971.18"/>
    <n v="2364.1799999999998"/>
    <n v="0.36120000000000002"/>
    <n v="2"/>
    <s v="On Time"/>
    <s v="No"/>
    <m/>
    <n v="3"/>
    <n v="0"/>
    <s v="Yes"/>
    <s v="Amazon Coupon"/>
    <n v="7520.25"/>
    <n v="0.87039999999999995"/>
    <n v="440"/>
    <s v="In Stock"/>
  </r>
  <r>
    <s v="AMZ26-00359"/>
    <d v="2026-01-31T00:00:00"/>
    <x v="10"/>
    <s v="Q1"/>
    <n v="2026"/>
    <s v="CUST-2260"/>
    <s v="Rohan Kumar"/>
    <s v="Corporate"/>
    <s v="India"/>
    <s v="Odisha"/>
    <s v="Bhubaneswar"/>
    <x v="2"/>
    <s v="Amazon Website"/>
    <s v="Tablet"/>
    <x v="2"/>
    <s v="Makeup"/>
    <s v="Foundation"/>
    <s v="Lakme"/>
    <s v="BEA-MAK-87594"/>
    <s v="FBA"/>
    <x v="0"/>
    <x v="0"/>
    <n v="5"/>
    <n v="1169.5"/>
    <n v="0"/>
    <n v="0"/>
    <n v="5847.5"/>
    <n v="5847.5"/>
    <n v="87.03"/>
    <n v="3395.35"/>
    <n v="2365.12"/>
    <n v="0.40450000000000003"/>
    <n v="3"/>
    <s v="On Time"/>
    <s v="Yes"/>
    <s v="Wrong Item"/>
    <n v="5"/>
    <n v="2"/>
    <s v="Yes"/>
    <s v="Festival Sale"/>
    <n v="5135.87"/>
    <n v="1.1386000000000001"/>
    <n v="398"/>
    <s v="In Stock"/>
  </r>
  <r>
    <s v="AMZ26-00360"/>
    <d v="2026-05-05T00:00:00"/>
    <x v="2"/>
    <s v="Q2"/>
    <n v="2026"/>
    <s v="CUST-2236"/>
    <s v="Sai Shetty"/>
    <s v="Corporate"/>
    <s v="India"/>
    <s v="West Bengal"/>
    <s v="Kolkata"/>
    <x v="2"/>
    <s v="Amazon Website"/>
    <s v="iOS"/>
    <x v="4"/>
    <s v="Kitchen Appliances"/>
    <s v="Electric Kettle"/>
    <s v="Pigeon"/>
    <s v="HOM-KIT-20129"/>
    <s v="FBM"/>
    <x v="5"/>
    <x v="0"/>
    <n v="4"/>
    <n v="4980.76"/>
    <n v="0.25"/>
    <n v="4980.76"/>
    <n v="19923.04"/>
    <n v="14942.28"/>
    <n v="233.87"/>
    <n v="7644.45"/>
    <n v="7063.96"/>
    <n v="0.47270000000000001"/>
    <n v="2"/>
    <s v="On Time"/>
    <s v="No"/>
    <m/>
    <n v="5"/>
    <n v="0"/>
    <s v="Yes"/>
    <s v="None"/>
    <n v="17396.650000000001"/>
    <n v="0.8589"/>
    <n v="179"/>
    <s v="In Stock"/>
  </r>
  <r>
    <s v="AMZ26-00361"/>
    <d v="2026-07-25T00:00:00"/>
    <x v="3"/>
    <s v="Q3"/>
    <n v="2026"/>
    <s v="CUST-2149"/>
    <s v="Kavya Joshi"/>
    <s v="Small Business"/>
    <s v="India"/>
    <s v="Punjab"/>
    <s v="Ludhiana"/>
    <x v="0"/>
    <s v="Amazon App"/>
    <s v="iOS"/>
    <x v="0"/>
    <s v="Women Clothing"/>
    <s v="Printed Kurti"/>
    <s v="BIBA"/>
    <s v="FAS-WOM-11180"/>
    <s v="FBM"/>
    <x v="5"/>
    <x v="1"/>
    <n v="4"/>
    <n v="915.3"/>
    <n v="0"/>
    <n v="0"/>
    <n v="3661.2"/>
    <n v="3661.2"/>
    <n v="162.08000000000001"/>
    <n v="2680.97"/>
    <n v="818.15"/>
    <n v="0.2235"/>
    <n v="0"/>
    <s v="Not Applicable"/>
    <s v="No"/>
    <m/>
    <m/>
    <n v="0"/>
    <s v="Yes"/>
    <s v="Lightning Deal"/>
    <n v="3155.78"/>
    <n v="1.1601999999999999"/>
    <n v="94"/>
    <s v="In Stock"/>
  </r>
  <r>
    <s v="AMZ26-00362"/>
    <d v="2026-01-10T00:00:00"/>
    <x v="10"/>
    <s v="Q1"/>
    <n v="2026"/>
    <s v="CUST-3929"/>
    <s v="Aditya Rao"/>
    <s v="Small Business"/>
    <s v="India"/>
    <s v="Kerala"/>
    <s v="Kochi"/>
    <x v="1"/>
    <s v="Amazon Website"/>
    <s v="iOS"/>
    <x v="1"/>
    <s v="Mobiles"/>
    <s v="Galaxy A Series"/>
    <s v="Samsung"/>
    <s v="ELE-MOB-23389"/>
    <s v="FBM"/>
    <x v="5"/>
    <x v="0"/>
    <n v="2"/>
    <n v="30707.9"/>
    <n v="0"/>
    <n v="0"/>
    <n v="61415.8"/>
    <n v="61415.8"/>
    <n v="87"/>
    <n v="45772.85"/>
    <n v="15555.95"/>
    <n v="0.25330000000000003"/>
    <n v="6"/>
    <s v="Delayed"/>
    <s v="No"/>
    <m/>
    <n v="5"/>
    <n v="1"/>
    <s v="Yes"/>
    <s v="Bank Offer"/>
    <n v="59186.3"/>
    <n v="1.0377000000000001"/>
    <n v="109"/>
    <s v="In Stock"/>
  </r>
  <r>
    <s v="AMZ26-00363"/>
    <d v="2026-07-19T00:00:00"/>
    <x v="3"/>
    <s v="Q3"/>
    <n v="2026"/>
    <s v="CUST-1424"/>
    <s v="Rohan Yadav"/>
    <s v="Consumer"/>
    <s v="India"/>
    <s v="Karnataka"/>
    <s v="Bengaluru"/>
    <x v="1"/>
    <s v="Amazon Website"/>
    <s v="Tablet"/>
    <x v="0"/>
    <s v="Footwear"/>
    <s v="Running Shoes"/>
    <s v="Adidas"/>
    <s v="FAS-FOO-23720"/>
    <s v="FBM"/>
    <x v="4"/>
    <x v="0"/>
    <n v="5"/>
    <n v="4322.45"/>
    <n v="0.05"/>
    <n v="1080.6099999999999"/>
    <n v="21612.25"/>
    <n v="20531.64"/>
    <n v="140.83000000000001"/>
    <n v="15322.28"/>
    <n v="5068.53"/>
    <n v="0.24690000000000001"/>
    <n v="5"/>
    <s v="Delayed"/>
    <s v="No"/>
    <m/>
    <n v="4"/>
    <n v="0"/>
    <s v="Yes"/>
    <s v="Bank Offer"/>
    <n v="17641.419999999998"/>
    <n v="1.1637999999999999"/>
    <n v="402"/>
    <s v="In Stock"/>
  </r>
  <r>
    <s v="AMZ26-00364"/>
    <d v="2026-12-22T00:00:00"/>
    <x v="11"/>
    <s v="Q4"/>
    <n v="2026"/>
    <s v="CUST-2769"/>
    <s v="Aditi Nair"/>
    <s v="Corporate"/>
    <s v="India"/>
    <s v="Maharashtra"/>
    <s v="Mumbai"/>
    <x v="3"/>
    <s v="Amazon Website"/>
    <s v="Android"/>
    <x v="0"/>
    <s v="Women Clothing"/>
    <s v="Printed Kurti"/>
    <s v="BIBA"/>
    <s v="FAS-WOM-13538"/>
    <s v="FBA"/>
    <x v="2"/>
    <x v="2"/>
    <n v="2"/>
    <n v="3808.58"/>
    <n v="0.2"/>
    <n v="1523.43"/>
    <n v="7617.16"/>
    <n v="6093.73"/>
    <n v="134.86000000000001"/>
    <n v="4565.37"/>
    <n v="1393.5"/>
    <n v="0.22869999999999999"/>
    <n v="8"/>
    <s v="In Transit"/>
    <s v="No"/>
    <m/>
    <m/>
    <n v="0"/>
    <s v="Yes"/>
    <s v="Lightning Deal"/>
    <n v="7453.38"/>
    <n v="0.81759999999999999"/>
    <n v="165"/>
    <s v="In Stock"/>
  </r>
  <r>
    <s v="AMZ26-00365"/>
    <d v="2026-10-05T00:00:00"/>
    <x v="8"/>
    <s v="Q4"/>
    <n v="2026"/>
    <s v="CUST-1179"/>
    <s v="Meera Rao"/>
    <s v="Corporate"/>
    <s v="India"/>
    <s v="Kerala"/>
    <s v="Kochi"/>
    <x v="1"/>
    <s v="Amazon App"/>
    <s v="Android"/>
    <x v="0"/>
    <s v="Footwear"/>
    <s v="Sandals"/>
    <s v="Bata"/>
    <s v="FAS-FOO-91365"/>
    <s v="FBM"/>
    <x v="5"/>
    <x v="0"/>
    <n v="4"/>
    <n v="1143.04"/>
    <n v="0.25"/>
    <n v="1143.04"/>
    <n v="4572.16"/>
    <n v="3429.12"/>
    <n v="197.62"/>
    <n v="2501.9"/>
    <n v="729.6"/>
    <n v="0.21279999999999999"/>
    <n v="2"/>
    <s v="On Time"/>
    <s v="No"/>
    <m/>
    <n v="4"/>
    <n v="0"/>
    <s v="Yes"/>
    <s v="Lightning Deal"/>
    <n v="3192.92"/>
    <n v="1.0740000000000001"/>
    <n v="230"/>
    <s v="In Stock"/>
  </r>
  <r>
    <s v="AMZ26-00366"/>
    <d v="2026-03-23T00:00:00"/>
    <x v="0"/>
    <s v="Q1"/>
    <n v="2026"/>
    <s v="CUST-4900"/>
    <s v="Kiran Reddy"/>
    <s v="Corporate"/>
    <s v="India"/>
    <s v="Karnataka"/>
    <s v="Mysuru"/>
    <x v="1"/>
    <s v="Amazon Website"/>
    <s v="Desktop"/>
    <x v="0"/>
    <s v="Women Clothing"/>
    <s v="Denim Jeans"/>
    <s v="Levi's"/>
    <s v="FAS-WOM-45034"/>
    <s v="FBM"/>
    <x v="0"/>
    <x v="0"/>
    <n v="1"/>
    <n v="3476.86"/>
    <n v="0.3"/>
    <n v="1043.06"/>
    <n v="3476.86"/>
    <n v="2433.8000000000002"/>
    <n v="87.54"/>
    <n v="1572.05"/>
    <n v="774.21"/>
    <n v="0.31809999999999999"/>
    <n v="3"/>
    <s v="On Time"/>
    <s v="No"/>
    <m/>
    <n v="5"/>
    <n v="3"/>
    <s v="Yes"/>
    <s v="Amazon Coupon"/>
    <n v="2922.1"/>
    <n v="0.83289999999999997"/>
    <n v="272"/>
    <s v="In Stock"/>
  </r>
  <r>
    <s v="AMZ26-00367"/>
    <d v="2026-07-20T00:00:00"/>
    <x v="3"/>
    <s v="Q3"/>
    <n v="2026"/>
    <s v="CUST-1209"/>
    <s v="Ananya Jain"/>
    <s v="Consumer"/>
    <s v="India"/>
    <s v="Kerala"/>
    <s v="Kochi"/>
    <x v="1"/>
    <s v="Amazon Website"/>
    <s v="Android"/>
    <x v="2"/>
    <s v="Skin Care"/>
    <s v="Sunscreen"/>
    <s v="Neutrogena"/>
    <s v="BEA-SKI-28280"/>
    <s v="FBM"/>
    <x v="5"/>
    <x v="0"/>
    <n v="3"/>
    <n v="181.99"/>
    <n v="0.1"/>
    <n v="54.6"/>
    <n v="545.97"/>
    <n v="491.37"/>
    <n v="139.22999999999999"/>
    <n v="261.73"/>
    <n v="90.41"/>
    <n v="0.184"/>
    <n v="3"/>
    <s v="On Time"/>
    <s v="Yes"/>
    <s v="Size/Fit Issue"/>
    <n v="4"/>
    <n v="1"/>
    <s v="Yes"/>
    <s v="Lightning Deal"/>
    <n v="543.14"/>
    <n v="0.90469999999999995"/>
    <n v="94"/>
    <s v="In Stock"/>
  </r>
  <r>
    <s v="AMZ26-00368"/>
    <d v="2026-11-26T00:00:00"/>
    <x v="6"/>
    <s v="Q4"/>
    <n v="2026"/>
    <s v="CUST-1569"/>
    <s v="Nikhil Kumar"/>
    <s v="Corporate"/>
    <s v="India"/>
    <s v="Odisha"/>
    <s v="Bhubaneswar"/>
    <x v="2"/>
    <s v="Amazon App"/>
    <s v="iOS"/>
    <x v="3"/>
    <s v="Staples"/>
    <s v="Basmati Rice"/>
    <s v="India Gate"/>
    <s v="GRO-STA-21566"/>
    <s v="FBA"/>
    <x v="2"/>
    <x v="0"/>
    <n v="5"/>
    <n v="1636.27"/>
    <n v="0"/>
    <n v="0"/>
    <n v="8181.35"/>
    <n v="8181.35"/>
    <n v="7.1"/>
    <n v="5874.05"/>
    <n v="2300.1999999999998"/>
    <n v="0.28120000000000001"/>
    <n v="2"/>
    <s v="On Time"/>
    <s v="No"/>
    <m/>
    <n v="4"/>
    <n v="4"/>
    <s v="Yes"/>
    <s v="None"/>
    <n v="8662.2999999999993"/>
    <n v="0.94450000000000001"/>
    <n v="377"/>
    <s v="In Stock"/>
  </r>
  <r>
    <s v="AMZ26-00369"/>
    <d v="2026-05-09T00:00:00"/>
    <x v="2"/>
    <s v="Q2"/>
    <n v="2026"/>
    <s v="CUST-1026"/>
    <s v="Sai Sharma"/>
    <s v="Corporate"/>
    <s v="India"/>
    <s v="Haryana"/>
    <s v="Gurugram"/>
    <x v="0"/>
    <s v="Amazon App"/>
    <s v="Desktop"/>
    <x v="3"/>
    <s v="Beverages"/>
    <s v="Coffee"/>
    <s v="Nescafe"/>
    <s v="GRO-BEV-69595"/>
    <s v="FBM"/>
    <x v="3"/>
    <x v="2"/>
    <n v="5"/>
    <n v="502.26"/>
    <n v="0"/>
    <n v="0"/>
    <n v="2511.3000000000002"/>
    <n v="2511.3000000000002"/>
    <n v="8.61"/>
    <n v="1779.32"/>
    <n v="723.37"/>
    <n v="0.28799999999999998"/>
    <n v="7"/>
    <s v="In Transit"/>
    <s v="No"/>
    <m/>
    <m/>
    <n v="0"/>
    <s v="No"/>
    <s v="None"/>
    <n v="2294.5100000000002"/>
    <n v="1.0945"/>
    <n v="398"/>
    <s v="In Stock"/>
  </r>
  <r>
    <s v="AMZ26-00370"/>
    <d v="2026-05-06T00:00:00"/>
    <x v="2"/>
    <s v="Q2"/>
    <n v="2026"/>
    <s v="CUST-1349"/>
    <s v="Kiran Gupta"/>
    <s v="Corporate"/>
    <s v="India"/>
    <s v="Maharashtra"/>
    <s v="Pune"/>
    <x v="3"/>
    <s v="Amazon Website"/>
    <s v="iOS"/>
    <x v="4"/>
    <s v="Cookware"/>
    <s v="Pressure Cooker"/>
    <s v="Hawkins"/>
    <s v="HOM-COO-89677"/>
    <s v="FBM"/>
    <x v="2"/>
    <x v="2"/>
    <n v="4"/>
    <n v="1035.02"/>
    <n v="0.25"/>
    <n v="1035.02"/>
    <n v="4140.08"/>
    <n v="3105.06"/>
    <n v="117.79"/>
    <n v="2099.91"/>
    <n v="887.36"/>
    <n v="0.2858"/>
    <n v="2"/>
    <s v="In Transit"/>
    <s v="No"/>
    <m/>
    <m/>
    <n v="0"/>
    <s v="Yes"/>
    <s v="Amazon Coupon"/>
    <n v="3631.38"/>
    <n v="0.85509999999999997"/>
    <n v="107"/>
    <s v="In Stock"/>
  </r>
  <r>
    <s v="AMZ26-00371"/>
    <d v="2026-07-19T00:00:00"/>
    <x v="3"/>
    <s v="Q3"/>
    <n v="2026"/>
    <s v="CUST-3539"/>
    <s v="Vihaan Iyer"/>
    <s v="Consumer"/>
    <s v="India"/>
    <s v="Bihar"/>
    <s v="Patna"/>
    <x v="2"/>
    <s v="Amazon Website"/>
    <s v="Desktop"/>
    <x v="0"/>
    <s v="Women Clothing"/>
    <s v="Casual Top"/>
    <s v="ONLY"/>
    <s v="FAS-WOM-91561"/>
    <s v="FBM"/>
    <x v="3"/>
    <x v="0"/>
    <n v="4"/>
    <n v="729.6"/>
    <n v="0"/>
    <n v="0"/>
    <n v="2918.4"/>
    <n v="2918.4"/>
    <n v="223.62"/>
    <n v="1859.27"/>
    <n v="835.51"/>
    <n v="0.2863"/>
    <n v="3"/>
    <s v="On Time"/>
    <s v="No"/>
    <m/>
    <n v="4"/>
    <n v="0"/>
    <s v="No"/>
    <s v="Festival Sale"/>
    <n v="3083.73"/>
    <n v="0.94640000000000002"/>
    <n v="276"/>
    <s v="In Stock"/>
  </r>
  <r>
    <s v="AMZ26-00372"/>
    <d v="2026-10-27T00:00:00"/>
    <x v="8"/>
    <s v="Q4"/>
    <n v="2026"/>
    <s v="CUST-4695"/>
    <s v="Aarav Reddy"/>
    <s v="Small Business"/>
    <s v="India"/>
    <s v="Telangana"/>
    <s v="Hyderabad"/>
    <x v="1"/>
    <s v="Amazon Website"/>
    <s v="Desktop"/>
    <x v="4"/>
    <s v="Kitchen Appliances"/>
    <s v="Electric Kettle"/>
    <s v="Pigeon"/>
    <s v="HOM-KIT-34202"/>
    <s v="FBA"/>
    <x v="1"/>
    <x v="2"/>
    <n v="3"/>
    <n v="11550.78"/>
    <n v="0.15"/>
    <n v="5197.8500000000004"/>
    <n v="34652.339999999997"/>
    <n v="29454.49"/>
    <n v="126.01"/>
    <n v="20331.77"/>
    <n v="8996.7099999999991"/>
    <n v="0.3054"/>
    <n v="3"/>
    <s v="In Transit"/>
    <s v="No"/>
    <m/>
    <m/>
    <n v="0"/>
    <s v="Yes"/>
    <s v="Lightning Deal"/>
    <n v="31092.76"/>
    <n v="0.94730000000000003"/>
    <n v="334"/>
    <s v="In Stock"/>
  </r>
  <r>
    <s v="AMZ26-00373"/>
    <d v="2026-12-10T00:00:00"/>
    <x v="11"/>
    <s v="Q4"/>
    <n v="2026"/>
    <s v="CUST-3605"/>
    <s v="Ananya Yadav"/>
    <s v="Corporate"/>
    <s v="India"/>
    <s v="Delhi"/>
    <s v="New Delhi"/>
    <x v="0"/>
    <s v="Amazon Website"/>
    <s v="Android"/>
    <x v="3"/>
    <s v="Snacks"/>
    <s v="Cookies"/>
    <s v="Britannia"/>
    <s v="GRO-SNA-19680"/>
    <s v="FBM"/>
    <x v="3"/>
    <x v="0"/>
    <n v="2"/>
    <n v="1700.38"/>
    <n v="0.25"/>
    <n v="850.19"/>
    <n v="3400.76"/>
    <n v="2550.5700000000002"/>
    <n v="35.049999999999997"/>
    <n v="1507.78"/>
    <n v="1007.74"/>
    <n v="0.39510000000000001"/>
    <n v="3"/>
    <s v="On Time"/>
    <s v="No"/>
    <m/>
    <n v="4"/>
    <n v="3"/>
    <s v="No"/>
    <s v="None"/>
    <n v="3092.7"/>
    <n v="0.82469999999999999"/>
    <n v="271"/>
    <s v="In Stock"/>
  </r>
  <r>
    <s v="AMZ26-00374"/>
    <d v="2026-11-25T00:00:00"/>
    <x v="6"/>
    <s v="Q4"/>
    <n v="2026"/>
    <s v="CUST-4826"/>
    <s v="Aditya Gupta"/>
    <s v="Corporate"/>
    <s v="India"/>
    <s v="Gujarat"/>
    <s v="Ahmedabad"/>
    <x v="3"/>
    <s v="Amazon App"/>
    <s v="Tablet"/>
    <x v="3"/>
    <s v="Staples"/>
    <s v="Basmati Rice"/>
    <s v="India Gate"/>
    <s v="GRO-STA-13898"/>
    <s v="FBM"/>
    <x v="1"/>
    <x v="2"/>
    <n v="2"/>
    <n v="87.01"/>
    <n v="0.15"/>
    <n v="26.1"/>
    <n v="174.02"/>
    <n v="147.91999999999999"/>
    <n v="173.37"/>
    <n v="107.72"/>
    <n v="-133.16999999999999"/>
    <n v="-0.90029999999999999"/>
    <n v="6"/>
    <s v="In Transit"/>
    <s v="No"/>
    <m/>
    <m/>
    <n v="0"/>
    <s v="Yes"/>
    <s v="Prime Deal"/>
    <n v="166.9"/>
    <n v="0.88629999999999998"/>
    <n v="383"/>
    <s v="In Stock"/>
  </r>
  <r>
    <s v="AMZ26-00375"/>
    <d v="2026-05-24T00:00:00"/>
    <x v="2"/>
    <s v="Q2"/>
    <n v="2026"/>
    <s v="CUST-4339"/>
    <s v="Sai Sharma"/>
    <s v="Consumer"/>
    <s v="India"/>
    <s v="Karnataka"/>
    <s v="Mysuru"/>
    <x v="1"/>
    <s v="Amazon Website"/>
    <s v="iOS"/>
    <x v="1"/>
    <s v="Mobiles"/>
    <s v="Galaxy A Series"/>
    <s v="Samsung"/>
    <s v="ELE-MOB-65267"/>
    <s v="FBM"/>
    <x v="2"/>
    <x v="0"/>
    <n v="1"/>
    <n v="51885.62"/>
    <n v="0.1"/>
    <n v="5188.5600000000004"/>
    <n v="51885.62"/>
    <n v="46697.06"/>
    <n v="184.18"/>
    <n v="30713.67"/>
    <n v="15799.21"/>
    <n v="0.33829999999999999"/>
    <n v="2"/>
    <s v="On Time"/>
    <s v="No"/>
    <m/>
    <n v="4"/>
    <n v="1"/>
    <s v="No"/>
    <s v="Bank Offer"/>
    <n v="51886.71"/>
    <n v="0.9"/>
    <n v="413"/>
    <s v="In Stock"/>
  </r>
  <r>
    <s v="AMZ26-00376"/>
    <d v="2026-01-04T00:00:00"/>
    <x v="10"/>
    <s v="Q1"/>
    <n v="2026"/>
    <s v="CUST-4487"/>
    <s v="Aditya Jain"/>
    <s v="Small Business"/>
    <s v="India"/>
    <s v="Assam"/>
    <s v="Guwahati"/>
    <x v="2"/>
    <s v="Amazon Website"/>
    <s v="iOS"/>
    <x v="2"/>
    <s v="Makeup"/>
    <s v="Kajal"/>
    <s v="Lakme"/>
    <s v="BEA-MAK-77451"/>
    <s v="FBA"/>
    <x v="1"/>
    <x v="0"/>
    <n v="5"/>
    <n v="1081.07"/>
    <n v="0.1"/>
    <n v="540.54"/>
    <n v="5405.35"/>
    <n v="4864.8100000000004"/>
    <n v="242.06"/>
    <n v="3012.62"/>
    <n v="1610.13"/>
    <n v="0.33100000000000002"/>
    <n v="4"/>
    <s v="On Time"/>
    <s v="No"/>
    <m/>
    <n v="5"/>
    <n v="1"/>
    <s v="Yes"/>
    <s v="Amazon Coupon"/>
    <n v="4643.62"/>
    <n v="1.0476000000000001"/>
    <n v="400"/>
    <s v="In Stock"/>
  </r>
  <r>
    <s v="AMZ26-00377"/>
    <d v="2026-01-28T00:00:00"/>
    <x v="10"/>
    <s v="Q1"/>
    <n v="2026"/>
    <s v="CUST-4695"/>
    <s v="Rahul Verma"/>
    <s v="Small Business"/>
    <s v="India"/>
    <s v="Rajasthan"/>
    <s v="Jaipur"/>
    <x v="3"/>
    <s v="Amazon App"/>
    <s v="Android"/>
    <x v="4"/>
    <s v="Cookware"/>
    <s v="Pressure Cooker"/>
    <s v="Hawkins"/>
    <s v="HOM-COO-48303"/>
    <s v="FBA"/>
    <x v="4"/>
    <x v="2"/>
    <n v="3"/>
    <n v="4405.21"/>
    <n v="0.2"/>
    <n v="2643.13"/>
    <n v="13215.63"/>
    <n v="10572.5"/>
    <n v="224.44"/>
    <n v="7505.17"/>
    <n v="2842.89"/>
    <n v="0.26889999999999997"/>
    <n v="3"/>
    <s v="In Transit"/>
    <s v="No"/>
    <m/>
    <m/>
    <n v="0"/>
    <s v="No"/>
    <s v="Prime Deal"/>
    <n v="9227.82"/>
    <n v="1.1456999999999999"/>
    <n v="291"/>
    <s v="In Stock"/>
  </r>
  <r>
    <s v="AMZ26-00378"/>
    <d v="2026-09-14T00:00:00"/>
    <x v="1"/>
    <s v="Q3"/>
    <n v="2026"/>
    <s v="CUST-1247"/>
    <s v="Ananya Shetty"/>
    <s v="Small Business"/>
    <s v="India"/>
    <s v="Delhi"/>
    <s v="New Delhi"/>
    <x v="0"/>
    <s v="Amazon Website"/>
    <s v="Android"/>
    <x v="3"/>
    <s v="Beverages"/>
    <s v="Fruit Juice"/>
    <s v="Real"/>
    <s v="GRO-BEV-18128"/>
    <s v="FBA"/>
    <x v="1"/>
    <x v="0"/>
    <n v="3"/>
    <n v="233.87"/>
    <n v="0"/>
    <n v="0"/>
    <n v="701.61"/>
    <n v="701.61"/>
    <n v="191.39"/>
    <n v="384.05"/>
    <n v="126.17"/>
    <n v="0.17979999999999999"/>
    <n v="2"/>
    <s v="On Time"/>
    <s v="No"/>
    <m/>
    <n v="4"/>
    <n v="2"/>
    <s v="Yes"/>
    <s v="None"/>
    <n v="739.21"/>
    <n v="0.94910000000000005"/>
    <n v="398"/>
    <s v="In Stock"/>
  </r>
  <r>
    <s v="AMZ26-00379"/>
    <d v="2026-07-05T00:00:00"/>
    <x v="3"/>
    <s v="Q3"/>
    <n v="2026"/>
    <s v="CUST-1726"/>
    <s v="Ananya Das"/>
    <s v="Small Business"/>
    <s v="India"/>
    <s v="Odisha"/>
    <s v="Bhubaneswar"/>
    <x v="2"/>
    <s v="Amazon App"/>
    <s v="Android"/>
    <x v="1"/>
    <s v="Laptops"/>
    <s v="Inspiron Laptop"/>
    <s v="Dell"/>
    <s v="ELE-LAP-65187"/>
    <s v="FBA"/>
    <x v="1"/>
    <x v="0"/>
    <n v="5"/>
    <n v="48720.55"/>
    <n v="0.15"/>
    <n v="36540.410000000003"/>
    <n v="243602.75"/>
    <n v="207062.34"/>
    <n v="95.13"/>
    <n v="110790.38"/>
    <n v="96176.83"/>
    <n v="0.46450000000000002"/>
    <n v="5"/>
    <s v="Delayed"/>
    <s v="No"/>
    <m/>
    <n v="4"/>
    <n v="3"/>
    <s v="Yes"/>
    <s v="Festival Sale"/>
    <n v="192625.75"/>
    <n v="1.0749"/>
    <n v="149"/>
    <s v="In Stock"/>
  </r>
  <r>
    <s v="AMZ26-00380"/>
    <d v="2026-02-26T00:00:00"/>
    <x v="7"/>
    <s v="Q1"/>
    <n v="2026"/>
    <s v="CUST-4648"/>
    <s v="Meera Singh"/>
    <s v="Corporate"/>
    <s v="India"/>
    <s v="West Bengal"/>
    <s v="Kolkata"/>
    <x v="2"/>
    <s v="Amazon App"/>
    <s v="iOS"/>
    <x v="3"/>
    <s v="Beverages"/>
    <s v="Green Tea"/>
    <s v="Tata Tea"/>
    <s v="GRO-BEV-33544"/>
    <s v="FBA"/>
    <x v="1"/>
    <x v="2"/>
    <n v="1"/>
    <n v="1375.21"/>
    <n v="0.25"/>
    <n v="343.8"/>
    <n v="1375.21"/>
    <n v="1031.4100000000001"/>
    <n v="133.44"/>
    <n v="804.06"/>
    <n v="93.91"/>
    <n v="9.11E-2"/>
    <n v="7"/>
    <s v="In Transit"/>
    <s v="No"/>
    <m/>
    <m/>
    <n v="0"/>
    <s v="Yes"/>
    <s v="Prime Deal"/>
    <n v="1050.82"/>
    <n v="0.98150000000000004"/>
    <n v="208"/>
    <s v="In Stock"/>
  </r>
  <r>
    <s v="AMZ26-00381"/>
    <d v="2026-10-26T00:00:00"/>
    <x v="8"/>
    <s v="Q4"/>
    <n v="2026"/>
    <s v="CUST-1377"/>
    <s v="Arjun Singh"/>
    <s v="Consumer"/>
    <s v="India"/>
    <s v="Karnataka"/>
    <s v="Bengaluru"/>
    <x v="1"/>
    <s v="Amazon Website"/>
    <s v="iOS"/>
    <x v="3"/>
    <s v="Staples"/>
    <s v="Cooking Oil"/>
    <s v="Fortune"/>
    <s v="GRO-STA-39990"/>
    <s v="FBA"/>
    <x v="3"/>
    <x v="0"/>
    <n v="5"/>
    <n v="80.34"/>
    <n v="0.1"/>
    <n v="40.17"/>
    <n v="401.7"/>
    <n v="361.53"/>
    <n v="187.37"/>
    <n v="213.47"/>
    <n v="-39.31"/>
    <n v="-0.1087"/>
    <n v="1"/>
    <s v="On Time"/>
    <s v="No"/>
    <m/>
    <n v="4"/>
    <n v="3"/>
    <s v="No"/>
    <s v="Amazon Coupon"/>
    <n v="347.5"/>
    <n v="1.0404"/>
    <n v="317"/>
    <s v="In Stock"/>
  </r>
  <r>
    <s v="AMZ26-00382"/>
    <d v="2026-04-17T00:00:00"/>
    <x v="9"/>
    <s v="Q2"/>
    <n v="2026"/>
    <s v="CUST-4859"/>
    <s v="Sneha Yadav"/>
    <s v="Small Business"/>
    <s v="India"/>
    <s v="Karnataka"/>
    <s v="Bengaluru"/>
    <x v="1"/>
    <s v="Amazon App"/>
    <s v="Desktop"/>
    <x v="3"/>
    <s v="Beverages"/>
    <s v="Green Tea"/>
    <s v="Tata Tea"/>
    <s v="GRO-BEV-34710"/>
    <s v="FBA"/>
    <x v="0"/>
    <x v="0"/>
    <n v="1"/>
    <n v="572.80999999999995"/>
    <n v="0.05"/>
    <n v="28.64"/>
    <n v="572.80999999999995"/>
    <n v="544.16999999999996"/>
    <n v="51.68"/>
    <n v="279.58"/>
    <n v="212.91"/>
    <n v="0.39129999999999998"/>
    <n v="8"/>
    <s v="Delayed"/>
    <s v="No"/>
    <m/>
    <n v="4"/>
    <n v="2"/>
    <s v="Yes"/>
    <s v="Bank Offer"/>
    <n v="559.79"/>
    <n v="0.97209999999999996"/>
    <n v="54"/>
    <s v="In Stock"/>
  </r>
  <r>
    <s v="AMZ26-00383"/>
    <d v="2026-04-14T00:00:00"/>
    <x v="9"/>
    <s v="Q2"/>
    <n v="2026"/>
    <s v="CUST-4499"/>
    <s v="Nikhil Patel"/>
    <s v="Consumer"/>
    <s v="India"/>
    <s v="Maharashtra"/>
    <s v="Mumbai"/>
    <x v="3"/>
    <s v="Amazon App"/>
    <s v="Tablet"/>
    <x v="4"/>
    <s v="Kitchen Appliances"/>
    <s v="Electric Kettle"/>
    <s v="Pigeon"/>
    <s v="HOM-KIT-61158"/>
    <s v="FBA"/>
    <x v="1"/>
    <x v="1"/>
    <n v="5"/>
    <n v="8173.76"/>
    <n v="0.25"/>
    <n v="10217.200000000001"/>
    <n v="40868.800000000003"/>
    <n v="30651.599999999999"/>
    <n v="158.96"/>
    <n v="19376.009999999998"/>
    <n v="11116.63"/>
    <n v="0.36270000000000002"/>
    <n v="0"/>
    <s v="Not Applicable"/>
    <s v="No"/>
    <m/>
    <m/>
    <n v="0"/>
    <s v="Yes"/>
    <s v="Festival Sale"/>
    <n v="30129.95"/>
    <n v="1.0173000000000001"/>
    <n v="391"/>
    <s v="In Stock"/>
  </r>
  <r>
    <s v="AMZ26-00384"/>
    <d v="2026-04-26T00:00:00"/>
    <x v="9"/>
    <s v="Q2"/>
    <n v="2026"/>
    <s v="CUST-1853"/>
    <s v="Sai Verma"/>
    <s v="Corporate"/>
    <s v="India"/>
    <s v="Assam"/>
    <s v="Guwahati"/>
    <x v="2"/>
    <s v="Amazon App"/>
    <s v="Tablet"/>
    <x v="4"/>
    <s v="Cookware"/>
    <s v="Pressure Cooker"/>
    <s v="Hawkins"/>
    <s v="HOM-COO-76709"/>
    <s v="FBA"/>
    <x v="1"/>
    <x v="0"/>
    <n v="5"/>
    <n v="2076"/>
    <n v="0.2"/>
    <n v="2076"/>
    <n v="10380"/>
    <n v="8304"/>
    <n v="242.81"/>
    <n v="5736.53"/>
    <n v="2324.66"/>
    <n v="0.27989999999999998"/>
    <n v="6"/>
    <s v="Delayed"/>
    <s v="No"/>
    <m/>
    <n v="4"/>
    <n v="0"/>
    <s v="Yes"/>
    <s v="Festival Sale"/>
    <n v="10348.68"/>
    <n v="0.8024"/>
    <n v="139"/>
    <s v="In Stock"/>
  </r>
  <r>
    <s v="AMZ26-00385"/>
    <d v="2026-05-13T00:00:00"/>
    <x v="2"/>
    <s v="Q2"/>
    <n v="2026"/>
    <s v="CUST-4603"/>
    <s v="Aditya Sharma"/>
    <s v="Small Business"/>
    <s v="India"/>
    <s v="Tamil Nadu"/>
    <s v="Chennai"/>
    <x v="1"/>
    <s v="Amazon Website"/>
    <s v="iOS"/>
    <x v="4"/>
    <s v="Home Decor"/>
    <s v="Wall Clock"/>
    <s v="Ajanta"/>
    <s v="HOM-HOM-35399"/>
    <s v="FBA"/>
    <x v="4"/>
    <x v="0"/>
    <n v="4"/>
    <n v="4532.59"/>
    <n v="0.1"/>
    <n v="1813.04"/>
    <n v="18130.36"/>
    <n v="16317.32"/>
    <n v="237.46"/>
    <n v="11729.2"/>
    <n v="4350.66"/>
    <n v="0.2666"/>
    <n v="8"/>
    <s v="Delayed"/>
    <s v="No"/>
    <m/>
    <n v="5"/>
    <n v="3"/>
    <s v="Yes"/>
    <s v="Bank Offer"/>
    <n v="15840.9"/>
    <n v="1.0301"/>
    <n v="278"/>
    <s v="In Stock"/>
  </r>
  <r>
    <s v="AMZ26-00386"/>
    <d v="2026-05-08T00:00:00"/>
    <x v="2"/>
    <s v="Q2"/>
    <n v="2026"/>
    <s v="CUST-1076"/>
    <s v="Aditya Iyer"/>
    <s v="Corporate"/>
    <s v="India"/>
    <s v="Haryana"/>
    <s v="Gurugram"/>
    <x v="0"/>
    <s v="Amazon App"/>
    <s v="Android"/>
    <x v="1"/>
    <s v="Laptops"/>
    <s v="IdeaPad"/>
    <s v="Lenovo"/>
    <s v="ELE-LAP-40091"/>
    <s v="FBM"/>
    <x v="3"/>
    <x v="2"/>
    <n v="3"/>
    <n v="2704.57"/>
    <n v="0.1"/>
    <n v="811.37"/>
    <n v="8113.71"/>
    <n v="7302.34"/>
    <n v="52.42"/>
    <n v="3661.73"/>
    <n v="3588.19"/>
    <n v="0.4914"/>
    <n v="3"/>
    <s v="In Transit"/>
    <s v="No"/>
    <m/>
    <m/>
    <n v="0"/>
    <s v="Yes"/>
    <s v="Festival Sale"/>
    <n v="6360.08"/>
    <n v="1.1482000000000001"/>
    <n v="88"/>
    <s v="In Stock"/>
  </r>
  <r>
    <s v="AMZ26-00387"/>
    <d v="2026-03-28T00:00:00"/>
    <x v="0"/>
    <s v="Q1"/>
    <n v="2026"/>
    <s v="CUST-2993"/>
    <s v="Aditi Das"/>
    <s v="Small Business"/>
    <s v="India"/>
    <s v="Tamil Nadu"/>
    <s v="Chennai"/>
    <x v="1"/>
    <s v="Amazon App"/>
    <s v="Desktop"/>
    <x v="3"/>
    <s v="Beverages"/>
    <s v="Green Tea"/>
    <s v="Tata Tea"/>
    <s v="GRO-BEV-91474"/>
    <s v="FBM"/>
    <x v="3"/>
    <x v="1"/>
    <n v="1"/>
    <n v="1574.76"/>
    <n v="0.05"/>
    <n v="78.739999999999995"/>
    <n v="1574.76"/>
    <n v="1496.02"/>
    <n v="198.18"/>
    <n v="1025.53"/>
    <n v="272.31"/>
    <n v="0.182"/>
    <n v="0"/>
    <s v="Not Applicable"/>
    <s v="No"/>
    <m/>
    <m/>
    <n v="0"/>
    <s v="Yes"/>
    <s v="Lightning Deal"/>
    <n v="1314.07"/>
    <n v="1.1385000000000001"/>
    <n v="65"/>
    <s v="In Stock"/>
  </r>
  <r>
    <s v="AMZ26-00388"/>
    <d v="2026-10-20T00:00:00"/>
    <x v="8"/>
    <s v="Q4"/>
    <n v="2026"/>
    <s v="CUST-1819"/>
    <s v="Vivek Shetty"/>
    <s v="Small Business"/>
    <s v="India"/>
    <s v="Uttar Pradesh"/>
    <s v="Noida"/>
    <x v="0"/>
    <s v="Amazon App"/>
    <s v="iOS"/>
    <x v="1"/>
    <s v="Mobiles"/>
    <s v="Galaxy A Series"/>
    <s v="Samsung"/>
    <s v="ELE-MOB-83609"/>
    <s v="FBA"/>
    <x v="5"/>
    <x v="0"/>
    <n v="2"/>
    <n v="39940.839999999997"/>
    <n v="0.3"/>
    <n v="23964.5"/>
    <n v="79881.679999999993"/>
    <n v="55917.18"/>
    <n v="233.74"/>
    <n v="27384.22"/>
    <n v="28299.22"/>
    <n v="0.50609999999999999"/>
    <n v="8"/>
    <s v="Delayed"/>
    <s v="No"/>
    <m/>
    <n v="4"/>
    <n v="1"/>
    <s v="Yes"/>
    <s v="Bank Offer"/>
    <n v="61248.1"/>
    <n v="0.91300000000000003"/>
    <n v="102"/>
    <s v="In Stock"/>
  </r>
  <r>
    <s v="AMZ26-00389"/>
    <d v="2026-06-22T00:00:00"/>
    <x v="5"/>
    <s v="Q2"/>
    <n v="2026"/>
    <s v="CUST-1365"/>
    <s v="Nandini Rao"/>
    <s v="Consumer"/>
    <s v="India"/>
    <s v="Bihar"/>
    <s v="Patna"/>
    <x v="2"/>
    <s v="Amazon App"/>
    <s v="Tablet"/>
    <x v="3"/>
    <s v="Snacks"/>
    <s v="Potato Chips"/>
    <s v="Lay's"/>
    <s v="GRO-SNA-54671"/>
    <s v="FBM"/>
    <x v="4"/>
    <x v="0"/>
    <n v="5"/>
    <n v="975.04"/>
    <n v="0.25"/>
    <n v="1218.8"/>
    <n v="4875.2"/>
    <n v="3656.4"/>
    <n v="191.2"/>
    <n v="2314.86"/>
    <n v="1150.3399999999999"/>
    <n v="0.31459999999999999"/>
    <n v="2"/>
    <s v="On Time"/>
    <s v="No"/>
    <m/>
    <n v="4"/>
    <n v="0"/>
    <s v="No"/>
    <s v="Lightning Deal"/>
    <n v="4231.33"/>
    <n v="0.86409999999999998"/>
    <n v="144"/>
    <s v="In Stock"/>
  </r>
  <r>
    <s v="AMZ26-00390"/>
    <d v="2026-08-11T00:00:00"/>
    <x v="4"/>
    <s v="Q3"/>
    <n v="2026"/>
    <s v="CUST-3187"/>
    <s v="Nandini Patel"/>
    <s v="Consumer"/>
    <s v="India"/>
    <s v="Gujarat"/>
    <s v="Ahmedabad"/>
    <x v="3"/>
    <s v="Amazon App"/>
    <s v="Tablet"/>
    <x v="4"/>
    <s v="Cookware"/>
    <s v="Pressure Cooker"/>
    <s v="Hawkins"/>
    <s v="HOM-COO-89118"/>
    <s v="FBM"/>
    <x v="0"/>
    <x v="0"/>
    <n v="5"/>
    <n v="5793.13"/>
    <n v="0.1"/>
    <n v="2896.57"/>
    <n v="28965.65"/>
    <n v="26069.08"/>
    <n v="0.78"/>
    <n v="19304.79"/>
    <n v="6763.51"/>
    <n v="0.25940000000000002"/>
    <n v="7"/>
    <s v="Delayed"/>
    <s v="No"/>
    <m/>
    <n v="4"/>
    <n v="0"/>
    <s v="Yes"/>
    <s v="Bank Offer"/>
    <n v="26900.85"/>
    <n v="0.96909999999999996"/>
    <n v="92"/>
    <s v="In Stock"/>
  </r>
  <r>
    <s v="AMZ26-00391"/>
    <d v="2026-11-23T00:00:00"/>
    <x v="6"/>
    <s v="Q4"/>
    <n v="2026"/>
    <s v="CUST-2867"/>
    <s v="Vihaan Rao"/>
    <s v="Consumer"/>
    <s v="India"/>
    <s v="Assam"/>
    <s v="Guwahati"/>
    <x v="2"/>
    <s v="Amazon Website"/>
    <s v="Tablet"/>
    <x v="2"/>
    <s v="Makeup"/>
    <s v="Lipstick"/>
    <s v="Maybelline"/>
    <s v="BEA-MAK-99019"/>
    <s v="FBM"/>
    <x v="1"/>
    <x v="0"/>
    <n v="2"/>
    <n v="403.91"/>
    <n v="0.15"/>
    <n v="121.17"/>
    <n v="807.82"/>
    <n v="686.65"/>
    <n v="55.45"/>
    <n v="507.05"/>
    <n v="124.15"/>
    <n v="0.18079999999999999"/>
    <n v="3"/>
    <s v="On Time"/>
    <s v="Yes"/>
    <s v="Wrong Item"/>
    <n v="3"/>
    <n v="3"/>
    <s v="Yes"/>
    <s v="None"/>
    <n v="597.53"/>
    <n v="1.1491"/>
    <n v="27"/>
    <s v="Low Stock"/>
  </r>
  <r>
    <s v="AMZ26-00392"/>
    <d v="2026-04-29T00:00:00"/>
    <x v="9"/>
    <s v="Q2"/>
    <n v="2026"/>
    <s v="CUST-1890"/>
    <s v="Kiran Shetty"/>
    <s v="Consumer"/>
    <s v="India"/>
    <s v="Assam"/>
    <s v="Guwahati"/>
    <x v="2"/>
    <s v="Amazon Website"/>
    <s v="iOS"/>
    <x v="0"/>
    <s v="Footwear"/>
    <s v="Running Shoes"/>
    <s v="Adidas"/>
    <s v="FAS-FOO-51172"/>
    <s v="FBM"/>
    <x v="4"/>
    <x v="0"/>
    <n v="3"/>
    <n v="2970.79"/>
    <n v="0"/>
    <n v="0"/>
    <n v="8912.3700000000008"/>
    <n v="8912.3700000000008"/>
    <n v="199.12"/>
    <n v="6048.9"/>
    <n v="2664.35"/>
    <n v="0.2989"/>
    <n v="3"/>
    <s v="On Time"/>
    <s v="No"/>
    <m/>
    <n v="5"/>
    <n v="1"/>
    <s v="No"/>
    <s v="Festival Sale"/>
    <n v="10239.879999999999"/>
    <n v="0.87039999999999995"/>
    <n v="329"/>
    <s v="In Stock"/>
  </r>
  <r>
    <s v="AMZ26-00393"/>
    <d v="2026-11-02T00:00:00"/>
    <x v="6"/>
    <s v="Q4"/>
    <n v="2026"/>
    <s v="CUST-3058"/>
    <s v="Pooja Sharma"/>
    <s v="Consumer"/>
    <s v="India"/>
    <s v="West Bengal"/>
    <s v="Kolkata"/>
    <x v="2"/>
    <s v="Amazon App"/>
    <s v="Android"/>
    <x v="3"/>
    <s v="Staples"/>
    <s v="Basmati Rice"/>
    <s v="India Gate"/>
    <s v="GRO-STA-75088"/>
    <s v="FBM"/>
    <x v="4"/>
    <x v="0"/>
    <n v="1"/>
    <n v="594.69000000000005"/>
    <n v="0"/>
    <n v="0"/>
    <n v="594.69000000000005"/>
    <n v="594.69000000000005"/>
    <n v="61.9"/>
    <n v="427.58"/>
    <n v="105.21"/>
    <n v="0.1769"/>
    <n v="7"/>
    <s v="Delayed"/>
    <s v="No"/>
    <m/>
    <n v="5"/>
    <n v="2"/>
    <s v="Yes"/>
    <s v="Amazon Coupon"/>
    <n v="566.72"/>
    <n v="1.0494000000000001"/>
    <n v="24"/>
    <s v="Low Stock"/>
  </r>
  <r>
    <s v="AMZ26-00394"/>
    <d v="2026-10-12T00:00:00"/>
    <x v="8"/>
    <s v="Q4"/>
    <n v="2026"/>
    <s v="CUST-4495"/>
    <s v="Priya Jain"/>
    <s v="Consumer"/>
    <s v="India"/>
    <s v="Karnataka"/>
    <s v="Bengaluru"/>
    <x v="1"/>
    <s v="Amazon App"/>
    <s v="Android"/>
    <x v="0"/>
    <s v="Men Clothing"/>
    <s v="Cotton Shirt"/>
    <s v="Allen Solly"/>
    <s v="FAS-MEN-98420"/>
    <s v="FBM"/>
    <x v="5"/>
    <x v="0"/>
    <n v="2"/>
    <n v="1596.09"/>
    <n v="0.05"/>
    <n v="159.61000000000001"/>
    <n v="3192.18"/>
    <n v="3032.57"/>
    <n v="149.22"/>
    <n v="1676.45"/>
    <n v="1206.9000000000001"/>
    <n v="0.39800000000000002"/>
    <n v="6"/>
    <s v="Delayed"/>
    <s v="No"/>
    <m/>
    <n v="3"/>
    <n v="3"/>
    <s v="No"/>
    <s v="Bank Offer"/>
    <n v="2658.92"/>
    <n v="1.1405000000000001"/>
    <n v="393"/>
    <s v="In Stock"/>
  </r>
  <r>
    <s v="AMZ26-00395"/>
    <d v="2026-11-29T00:00:00"/>
    <x v="6"/>
    <s v="Q4"/>
    <n v="2026"/>
    <s v="CUST-2804"/>
    <s v="Aarav Jain"/>
    <s v="Consumer"/>
    <s v="India"/>
    <s v="West Bengal"/>
    <s v="Kolkata"/>
    <x v="2"/>
    <s v="Amazon App"/>
    <s v="Android"/>
    <x v="0"/>
    <s v="Men Clothing"/>
    <s v="Cotton Shirt"/>
    <s v="Allen Solly"/>
    <s v="FAS-MEN-27986"/>
    <s v="FBA"/>
    <x v="3"/>
    <x v="1"/>
    <n v="4"/>
    <n v="2955.21"/>
    <n v="0.25"/>
    <n v="2955.21"/>
    <n v="11820.84"/>
    <n v="8865.6299999999992"/>
    <n v="53"/>
    <n v="4719.93"/>
    <n v="4092.7"/>
    <n v="0.46160000000000001"/>
    <n v="0"/>
    <s v="Not Applicable"/>
    <s v="No"/>
    <m/>
    <m/>
    <n v="0"/>
    <s v="Yes"/>
    <s v="Lightning Deal"/>
    <n v="9769.31"/>
    <n v="0.90749999999999997"/>
    <n v="346"/>
    <s v="In Stock"/>
  </r>
  <r>
    <s v="AMZ26-00396"/>
    <d v="2026-03-04T00:00:00"/>
    <x v="0"/>
    <s v="Q1"/>
    <n v="2026"/>
    <s v="CUST-4641"/>
    <s v="Arjun Rao"/>
    <s v="Consumer"/>
    <s v="India"/>
    <s v="Assam"/>
    <s v="Guwahati"/>
    <x v="2"/>
    <s v="Amazon Website"/>
    <s v="Tablet"/>
    <x v="1"/>
    <s v="Laptops"/>
    <s v="IdeaPad"/>
    <s v="Lenovo"/>
    <s v="ELE-LAP-86970"/>
    <s v="FBM"/>
    <x v="5"/>
    <x v="0"/>
    <n v="3"/>
    <n v="49823.61"/>
    <n v="0.3"/>
    <n v="44841.25"/>
    <n v="149470.82999999999"/>
    <n v="104629.58"/>
    <n v="78.8"/>
    <n v="65203.56"/>
    <n v="39347.22"/>
    <n v="0.37609999999999999"/>
    <n v="3"/>
    <s v="On Time"/>
    <s v="No"/>
    <m/>
    <n v="3"/>
    <n v="2"/>
    <s v="Yes"/>
    <s v="Lightning Deal"/>
    <n v="109338.66"/>
    <n v="0.95689999999999997"/>
    <n v="371"/>
    <s v="In Stock"/>
  </r>
  <r>
    <s v="AMZ26-00397"/>
    <d v="2026-03-20T00:00:00"/>
    <x v="0"/>
    <s v="Q1"/>
    <n v="2026"/>
    <s v="CUST-2843"/>
    <s v="Priya Iyer"/>
    <s v="Consumer"/>
    <s v="India"/>
    <s v="Maharashtra"/>
    <s v="Pune"/>
    <x v="3"/>
    <s v="Amazon App"/>
    <s v="Desktop"/>
    <x v="1"/>
    <s v="Mobiles"/>
    <s v="Galaxy A Series"/>
    <s v="Samsung"/>
    <s v="ELE-MOB-58465"/>
    <s v="FBM"/>
    <x v="5"/>
    <x v="0"/>
    <n v="2"/>
    <n v="50278.9"/>
    <n v="0.25"/>
    <n v="25139.45"/>
    <n v="100557.8"/>
    <n v="75418.350000000006"/>
    <n v="24.95"/>
    <n v="41105.32"/>
    <n v="34288.080000000002"/>
    <n v="0.4546"/>
    <n v="6"/>
    <s v="Delayed"/>
    <s v="No"/>
    <m/>
    <n v="3"/>
    <n v="0"/>
    <s v="Yes"/>
    <s v="None"/>
    <n v="68650.960000000006"/>
    <n v="1.0986"/>
    <n v="178"/>
    <s v="In Stock"/>
  </r>
  <r>
    <s v="AMZ26-00398"/>
    <d v="2026-02-01T00:00:00"/>
    <x v="7"/>
    <s v="Q1"/>
    <n v="2026"/>
    <s v="CUST-3645"/>
    <s v="Meera Verma"/>
    <s v="Consumer"/>
    <s v="India"/>
    <s v="Kerala"/>
    <s v="Kochi"/>
    <x v="1"/>
    <s v="Amazon App"/>
    <s v="iOS"/>
    <x v="0"/>
    <s v="Footwear"/>
    <s v="Casual Sneakers"/>
    <s v="Puma"/>
    <s v="FAS-FOO-75069"/>
    <s v="FBA"/>
    <x v="2"/>
    <x v="0"/>
    <n v="2"/>
    <n v="3666.53"/>
    <n v="0.15"/>
    <n v="1099.96"/>
    <n v="7333.06"/>
    <n v="6233.1"/>
    <n v="62.38"/>
    <n v="4530.9399999999996"/>
    <n v="1639.78"/>
    <n v="0.2631"/>
    <n v="3"/>
    <s v="On Time"/>
    <s v="No"/>
    <m/>
    <n v="5"/>
    <n v="1"/>
    <s v="No"/>
    <s v="Festival Sale"/>
    <n v="7511.27"/>
    <n v="0.82979999999999998"/>
    <n v="53"/>
    <s v="In Stock"/>
  </r>
  <r>
    <s v="AMZ26-00399"/>
    <d v="2026-10-03T00:00:00"/>
    <x v="8"/>
    <s v="Q4"/>
    <n v="2026"/>
    <s v="CUST-4014"/>
    <s v="Sneha Yadav"/>
    <s v="Consumer"/>
    <s v="India"/>
    <s v="Punjab"/>
    <s v="Ludhiana"/>
    <x v="0"/>
    <s v="Amazon Website"/>
    <s v="Tablet"/>
    <x v="4"/>
    <s v="Kitchen Appliances"/>
    <s v="Electric Kettle"/>
    <s v="Pigeon"/>
    <s v="HOM-KIT-63233"/>
    <s v="FBM"/>
    <x v="0"/>
    <x v="0"/>
    <n v="2"/>
    <n v="5645.71"/>
    <n v="0.3"/>
    <n v="3387.43"/>
    <n v="11291.42"/>
    <n v="7903.99"/>
    <n v="169.96"/>
    <n v="4311.09"/>
    <n v="3422.94"/>
    <n v="0.43309999999999998"/>
    <n v="5"/>
    <s v="Delayed"/>
    <s v="No"/>
    <m/>
    <n v="4"/>
    <n v="2"/>
    <s v="Yes"/>
    <s v="Amazon Coupon"/>
    <n v="8085.15"/>
    <n v="0.97760000000000002"/>
    <n v="269"/>
    <s v="In Stock"/>
  </r>
  <r>
    <s v="AMZ26-00400"/>
    <d v="2026-02-15T00:00:00"/>
    <x v="7"/>
    <s v="Q1"/>
    <n v="2026"/>
    <s v="CUST-1814"/>
    <s v="Isha Shetty"/>
    <s v="Small Business"/>
    <s v="India"/>
    <s v="Karnataka"/>
    <s v="Mysuru"/>
    <x v="1"/>
    <s v="Amazon Website"/>
    <s v="Tablet"/>
    <x v="0"/>
    <s v="Men Clothing"/>
    <s v="Slim Jeans"/>
    <s v="Levi's"/>
    <s v="FAS-MEN-68943"/>
    <s v="FBA"/>
    <x v="1"/>
    <x v="2"/>
    <n v="1"/>
    <n v="3689.99"/>
    <n v="0.15"/>
    <n v="553.5"/>
    <n v="3689.99"/>
    <n v="3136.49"/>
    <n v="124.13"/>
    <n v="2216.48"/>
    <n v="795.88"/>
    <n v="0.25369999999999998"/>
    <n v="4"/>
    <s v="In Transit"/>
    <s v="No"/>
    <m/>
    <m/>
    <n v="0"/>
    <s v="Yes"/>
    <s v="Bank Offer"/>
    <n v="3593.95"/>
    <n v="0.87270000000000003"/>
    <n v="229"/>
    <s v="In Stock"/>
  </r>
  <r>
    <s v="AMZ26-00401"/>
    <d v="2026-11-16T00:00:00"/>
    <x v="6"/>
    <s v="Q4"/>
    <n v="2026"/>
    <s v="CUST-3788"/>
    <s v="Arjun Iyer"/>
    <s v="Small Business"/>
    <s v="India"/>
    <s v="Kerala"/>
    <s v="Kochi"/>
    <x v="1"/>
    <s v="Amazon App"/>
    <s v="Desktop"/>
    <x v="1"/>
    <s v="Accessories"/>
    <s v="Keyboard"/>
    <s v="HP"/>
    <s v="ELE-ACC-51040"/>
    <s v="FBM"/>
    <x v="2"/>
    <x v="0"/>
    <n v="5"/>
    <n v="46408.86"/>
    <n v="0.2"/>
    <n v="46408.86"/>
    <n v="232044.3"/>
    <n v="185635.44"/>
    <n v="50.25"/>
    <n v="95938.71"/>
    <n v="89646.48"/>
    <n v="0.4829"/>
    <n v="6"/>
    <s v="Delayed"/>
    <s v="Yes"/>
    <s v="Damaged Product"/>
    <n v="3"/>
    <n v="1"/>
    <s v="No"/>
    <s v="Festival Sale"/>
    <n v="161339.89000000001"/>
    <n v="1.1506000000000001"/>
    <n v="336"/>
    <s v="In Stock"/>
  </r>
  <r>
    <s v="AMZ26-00402"/>
    <d v="2026-09-27T00:00:00"/>
    <x v="1"/>
    <s v="Q3"/>
    <n v="2026"/>
    <s v="CUST-2635"/>
    <s v="Kiran Jain"/>
    <s v="Consumer"/>
    <s v="India"/>
    <s v="Odisha"/>
    <s v="Bhubaneswar"/>
    <x v="2"/>
    <s v="Amazon Website"/>
    <s v="Desktop"/>
    <x v="0"/>
    <s v="Footwear"/>
    <s v="Sandals"/>
    <s v="Bata"/>
    <s v="FAS-FOO-94856"/>
    <s v="FBA"/>
    <x v="4"/>
    <x v="1"/>
    <n v="1"/>
    <n v="2407.88"/>
    <n v="0"/>
    <n v="0"/>
    <n v="2407.88"/>
    <n v="2407.88"/>
    <n v="129.55000000000001"/>
    <n v="1589.71"/>
    <n v="688.62"/>
    <n v="0.28599999999999998"/>
    <n v="0"/>
    <s v="Not Applicable"/>
    <s v="No"/>
    <m/>
    <m/>
    <n v="0"/>
    <s v="Yes"/>
    <s v="Festival Sale"/>
    <n v="2391.36"/>
    <n v="1.0068999999999999"/>
    <n v="305"/>
    <s v="In Stock"/>
  </r>
  <r>
    <s v="AMZ26-00403"/>
    <d v="2026-09-15T00:00:00"/>
    <x v="1"/>
    <s v="Q3"/>
    <n v="2026"/>
    <s v="CUST-4007"/>
    <s v="Vivek Iyer"/>
    <s v="Small Business"/>
    <s v="India"/>
    <s v="Gujarat"/>
    <s v="Ahmedabad"/>
    <x v="3"/>
    <s v="Amazon App"/>
    <s v="Tablet"/>
    <x v="0"/>
    <s v="Footwear"/>
    <s v="Casual Sneakers"/>
    <s v="Puma"/>
    <s v="FAS-FOO-55692"/>
    <s v="FBM"/>
    <x v="0"/>
    <x v="0"/>
    <n v="3"/>
    <n v="3060.4"/>
    <n v="0.1"/>
    <n v="918.12"/>
    <n v="9181.2000000000007"/>
    <n v="8263.08"/>
    <n v="88.79"/>
    <n v="6359.43"/>
    <n v="1814.86"/>
    <n v="0.21959999999999999"/>
    <n v="5"/>
    <s v="Delayed"/>
    <s v="No"/>
    <m/>
    <n v="5"/>
    <n v="2"/>
    <s v="No"/>
    <s v="Bank Offer"/>
    <n v="7472.86"/>
    <n v="1.1056999999999999"/>
    <n v="245"/>
    <s v="In Stock"/>
  </r>
  <r>
    <s v="AMZ26-00404"/>
    <d v="2026-10-03T00:00:00"/>
    <x v="8"/>
    <s v="Q4"/>
    <n v="2026"/>
    <s v="CUST-2609"/>
    <s v="Sneha Nair"/>
    <s v="Corporate"/>
    <s v="India"/>
    <s v="Maharashtra"/>
    <s v="Pune"/>
    <x v="3"/>
    <s v="Amazon Website"/>
    <s v="Android"/>
    <x v="4"/>
    <s v="Home Decor"/>
    <s v="Curtain Set"/>
    <s v="Home Centre"/>
    <s v="HOM-HOM-39258"/>
    <s v="FBA"/>
    <x v="4"/>
    <x v="1"/>
    <n v="5"/>
    <n v="9236.01"/>
    <n v="0.15"/>
    <n v="6927.01"/>
    <n v="46180.05"/>
    <n v="39253.040000000001"/>
    <n v="29.01"/>
    <n v="19613.759999999998"/>
    <n v="19610.27"/>
    <n v="0.49959999999999999"/>
    <n v="0"/>
    <s v="Not Applicable"/>
    <s v="No"/>
    <m/>
    <m/>
    <n v="0"/>
    <s v="No"/>
    <s v="Bank Offer"/>
    <n v="35656.699999999997"/>
    <n v="1.1009"/>
    <n v="154"/>
    <s v="In Stock"/>
  </r>
  <r>
    <s v="AMZ26-00405"/>
    <d v="2026-03-09T00:00:00"/>
    <x v="0"/>
    <s v="Q1"/>
    <n v="2026"/>
    <s v="CUST-1825"/>
    <s v="Aditi Das"/>
    <s v="Corporate"/>
    <s v="India"/>
    <s v="Odisha"/>
    <s v="Bhubaneswar"/>
    <x v="2"/>
    <s v="Amazon App"/>
    <s v="iOS"/>
    <x v="2"/>
    <s v="Hair Care"/>
    <s v="Hair Serum"/>
    <s v="L'Oreal"/>
    <s v="BEA-HAI-63218"/>
    <s v="FBA"/>
    <x v="4"/>
    <x v="0"/>
    <n v="1"/>
    <n v="306.5"/>
    <n v="0.25"/>
    <n v="76.62"/>
    <n v="306.5"/>
    <n v="229.88"/>
    <n v="189.15"/>
    <n v="116.38"/>
    <n v="-75.650000000000006"/>
    <n v="-0.3291"/>
    <n v="3"/>
    <s v="On Time"/>
    <s v="No"/>
    <m/>
    <n v="5"/>
    <n v="3"/>
    <s v="No"/>
    <s v="None"/>
    <n v="209.37"/>
    <n v="1.0980000000000001"/>
    <n v="126"/>
    <s v="In Stock"/>
  </r>
  <r>
    <s v="AMZ26-00406"/>
    <d v="2026-01-31T00:00:00"/>
    <x v="10"/>
    <s v="Q1"/>
    <n v="2026"/>
    <s v="CUST-4146"/>
    <s v="Pooja Rao"/>
    <s v="Corporate"/>
    <s v="India"/>
    <s v="Tamil Nadu"/>
    <s v="Chennai"/>
    <x v="1"/>
    <s v="Amazon App"/>
    <s v="Desktop"/>
    <x v="2"/>
    <s v="Makeup"/>
    <s v="Kajal"/>
    <s v="Lakme"/>
    <s v="BEA-MAK-23575"/>
    <s v="FBM"/>
    <x v="2"/>
    <x v="1"/>
    <n v="2"/>
    <n v="179.48"/>
    <n v="0.05"/>
    <n v="17.95"/>
    <n v="358.96"/>
    <n v="341.01"/>
    <n v="206.87"/>
    <n v="178.18"/>
    <n v="-44.04"/>
    <n v="-0.12909999999999999"/>
    <n v="0"/>
    <s v="Not Applicable"/>
    <s v="No"/>
    <m/>
    <m/>
    <n v="0"/>
    <s v="Yes"/>
    <s v="Prime Deal"/>
    <n v="385.77"/>
    <n v="0.88400000000000001"/>
    <n v="477"/>
    <s v="In Stock"/>
  </r>
  <r>
    <s v="AMZ26-00407"/>
    <d v="2026-11-09T00:00:00"/>
    <x v="6"/>
    <s v="Q4"/>
    <n v="2026"/>
    <s v="CUST-1544"/>
    <s v="Sai Shetty"/>
    <s v="Consumer"/>
    <s v="India"/>
    <s v="Gujarat"/>
    <s v="Ahmedabad"/>
    <x v="3"/>
    <s v="Amazon App"/>
    <s v="iOS"/>
    <x v="0"/>
    <s v="Footwear"/>
    <s v="Sandals"/>
    <s v="Bata"/>
    <s v="FAS-FOO-32607"/>
    <s v="FBM"/>
    <x v="1"/>
    <x v="0"/>
    <n v="4"/>
    <n v="1475.21"/>
    <n v="0.15"/>
    <n v="885.13"/>
    <n v="5900.84"/>
    <n v="5015.71"/>
    <n v="184.46"/>
    <n v="3578.79"/>
    <n v="1252.46"/>
    <n v="0.24970000000000001"/>
    <n v="4"/>
    <s v="On Time"/>
    <s v="No"/>
    <m/>
    <n v="4"/>
    <n v="1"/>
    <s v="Yes"/>
    <s v="None"/>
    <n v="4945.76"/>
    <n v="1.0141"/>
    <n v="484"/>
    <s v="In Stock"/>
  </r>
  <r>
    <s v="AMZ26-00408"/>
    <d v="2026-04-15T00:00:00"/>
    <x v="9"/>
    <s v="Q2"/>
    <n v="2026"/>
    <s v="CUST-1094"/>
    <s v="Aditi Reddy"/>
    <s v="Consumer"/>
    <s v="India"/>
    <s v="Odisha"/>
    <s v="Bhubaneswar"/>
    <x v="2"/>
    <s v="Amazon App"/>
    <s v="iOS"/>
    <x v="3"/>
    <s v="Staples"/>
    <s v="Cooking Oil"/>
    <s v="Fortune"/>
    <s v="GRO-STA-61336"/>
    <s v="FBA"/>
    <x v="3"/>
    <x v="0"/>
    <n v="5"/>
    <n v="1499.1"/>
    <n v="0"/>
    <n v="0"/>
    <n v="7495.5"/>
    <n v="7495.5"/>
    <n v="127.14"/>
    <n v="5237.62"/>
    <n v="2130.7399999999998"/>
    <n v="0.2843"/>
    <n v="6"/>
    <s v="Delayed"/>
    <s v="No"/>
    <m/>
    <n v="5"/>
    <n v="0"/>
    <s v="Yes"/>
    <s v="Prime Deal"/>
    <n v="8122.96"/>
    <n v="0.92279999999999995"/>
    <n v="287"/>
    <s v="In Stock"/>
  </r>
  <r>
    <s v="AMZ26-00409"/>
    <d v="2026-06-11T00:00:00"/>
    <x v="5"/>
    <s v="Q2"/>
    <n v="2026"/>
    <s v="CUST-4107"/>
    <s v="Kavya Jain"/>
    <s v="Consumer"/>
    <s v="India"/>
    <s v="Uttar Pradesh"/>
    <s v="Noida"/>
    <x v="0"/>
    <s v="Amazon Website"/>
    <s v="Desktop"/>
    <x v="2"/>
    <s v="Skin Care"/>
    <s v="Sunscreen"/>
    <s v="Neutrogena"/>
    <s v="BEA-SKI-48874"/>
    <s v="FBM"/>
    <x v="4"/>
    <x v="1"/>
    <n v="3"/>
    <n v="161.13999999999999"/>
    <n v="0"/>
    <n v="0"/>
    <n v="483.42"/>
    <n v="483.42"/>
    <n v="227.97"/>
    <n v="236.19"/>
    <n v="19.260000000000002"/>
    <n v="3.9800000000000002E-2"/>
    <n v="0"/>
    <s v="Not Applicable"/>
    <s v="No"/>
    <m/>
    <m/>
    <n v="0"/>
    <s v="Yes"/>
    <s v="Prime Deal"/>
    <n v="543.45000000000005"/>
    <n v="0.88949999999999996"/>
    <n v="68"/>
    <s v="In Stock"/>
  </r>
  <r>
    <s v="AMZ26-00410"/>
    <d v="2026-11-03T00:00:00"/>
    <x v="6"/>
    <s v="Q4"/>
    <n v="2026"/>
    <s v="CUST-3649"/>
    <s v="Aditya Singh"/>
    <s v="Corporate"/>
    <s v="India"/>
    <s v="Bihar"/>
    <s v="Patna"/>
    <x v="2"/>
    <s v="Amazon App"/>
    <s v="Tablet"/>
    <x v="3"/>
    <s v="Beverages"/>
    <s v="Coffee"/>
    <s v="Nescafe"/>
    <s v="GRO-BEV-46663"/>
    <s v="FBM"/>
    <x v="5"/>
    <x v="0"/>
    <n v="3"/>
    <n v="1415.94"/>
    <n v="0.05"/>
    <n v="212.39"/>
    <n v="4247.82"/>
    <n v="4035.43"/>
    <n v="156.34"/>
    <n v="2404.02"/>
    <n v="1475.07"/>
    <n v="0.36549999999999999"/>
    <n v="6"/>
    <s v="Delayed"/>
    <s v="No"/>
    <m/>
    <n v="5"/>
    <n v="3"/>
    <s v="No"/>
    <s v="Amazon Coupon"/>
    <n v="4447.1400000000003"/>
    <n v="0.90739999999999998"/>
    <n v="466"/>
    <s v="In Stock"/>
  </r>
  <r>
    <s v="AMZ26-00411"/>
    <d v="2026-11-18T00:00:00"/>
    <x v="6"/>
    <s v="Q4"/>
    <n v="2026"/>
    <s v="CUST-1250"/>
    <s v="Aarav Verma"/>
    <s v="Small Business"/>
    <s v="India"/>
    <s v="Uttar Pradesh"/>
    <s v="Noida"/>
    <x v="0"/>
    <s v="Amazon Website"/>
    <s v="Desktop"/>
    <x v="3"/>
    <s v="Staples"/>
    <s v="Atta"/>
    <s v="Aashirvaad"/>
    <s v="GRO-STA-68035"/>
    <s v="FBA"/>
    <x v="4"/>
    <x v="0"/>
    <n v="5"/>
    <n v="1215.52"/>
    <n v="0"/>
    <n v="0"/>
    <n v="6077.6"/>
    <n v="6077.6"/>
    <n v="111.34"/>
    <n v="4206.49"/>
    <n v="1759.77"/>
    <n v="0.28960000000000002"/>
    <n v="8"/>
    <s v="Delayed"/>
    <s v="Yes"/>
    <s v="Changed Mind"/>
    <n v="5"/>
    <n v="0"/>
    <s v="Yes"/>
    <s v="Bank Offer"/>
    <n v="7247.05"/>
    <n v="0.83860000000000001"/>
    <n v="252"/>
    <s v="In Stock"/>
  </r>
  <r>
    <s v="AMZ26-00412"/>
    <d v="2026-01-18T00:00:00"/>
    <x v="10"/>
    <s v="Q1"/>
    <n v="2026"/>
    <s v="CUST-2409"/>
    <s v="Rahul Yadav"/>
    <s v="Consumer"/>
    <s v="India"/>
    <s v="Kerala"/>
    <s v="Kochi"/>
    <x v="1"/>
    <s v="Amazon App"/>
    <s v="Desktop"/>
    <x v="0"/>
    <s v="Men Clothing"/>
    <s v="Cotton Shirt"/>
    <s v="Allen Solly"/>
    <s v="FAS-MEN-60123"/>
    <s v="FBM"/>
    <x v="1"/>
    <x v="2"/>
    <n v="2"/>
    <n v="949.81"/>
    <n v="0.1"/>
    <n v="189.96"/>
    <n v="1899.62"/>
    <n v="1709.66"/>
    <n v="167.38"/>
    <n v="1231.58"/>
    <n v="310.7"/>
    <n v="0.1817"/>
    <n v="3"/>
    <s v="In Transit"/>
    <s v="No"/>
    <m/>
    <m/>
    <n v="0"/>
    <s v="Yes"/>
    <s v="Prime Deal"/>
    <n v="1563.46"/>
    <n v="1.0934999999999999"/>
    <n v="227"/>
    <s v="In Stock"/>
  </r>
  <r>
    <s v="AMZ26-00413"/>
    <d v="2026-01-21T00:00:00"/>
    <x v="10"/>
    <s v="Q1"/>
    <n v="2026"/>
    <s v="CUST-4085"/>
    <s v="Nandini Patel"/>
    <s v="Corporate"/>
    <s v="India"/>
    <s v="Rajasthan"/>
    <s v="Jaipur"/>
    <x v="3"/>
    <s v="Amazon Website"/>
    <s v="Tablet"/>
    <x v="4"/>
    <s v="Cookware"/>
    <s v="Cookware Set"/>
    <s v="Pigeon"/>
    <s v="HOM-COO-87314"/>
    <s v="FBM"/>
    <x v="3"/>
    <x v="2"/>
    <n v="3"/>
    <n v="4496.3599999999997"/>
    <n v="0.25"/>
    <n v="3372.27"/>
    <n v="13489.08"/>
    <n v="10116.81"/>
    <n v="95.9"/>
    <n v="6237.14"/>
    <n v="3783.77"/>
    <n v="0.374"/>
    <n v="5"/>
    <s v="In Transit"/>
    <s v="No"/>
    <m/>
    <m/>
    <n v="0"/>
    <s v="Yes"/>
    <s v="Lightning Deal"/>
    <n v="9509.49"/>
    <n v="1.0639000000000001"/>
    <n v="362"/>
    <s v="In Stock"/>
  </r>
  <r>
    <s v="AMZ26-00414"/>
    <d v="2026-06-01T00:00:00"/>
    <x v="5"/>
    <s v="Q2"/>
    <n v="2026"/>
    <s v="CUST-1423"/>
    <s v="Nikhil Shetty"/>
    <s v="Corporate"/>
    <s v="India"/>
    <s v="Assam"/>
    <s v="Guwahati"/>
    <x v="2"/>
    <s v="Amazon Website"/>
    <s v="iOS"/>
    <x v="1"/>
    <s v="Accessories"/>
    <s v="Bluetooth Speaker"/>
    <s v="boAt"/>
    <s v="ELE-ACC-92639"/>
    <s v="FBA"/>
    <x v="5"/>
    <x v="2"/>
    <n v="3"/>
    <n v="50501.98"/>
    <n v="0.15"/>
    <n v="22725.89"/>
    <n v="151505.94"/>
    <n v="128780.05"/>
    <n v="117.6"/>
    <n v="74413.47"/>
    <n v="54248.98"/>
    <n v="0.42130000000000001"/>
    <n v="1"/>
    <s v="In Transit"/>
    <s v="No"/>
    <m/>
    <m/>
    <n v="0"/>
    <s v="Yes"/>
    <s v="Festival Sale"/>
    <n v="144642.79999999999"/>
    <n v="0.89029999999999998"/>
    <n v="163"/>
    <s v="In Stock"/>
  </r>
  <r>
    <s v="AMZ26-00415"/>
    <d v="2026-03-09T00:00:00"/>
    <x v="0"/>
    <s v="Q1"/>
    <n v="2026"/>
    <s v="CUST-1707"/>
    <s v="Rahul Reddy"/>
    <s v="Small Business"/>
    <s v="India"/>
    <s v="Odisha"/>
    <s v="Bhubaneswar"/>
    <x v="2"/>
    <s v="Amazon App"/>
    <s v="Desktop"/>
    <x v="4"/>
    <s v="Cookware"/>
    <s v="Cookware Set"/>
    <s v="Pigeon"/>
    <s v="HOM-COO-62281"/>
    <s v="FBA"/>
    <x v="2"/>
    <x v="0"/>
    <n v="4"/>
    <n v="7481.39"/>
    <n v="0"/>
    <n v="0"/>
    <n v="29925.56"/>
    <n v="29925.56"/>
    <n v="82.64"/>
    <n v="22275.27"/>
    <n v="7567.65"/>
    <n v="0.25290000000000001"/>
    <n v="7"/>
    <s v="Delayed"/>
    <s v="No"/>
    <m/>
    <n v="5"/>
    <n v="2"/>
    <s v="Yes"/>
    <s v="Prime Deal"/>
    <n v="34845.629999999997"/>
    <n v="0.85880000000000001"/>
    <n v="254"/>
    <s v="In Stock"/>
  </r>
  <r>
    <s v="AMZ26-00416"/>
    <d v="2026-01-06T00:00:00"/>
    <x v="10"/>
    <s v="Q1"/>
    <n v="2026"/>
    <s v="CUST-3742"/>
    <s v="Vivek Kumar"/>
    <s v="Consumer"/>
    <s v="India"/>
    <s v="Tamil Nadu"/>
    <s v="Chennai"/>
    <x v="1"/>
    <s v="Amazon Website"/>
    <s v="iOS"/>
    <x v="0"/>
    <s v="Women Clothing"/>
    <s v="Casual Top"/>
    <s v="ONLY"/>
    <s v="FAS-WOM-49141"/>
    <s v="FBA"/>
    <x v="1"/>
    <x v="0"/>
    <n v="2"/>
    <n v="1966.6"/>
    <n v="0.3"/>
    <n v="1179.96"/>
    <n v="3933.2"/>
    <n v="2753.24"/>
    <n v="222.69"/>
    <n v="2021.53"/>
    <n v="509.02"/>
    <n v="0.18490000000000001"/>
    <n v="4"/>
    <s v="On Time"/>
    <s v="No"/>
    <m/>
    <n v="5"/>
    <n v="3"/>
    <s v="Yes"/>
    <s v="Lightning Deal"/>
    <n v="2986.82"/>
    <n v="0.92179999999999995"/>
    <n v="99"/>
    <s v="In Stock"/>
  </r>
  <r>
    <s v="AMZ26-00417"/>
    <d v="2026-01-03T00:00:00"/>
    <x v="10"/>
    <s v="Q1"/>
    <n v="2026"/>
    <s v="CUST-4404"/>
    <s v="Rahul Rao"/>
    <s v="Consumer"/>
    <s v="India"/>
    <s v="Delhi"/>
    <s v="New Delhi"/>
    <x v="0"/>
    <s v="Amazon App"/>
    <s v="Android"/>
    <x v="0"/>
    <s v="Women Clothing"/>
    <s v="Denim Jeans"/>
    <s v="Levi's"/>
    <s v="FAS-WOM-64750"/>
    <s v="FBM"/>
    <x v="4"/>
    <x v="0"/>
    <n v="2"/>
    <n v="490.74"/>
    <n v="0.15"/>
    <n v="147.22"/>
    <n v="981.48"/>
    <n v="834.26"/>
    <n v="245.69"/>
    <n v="619.75"/>
    <n v="-31.18"/>
    <n v="-3.7400000000000003E-2"/>
    <n v="6"/>
    <s v="Delayed"/>
    <s v="No"/>
    <m/>
    <n v="4"/>
    <n v="0"/>
    <s v="Yes"/>
    <s v="Amazon Coupon"/>
    <n v="773.02"/>
    <n v="1.0791999999999999"/>
    <n v="381"/>
    <s v="In Stock"/>
  </r>
  <r>
    <s v="AMZ26-00418"/>
    <d v="2026-11-19T00:00:00"/>
    <x v="6"/>
    <s v="Q4"/>
    <n v="2026"/>
    <s v="CUST-4009"/>
    <s v="Meera Jain"/>
    <s v="Small Business"/>
    <s v="India"/>
    <s v="Assam"/>
    <s v="Guwahati"/>
    <x v="2"/>
    <s v="Amazon App"/>
    <s v="Android"/>
    <x v="3"/>
    <s v="Staples"/>
    <s v="Atta"/>
    <s v="Aashirvaad"/>
    <s v="GRO-STA-84892"/>
    <s v="FBM"/>
    <x v="2"/>
    <x v="0"/>
    <n v="2"/>
    <n v="278.93"/>
    <n v="0.25"/>
    <n v="139.47"/>
    <n v="557.86"/>
    <n v="418.39"/>
    <n v="138.13999999999999"/>
    <n v="249.6"/>
    <n v="30.65"/>
    <n v="7.3300000000000004E-2"/>
    <n v="4"/>
    <s v="On Time"/>
    <s v="No"/>
    <m/>
    <n v="5"/>
    <n v="2"/>
    <s v="Yes"/>
    <s v="Festival Sale"/>
    <n v="472.14"/>
    <n v="0.88619999999999999"/>
    <n v="216"/>
    <s v="In Stock"/>
  </r>
  <r>
    <s v="AMZ26-00419"/>
    <d v="2026-11-08T00:00:00"/>
    <x v="6"/>
    <s v="Q4"/>
    <n v="2026"/>
    <s v="CUST-4747"/>
    <s v="Nandini Verma"/>
    <s v="Consumer"/>
    <s v="India"/>
    <s v="West Bengal"/>
    <s v="Kolkata"/>
    <x v="2"/>
    <s v="Amazon App"/>
    <s v="Android"/>
    <x v="1"/>
    <s v="Accessories"/>
    <s v="Bluetooth Speaker"/>
    <s v="boAt"/>
    <s v="ELE-ACC-28311"/>
    <s v="FBM"/>
    <x v="4"/>
    <x v="0"/>
    <n v="5"/>
    <n v="10057.01"/>
    <n v="0"/>
    <n v="0"/>
    <n v="50285.05"/>
    <n v="50285.05"/>
    <n v="112.95"/>
    <n v="29574.18"/>
    <n v="20597.919999999998"/>
    <n v="0.40960000000000002"/>
    <n v="3"/>
    <s v="On Time"/>
    <s v="No"/>
    <m/>
    <n v="5"/>
    <n v="2"/>
    <s v="No"/>
    <s v="Festival Sale"/>
    <n v="59793.97"/>
    <n v="0.84099999999999997"/>
    <n v="309"/>
    <s v="In Stock"/>
  </r>
  <r>
    <s v="AMZ26-00420"/>
    <d v="2026-07-20T00:00:00"/>
    <x v="3"/>
    <s v="Q3"/>
    <n v="2026"/>
    <s v="CUST-4680"/>
    <s v="Isha Jain"/>
    <s v="Consumer"/>
    <s v="India"/>
    <s v="Odisha"/>
    <s v="Bhubaneswar"/>
    <x v="2"/>
    <s v="Amazon App"/>
    <s v="Android"/>
    <x v="3"/>
    <s v="Staples"/>
    <s v="Cooking Oil"/>
    <s v="Fortune"/>
    <s v="GRO-STA-88178"/>
    <s v="FBM"/>
    <x v="1"/>
    <x v="0"/>
    <n v="4"/>
    <n v="678.05"/>
    <n v="0.25"/>
    <n v="678.05"/>
    <n v="2712.2"/>
    <n v="2034.15"/>
    <n v="22.03"/>
    <n v="1141.73"/>
    <n v="870.39"/>
    <n v="0.4279"/>
    <n v="2"/>
    <s v="On Time"/>
    <s v="No"/>
    <m/>
    <n v="3"/>
    <n v="3"/>
    <s v="Yes"/>
    <s v="Bank Offer"/>
    <n v="1882.69"/>
    <n v="1.0804"/>
    <n v="393"/>
    <s v="In Stock"/>
  </r>
  <r>
    <s v="AMZ26-00421"/>
    <d v="2026-05-20T00:00:00"/>
    <x v="2"/>
    <s v="Q2"/>
    <n v="2026"/>
    <s v="CUST-3316"/>
    <s v="Nikhil Kumar"/>
    <s v="Consumer"/>
    <s v="India"/>
    <s v="Punjab"/>
    <s v="Ludhiana"/>
    <x v="0"/>
    <s v="Amazon App"/>
    <s v="iOS"/>
    <x v="4"/>
    <s v="Home Decor"/>
    <s v="LED Lamp"/>
    <s v="Wipro"/>
    <s v="HOM-HOM-47057"/>
    <s v="FBM"/>
    <x v="1"/>
    <x v="0"/>
    <n v="1"/>
    <n v="11126.46"/>
    <n v="0"/>
    <n v="0"/>
    <n v="11126.46"/>
    <n v="11126.46"/>
    <n v="205.66"/>
    <n v="6059.39"/>
    <n v="4861.41"/>
    <n v="0.43690000000000001"/>
    <n v="4"/>
    <s v="On Time"/>
    <s v="No"/>
    <m/>
    <n v="5"/>
    <n v="4"/>
    <s v="Yes"/>
    <s v="Festival Sale"/>
    <n v="9474.15"/>
    <n v="1.1744000000000001"/>
    <n v="45"/>
    <s v="In Stock"/>
  </r>
  <r>
    <s v="AMZ26-00422"/>
    <d v="2026-05-21T00:00:00"/>
    <x v="2"/>
    <s v="Q2"/>
    <n v="2026"/>
    <s v="CUST-2604"/>
    <s v="Rohan Yadav"/>
    <s v="Small Business"/>
    <s v="India"/>
    <s v="Karnataka"/>
    <s v="Mysuru"/>
    <x v="1"/>
    <s v="Amazon Website"/>
    <s v="Tablet"/>
    <x v="4"/>
    <s v="Cookware"/>
    <s v="Pressure Cooker"/>
    <s v="Hawkins"/>
    <s v="HOM-COO-45468"/>
    <s v="FBM"/>
    <x v="4"/>
    <x v="0"/>
    <n v="3"/>
    <n v="11506.85"/>
    <n v="0.15"/>
    <n v="5178.08"/>
    <n v="34520.550000000003"/>
    <n v="29342.47"/>
    <n v="30.57"/>
    <n v="20835.419999999998"/>
    <n v="8476.48"/>
    <n v="0.28889999999999999"/>
    <n v="8"/>
    <s v="Delayed"/>
    <s v="No"/>
    <m/>
    <n v="4"/>
    <n v="2"/>
    <s v="Yes"/>
    <s v="None"/>
    <n v="26424.25"/>
    <n v="1.1104000000000001"/>
    <n v="84"/>
    <s v="In Stock"/>
  </r>
  <r>
    <s v="AMZ26-00423"/>
    <d v="2026-04-07T00:00:00"/>
    <x v="9"/>
    <s v="Q2"/>
    <n v="2026"/>
    <s v="CUST-3064"/>
    <s v="Ananya Gupta"/>
    <s v="Corporate"/>
    <s v="India"/>
    <s v="Maharashtra"/>
    <s v="Pune"/>
    <x v="3"/>
    <s v="Amazon App"/>
    <s v="Tablet"/>
    <x v="4"/>
    <s v="Home Decor"/>
    <s v="Wall Clock"/>
    <s v="Ajanta"/>
    <s v="HOM-HOM-94675"/>
    <s v="FBM"/>
    <x v="1"/>
    <x v="0"/>
    <n v="5"/>
    <n v="7625.96"/>
    <n v="0.2"/>
    <n v="7625.96"/>
    <n v="38129.800000000003"/>
    <n v="30503.84"/>
    <n v="130.97999999999999"/>
    <n v="18740.55"/>
    <n v="11632.31"/>
    <n v="0.38129999999999997"/>
    <n v="3"/>
    <s v="On Time"/>
    <s v="No"/>
    <m/>
    <n v="4"/>
    <n v="1"/>
    <s v="Yes"/>
    <s v="Amazon Coupon"/>
    <n v="36277.53"/>
    <n v="0.84079999999999999"/>
    <n v="50"/>
    <s v="In Stock"/>
  </r>
  <r>
    <s v="AMZ26-00424"/>
    <d v="2026-02-28T00:00:00"/>
    <x v="7"/>
    <s v="Q1"/>
    <n v="2026"/>
    <s v="CUST-4519"/>
    <s v="Kiran Singh"/>
    <s v="Consumer"/>
    <s v="India"/>
    <s v="Uttar Pradesh"/>
    <s v="Noida"/>
    <x v="0"/>
    <s v="Amazon Website"/>
    <s v="Desktop"/>
    <x v="3"/>
    <s v="Snacks"/>
    <s v="Cookies"/>
    <s v="Britannia"/>
    <s v="GRO-SNA-51391"/>
    <s v="FBM"/>
    <x v="1"/>
    <x v="0"/>
    <n v="1"/>
    <n v="1657.97"/>
    <n v="0.15"/>
    <n v="248.7"/>
    <n v="1657.97"/>
    <n v="1409.27"/>
    <n v="112.06"/>
    <n v="926.8"/>
    <n v="370.41"/>
    <n v="0.26279999999999998"/>
    <n v="1"/>
    <s v="On Time"/>
    <s v="No"/>
    <m/>
    <n v="4"/>
    <n v="1"/>
    <s v="No"/>
    <s v="Bank Offer"/>
    <n v="1622.08"/>
    <n v="0.86880000000000002"/>
    <n v="405"/>
    <s v="In Stock"/>
  </r>
  <r>
    <s v="AMZ26-00425"/>
    <d v="2026-02-10T00:00:00"/>
    <x v="7"/>
    <s v="Q1"/>
    <n v="2026"/>
    <s v="CUST-3028"/>
    <s v="Aditya Yadav"/>
    <s v="Consumer"/>
    <s v="India"/>
    <s v="West Bengal"/>
    <s v="Kolkata"/>
    <x v="2"/>
    <s v="Amazon Website"/>
    <s v="Android"/>
    <x v="4"/>
    <s v="Cookware"/>
    <s v="Nonstick Pan"/>
    <s v="Prestige"/>
    <s v="HOM-COO-20446"/>
    <s v="FBA"/>
    <x v="1"/>
    <x v="2"/>
    <n v="4"/>
    <n v="4647.3100000000004"/>
    <n v="0"/>
    <n v="0"/>
    <n v="18589.240000000002"/>
    <n v="18589.240000000002"/>
    <n v="58.9"/>
    <n v="11250.84"/>
    <n v="7279.5"/>
    <n v="0.3916"/>
    <n v="6"/>
    <s v="In Transit"/>
    <s v="No"/>
    <m/>
    <m/>
    <n v="0"/>
    <s v="No"/>
    <s v="Festival Sale"/>
    <n v="22099.4"/>
    <n v="0.84119999999999995"/>
    <n v="465"/>
    <s v="In Stock"/>
  </r>
  <r>
    <s v="AMZ26-00426"/>
    <d v="2026-03-18T00:00:00"/>
    <x v="0"/>
    <s v="Q1"/>
    <n v="2026"/>
    <s v="CUST-4804"/>
    <s v="Aditya Singh"/>
    <s v="Corporate"/>
    <s v="India"/>
    <s v="Bihar"/>
    <s v="Patna"/>
    <x v="2"/>
    <s v="Amazon App"/>
    <s v="iOS"/>
    <x v="4"/>
    <s v="Cookware"/>
    <s v="Cookware Set"/>
    <s v="Pigeon"/>
    <s v="HOM-COO-99444"/>
    <s v="FBM"/>
    <x v="4"/>
    <x v="1"/>
    <n v="4"/>
    <n v="362.26"/>
    <n v="0.15"/>
    <n v="217.36"/>
    <n v="1449.04"/>
    <n v="1231.68"/>
    <n v="221.37"/>
    <n v="606.98"/>
    <n v="403.33"/>
    <n v="0.32750000000000001"/>
    <n v="0"/>
    <s v="Not Applicable"/>
    <s v="No"/>
    <m/>
    <m/>
    <n v="0"/>
    <s v="No"/>
    <s v="Prime Deal"/>
    <n v="1114.21"/>
    <n v="1.1053999999999999"/>
    <n v="452"/>
    <s v="In Stock"/>
  </r>
  <r>
    <s v="AMZ26-00427"/>
    <d v="2026-12-08T00:00:00"/>
    <x v="11"/>
    <s v="Q4"/>
    <n v="2026"/>
    <s v="CUST-1297"/>
    <s v="Nandini Singh"/>
    <s v="Consumer"/>
    <s v="India"/>
    <s v="Maharashtra"/>
    <s v="Mumbai"/>
    <x v="3"/>
    <s v="Amazon Website"/>
    <s v="Android"/>
    <x v="4"/>
    <s v="Cookware"/>
    <s v="Nonstick Pan"/>
    <s v="Prestige"/>
    <s v="HOM-COO-29139"/>
    <s v="FBM"/>
    <x v="4"/>
    <x v="0"/>
    <n v="5"/>
    <n v="993.95"/>
    <n v="0"/>
    <n v="0"/>
    <n v="4969.75"/>
    <n v="4969.75"/>
    <n v="231.94"/>
    <n v="2967.07"/>
    <n v="1770.74"/>
    <n v="0.35630000000000001"/>
    <n v="1"/>
    <s v="On Time"/>
    <s v="No"/>
    <m/>
    <n v="3"/>
    <n v="1"/>
    <s v="No"/>
    <s v="Lightning Deal"/>
    <n v="4749.9799999999996"/>
    <n v="1.0463"/>
    <n v="346"/>
    <s v="In Stock"/>
  </r>
  <r>
    <s v="AMZ26-00428"/>
    <d v="2026-12-13T00:00:00"/>
    <x v="11"/>
    <s v="Q4"/>
    <n v="2026"/>
    <s v="CUST-2076"/>
    <s v="Priya Das"/>
    <s v="Consumer"/>
    <s v="India"/>
    <s v="Punjab"/>
    <s v="Ludhiana"/>
    <x v="0"/>
    <s v="Amazon App"/>
    <s v="iOS"/>
    <x v="4"/>
    <s v="Cookware"/>
    <s v="Nonstick Pan"/>
    <s v="Prestige"/>
    <s v="HOM-COO-67806"/>
    <s v="FBM"/>
    <x v="3"/>
    <x v="0"/>
    <n v="4"/>
    <n v="4270.43"/>
    <n v="0.05"/>
    <n v="854.09"/>
    <n v="17081.72"/>
    <n v="16227.63"/>
    <n v="7.13"/>
    <n v="8999.09"/>
    <n v="7221.41"/>
    <n v="0.44500000000000001"/>
    <n v="6"/>
    <s v="Delayed"/>
    <s v="Yes"/>
    <s v="Wrong Item"/>
    <n v="5"/>
    <n v="1"/>
    <s v="Yes"/>
    <s v="Amazon Coupon"/>
    <n v="18127.61"/>
    <n v="0.8952"/>
    <n v="464"/>
    <s v="In Stock"/>
  </r>
  <r>
    <s v="AMZ26-00429"/>
    <d v="2026-11-13T00:00:00"/>
    <x v="6"/>
    <s v="Q4"/>
    <n v="2026"/>
    <s v="CUST-1178"/>
    <s v="Sai Iyer"/>
    <s v="Corporate"/>
    <s v="India"/>
    <s v="Haryana"/>
    <s v="Gurugram"/>
    <x v="0"/>
    <s v="Amazon App"/>
    <s v="Tablet"/>
    <x v="1"/>
    <s v="Accessories"/>
    <s v="Bluetooth Speaker"/>
    <s v="boAt"/>
    <s v="ELE-ACC-70260"/>
    <s v="FBA"/>
    <x v="4"/>
    <x v="2"/>
    <n v="1"/>
    <n v="1618.23"/>
    <n v="0.3"/>
    <n v="485.47"/>
    <n v="1618.23"/>
    <n v="1132.76"/>
    <n v="176.56"/>
    <n v="592.11"/>
    <n v="364.09"/>
    <n v="0.32140000000000002"/>
    <n v="3"/>
    <s v="In Transit"/>
    <s v="No"/>
    <m/>
    <m/>
    <n v="0"/>
    <s v="No"/>
    <s v="Festival Sale"/>
    <n v="1263.03"/>
    <n v="0.89690000000000003"/>
    <n v="181"/>
    <s v="In Stock"/>
  </r>
  <r>
    <s v="AMZ26-00430"/>
    <d v="2026-05-12T00:00:00"/>
    <x v="2"/>
    <s v="Q2"/>
    <n v="2026"/>
    <s v="CUST-4000"/>
    <s v="Priya Rao"/>
    <s v="Consumer"/>
    <s v="India"/>
    <s v="Maharashtra"/>
    <s v="Mumbai"/>
    <x v="3"/>
    <s v="Amazon App"/>
    <s v="Android"/>
    <x v="0"/>
    <s v="Footwear"/>
    <s v="Casual Sneakers"/>
    <s v="Puma"/>
    <s v="FAS-FOO-58671"/>
    <s v="FBA"/>
    <x v="2"/>
    <x v="2"/>
    <n v="2"/>
    <n v="1449.92"/>
    <n v="0.25"/>
    <n v="724.96"/>
    <n v="2899.84"/>
    <n v="2174.88"/>
    <n v="162.56"/>
    <n v="1187.2"/>
    <n v="825.12"/>
    <n v="0.37940000000000002"/>
    <n v="6"/>
    <s v="In Transit"/>
    <s v="No"/>
    <m/>
    <m/>
    <n v="0"/>
    <s v="No"/>
    <s v="Lightning Deal"/>
    <n v="2616.21"/>
    <n v="0.83130000000000004"/>
    <n v="477"/>
    <s v="In Stock"/>
  </r>
  <r>
    <s v="AMZ26-00431"/>
    <d v="2026-03-26T00:00:00"/>
    <x v="0"/>
    <s v="Q1"/>
    <n v="2026"/>
    <s v="CUST-3482"/>
    <s v="Vivek Singh"/>
    <s v="Corporate"/>
    <s v="India"/>
    <s v="West Bengal"/>
    <s v="Kolkata"/>
    <x v="2"/>
    <s v="Amazon App"/>
    <s v="Tablet"/>
    <x v="4"/>
    <s v="Cookware"/>
    <s v="Nonstick Pan"/>
    <s v="Prestige"/>
    <s v="HOM-COO-96180"/>
    <s v="FBM"/>
    <x v="1"/>
    <x v="0"/>
    <n v="4"/>
    <n v="1216.81"/>
    <n v="0.15"/>
    <n v="730.09"/>
    <n v="4867.24"/>
    <n v="4137.1499999999996"/>
    <n v="34.22"/>
    <n v="2934.15"/>
    <n v="1168.78"/>
    <n v="0.28249999999999997"/>
    <n v="4"/>
    <s v="On Time"/>
    <s v="No"/>
    <m/>
    <n v="4"/>
    <n v="3"/>
    <s v="Yes"/>
    <s v="Bank Offer"/>
    <n v="3588.97"/>
    <n v="1.1527000000000001"/>
    <n v="401"/>
    <s v="In Stock"/>
  </r>
  <r>
    <s v="AMZ26-00432"/>
    <d v="2026-05-31T00:00:00"/>
    <x v="2"/>
    <s v="Q2"/>
    <n v="2026"/>
    <s v="CUST-2146"/>
    <s v="Rohan Reddy"/>
    <s v="Corporate"/>
    <s v="India"/>
    <s v="Punjab"/>
    <s v="Ludhiana"/>
    <x v="0"/>
    <s v="Amazon Website"/>
    <s v="Desktop"/>
    <x v="4"/>
    <s v="Cookware"/>
    <s v="Pressure Cooker"/>
    <s v="Hawkins"/>
    <s v="HOM-COO-99797"/>
    <s v="FBM"/>
    <x v="2"/>
    <x v="1"/>
    <n v="4"/>
    <n v="894.57"/>
    <n v="0.3"/>
    <n v="1073.48"/>
    <n v="3578.28"/>
    <n v="2504.8000000000002"/>
    <n v="144.87"/>
    <n v="1496.06"/>
    <n v="863.87"/>
    <n v="0.34489999999999998"/>
    <n v="0"/>
    <s v="Not Applicable"/>
    <s v="No"/>
    <m/>
    <m/>
    <n v="0"/>
    <s v="Yes"/>
    <s v="Prime Deal"/>
    <n v="2647.53"/>
    <n v="0.94610000000000005"/>
    <n v="360"/>
    <s v="In Stock"/>
  </r>
  <r>
    <s v="AMZ26-00433"/>
    <d v="2026-02-04T00:00:00"/>
    <x v="7"/>
    <s v="Q1"/>
    <n v="2026"/>
    <s v="CUST-2894"/>
    <s v="Nandini Rao"/>
    <s v="Corporate"/>
    <s v="India"/>
    <s v="Punjab"/>
    <s v="Ludhiana"/>
    <x v="0"/>
    <s v="Amazon App"/>
    <s v="iOS"/>
    <x v="0"/>
    <s v="Women Clothing"/>
    <s v="Casual Top"/>
    <s v="ONLY"/>
    <s v="FAS-WOM-43314"/>
    <s v="FBA"/>
    <x v="4"/>
    <x v="0"/>
    <n v="2"/>
    <n v="1017.56"/>
    <n v="0"/>
    <n v="0"/>
    <n v="2035.12"/>
    <n v="2035.12"/>
    <n v="156.82"/>
    <n v="1184.1300000000001"/>
    <n v="694.17"/>
    <n v="0.34110000000000001"/>
    <n v="8"/>
    <s v="Delayed"/>
    <s v="No"/>
    <m/>
    <n v="4"/>
    <n v="1"/>
    <s v="Yes"/>
    <s v="Prime Deal"/>
    <n v="2016.82"/>
    <n v="1.0091000000000001"/>
    <n v="170"/>
    <s v="In Stock"/>
  </r>
  <r>
    <s v="AMZ26-00434"/>
    <d v="2026-08-09T00:00:00"/>
    <x v="4"/>
    <s v="Q3"/>
    <n v="2026"/>
    <s v="CUST-2314"/>
    <s v="Rohan Jain"/>
    <s v="Small Business"/>
    <s v="India"/>
    <s v="Kerala"/>
    <s v="Kochi"/>
    <x v="1"/>
    <s v="Amazon Website"/>
    <s v="Tablet"/>
    <x v="0"/>
    <s v="Women Clothing"/>
    <s v="Denim Jeans"/>
    <s v="Levi's"/>
    <s v="FAS-WOM-54321"/>
    <s v="FBM"/>
    <x v="2"/>
    <x v="0"/>
    <n v="5"/>
    <n v="1306.33"/>
    <n v="0.3"/>
    <n v="1959.49"/>
    <n v="6531.65"/>
    <n v="4572.16"/>
    <n v="180.82"/>
    <n v="2296"/>
    <n v="2095.34"/>
    <n v="0.45829999999999999"/>
    <n v="6"/>
    <s v="Delayed"/>
    <s v="No"/>
    <m/>
    <n v="4"/>
    <n v="2"/>
    <s v="No"/>
    <s v="Lightning Deal"/>
    <n v="5397.9"/>
    <n v="0.84699999999999998"/>
    <n v="429"/>
    <s v="In Stock"/>
  </r>
  <r>
    <s v="AMZ26-00435"/>
    <d v="2026-09-13T00:00:00"/>
    <x v="1"/>
    <s v="Q3"/>
    <n v="2026"/>
    <s v="CUST-2026"/>
    <s v="Vivek Gupta"/>
    <s v="Consumer"/>
    <s v="India"/>
    <s v="West Bengal"/>
    <s v="Kolkata"/>
    <x v="2"/>
    <s v="Amazon Website"/>
    <s v="Android"/>
    <x v="3"/>
    <s v="Snacks"/>
    <s v="Cookies"/>
    <s v="Britannia"/>
    <s v="GRO-SNA-22147"/>
    <s v="FBM"/>
    <x v="0"/>
    <x v="2"/>
    <n v="1"/>
    <n v="150.72999999999999"/>
    <n v="0.25"/>
    <n v="37.68"/>
    <n v="150.72999999999999"/>
    <n v="113.05"/>
    <n v="17.09"/>
    <n v="66.86"/>
    <n v="29.1"/>
    <n v="0.25740000000000002"/>
    <n v="4"/>
    <s v="In Transit"/>
    <s v="No"/>
    <m/>
    <m/>
    <n v="0"/>
    <s v="Yes"/>
    <s v="Prime Deal"/>
    <n v="130.25"/>
    <n v="0.8679"/>
    <n v="26"/>
    <s v="Low Stock"/>
  </r>
  <r>
    <s v="AMZ26-00436"/>
    <d v="2026-12-06T00:00:00"/>
    <x v="11"/>
    <s v="Q4"/>
    <n v="2026"/>
    <s v="CUST-2921"/>
    <s v="Pooja Joshi"/>
    <s v="Corporate"/>
    <s v="India"/>
    <s v="Maharashtra"/>
    <s v="Mumbai"/>
    <x v="3"/>
    <s v="Amazon Website"/>
    <s v="Tablet"/>
    <x v="1"/>
    <s v="Mobiles"/>
    <s v="Moto G"/>
    <s v="Motorola"/>
    <s v="ELE-MOB-99247"/>
    <s v="FBM"/>
    <x v="0"/>
    <x v="0"/>
    <n v="1"/>
    <n v="33000.9"/>
    <n v="0.05"/>
    <n v="1650.05"/>
    <n v="33000.9"/>
    <n v="31350.85"/>
    <n v="65.680000000000007"/>
    <n v="21135.03"/>
    <n v="10150.14"/>
    <n v="0.32379999999999998"/>
    <n v="5"/>
    <s v="Delayed"/>
    <s v="No"/>
    <m/>
    <n v="4"/>
    <n v="0"/>
    <s v="Yes"/>
    <s v="Bank Offer"/>
    <n v="34169.79"/>
    <n v="0.91749999999999998"/>
    <n v="127"/>
    <s v="In Stock"/>
  </r>
  <r>
    <s v="AMZ26-00437"/>
    <d v="2026-11-26T00:00:00"/>
    <x v="6"/>
    <s v="Q4"/>
    <n v="2026"/>
    <s v="CUST-3947"/>
    <s v="Aditi Iyer"/>
    <s v="Small Business"/>
    <s v="India"/>
    <s v="Delhi"/>
    <s v="New Delhi"/>
    <x v="0"/>
    <s v="Amazon Website"/>
    <s v="Android"/>
    <x v="4"/>
    <s v="Kitchen Appliances"/>
    <s v="Electric Kettle"/>
    <s v="Pigeon"/>
    <s v="HOM-KIT-22695"/>
    <s v="FBA"/>
    <x v="4"/>
    <x v="0"/>
    <n v="5"/>
    <n v="6151.98"/>
    <n v="0.15"/>
    <n v="4613.9799999999996"/>
    <n v="30759.9"/>
    <n v="26145.919999999998"/>
    <n v="198.75"/>
    <n v="13791.46"/>
    <n v="12155.71"/>
    <n v="0.46489999999999998"/>
    <n v="6"/>
    <s v="Delayed"/>
    <s v="No"/>
    <m/>
    <n v="4"/>
    <n v="4"/>
    <s v="No"/>
    <s v="Prime Deal"/>
    <n v="31576.74"/>
    <n v="0.82799999999999996"/>
    <n v="118"/>
    <s v="In Stock"/>
  </r>
  <r>
    <s v="AMZ26-00438"/>
    <d v="2026-01-04T00:00:00"/>
    <x v="10"/>
    <s v="Q1"/>
    <n v="2026"/>
    <s v="CUST-3098"/>
    <s v="Aditi Shetty"/>
    <s v="Consumer"/>
    <s v="India"/>
    <s v="Delhi"/>
    <s v="New Delhi"/>
    <x v="0"/>
    <s v="Amazon App"/>
    <s v="Android"/>
    <x v="3"/>
    <s v="Beverages"/>
    <s v="Coffee"/>
    <s v="Nescafe"/>
    <s v="GRO-BEV-21037"/>
    <s v="FBM"/>
    <x v="5"/>
    <x v="2"/>
    <n v="2"/>
    <n v="84.82"/>
    <n v="0.3"/>
    <n v="50.89"/>
    <n v="169.64"/>
    <n v="118.75"/>
    <n v="150.05000000000001"/>
    <n v="79.680000000000007"/>
    <n v="-110.98"/>
    <n v="-0.93459999999999999"/>
    <n v="4"/>
    <s v="In Transit"/>
    <s v="No"/>
    <m/>
    <m/>
    <n v="0"/>
    <s v="Yes"/>
    <s v="Festival Sale"/>
    <n v="115.09"/>
    <n v="1.0318000000000001"/>
    <n v="483"/>
    <s v="In Stock"/>
  </r>
  <r>
    <s v="AMZ26-00439"/>
    <d v="2026-03-20T00:00:00"/>
    <x v="0"/>
    <s v="Q1"/>
    <n v="2026"/>
    <s v="CUST-1784"/>
    <s v="Nandini Rao"/>
    <s v="Corporate"/>
    <s v="India"/>
    <s v="Karnataka"/>
    <s v="Mysuru"/>
    <x v="1"/>
    <s v="Amazon Website"/>
    <s v="Desktop"/>
    <x v="1"/>
    <s v="Laptops"/>
    <s v="Vivobook"/>
    <s v="ASUS"/>
    <s v="ELE-LAP-67231"/>
    <s v="FBM"/>
    <x v="4"/>
    <x v="0"/>
    <n v="1"/>
    <n v="12339.6"/>
    <n v="0.1"/>
    <n v="1233.96"/>
    <n v="12339.6"/>
    <n v="11105.64"/>
    <n v="162.31"/>
    <n v="6515"/>
    <n v="4428.33"/>
    <n v="0.3987"/>
    <n v="7"/>
    <s v="Delayed"/>
    <s v="Yes"/>
    <s v="Changed Mind"/>
    <n v="4"/>
    <n v="0"/>
    <s v="Yes"/>
    <s v="Amazon Coupon"/>
    <n v="10557.18"/>
    <n v="1.052"/>
    <n v="107"/>
    <s v="In Stock"/>
  </r>
  <r>
    <s v="AMZ26-00440"/>
    <d v="2026-08-03T00:00:00"/>
    <x v="4"/>
    <s v="Q3"/>
    <n v="2026"/>
    <s v="CUST-1551"/>
    <s v="Rahul Rao"/>
    <s v="Small Business"/>
    <s v="India"/>
    <s v="Gujarat"/>
    <s v="Ahmedabad"/>
    <x v="3"/>
    <s v="Amazon Website"/>
    <s v="Tablet"/>
    <x v="2"/>
    <s v="Hair Care"/>
    <s v="Hair Mask"/>
    <s v="Tresemme"/>
    <s v="BEA-HAI-89166"/>
    <s v="FBM"/>
    <x v="5"/>
    <x v="0"/>
    <n v="2"/>
    <n v="159.51"/>
    <n v="0.2"/>
    <n v="63.8"/>
    <n v="319.02"/>
    <n v="255.22"/>
    <n v="239.99"/>
    <n v="130.51"/>
    <n v="-115.28"/>
    <n v="-0.45169999999999999"/>
    <n v="7"/>
    <s v="Delayed"/>
    <s v="No"/>
    <m/>
    <n v="5"/>
    <n v="1"/>
    <s v="Yes"/>
    <s v="Bank Offer"/>
    <n v="302.23"/>
    <n v="0.84450000000000003"/>
    <n v="98"/>
    <s v="In Stock"/>
  </r>
  <r>
    <s v="AMZ26-00441"/>
    <d v="2026-03-01T00:00:00"/>
    <x v="0"/>
    <s v="Q1"/>
    <n v="2026"/>
    <s v="CUST-2066"/>
    <s v="Nikhil Singh"/>
    <s v="Small Business"/>
    <s v="India"/>
    <s v="Haryana"/>
    <s v="Gurugram"/>
    <x v="0"/>
    <s v="Amazon Website"/>
    <s v="Android"/>
    <x v="1"/>
    <s v="Laptops"/>
    <s v="IdeaPad"/>
    <s v="Lenovo"/>
    <s v="ELE-LAP-15488"/>
    <s v="FBM"/>
    <x v="2"/>
    <x v="0"/>
    <n v="2"/>
    <n v="52871.34"/>
    <n v="0.2"/>
    <n v="21148.54"/>
    <n v="105742.68"/>
    <n v="84594.14"/>
    <n v="73.86"/>
    <n v="47107.32"/>
    <n v="37412.959999999999"/>
    <n v="0.44230000000000003"/>
    <n v="5"/>
    <s v="Delayed"/>
    <s v="No"/>
    <m/>
    <n v="4"/>
    <n v="2"/>
    <s v="Yes"/>
    <s v="None"/>
    <n v="97219.8"/>
    <n v="0.87009999999999998"/>
    <n v="145"/>
    <s v="In Stock"/>
  </r>
  <r>
    <s v="AMZ26-00442"/>
    <d v="2026-12-14T00:00:00"/>
    <x v="11"/>
    <s v="Q4"/>
    <n v="2026"/>
    <s v="CUST-1523"/>
    <s v="Sai Sharma"/>
    <s v="Consumer"/>
    <s v="India"/>
    <s v="Assam"/>
    <s v="Guwahati"/>
    <x v="2"/>
    <s v="Amazon Website"/>
    <s v="Desktop"/>
    <x v="4"/>
    <s v="Cookware"/>
    <s v="Pressure Cooker"/>
    <s v="Hawkins"/>
    <s v="HOM-COO-75184"/>
    <s v="FBA"/>
    <x v="4"/>
    <x v="2"/>
    <n v="4"/>
    <n v="6350.53"/>
    <n v="0.1"/>
    <n v="2540.21"/>
    <n v="25402.12"/>
    <n v="22861.91"/>
    <n v="87.38"/>
    <n v="17230.689999999999"/>
    <n v="5543.84"/>
    <n v="0.24249999999999999"/>
    <n v="4"/>
    <s v="In Transit"/>
    <s v="No"/>
    <m/>
    <m/>
    <n v="0"/>
    <s v="Yes"/>
    <s v="Amazon Coupon"/>
    <n v="26696.6"/>
    <n v="0.85640000000000005"/>
    <n v="333"/>
    <s v="In Stock"/>
  </r>
  <r>
    <s v="AMZ26-00443"/>
    <d v="2026-07-26T00:00:00"/>
    <x v="3"/>
    <s v="Q3"/>
    <n v="2026"/>
    <s v="CUST-2602"/>
    <s v="Vivek Yadav"/>
    <s v="Corporate"/>
    <s v="India"/>
    <s v="West Bengal"/>
    <s v="Kolkata"/>
    <x v="2"/>
    <s v="Amazon Website"/>
    <s v="Tablet"/>
    <x v="0"/>
    <s v="Men Clothing"/>
    <s v="Cotton Shirt"/>
    <s v="Allen Solly"/>
    <s v="FAS-MEN-24774"/>
    <s v="FBM"/>
    <x v="0"/>
    <x v="0"/>
    <n v="2"/>
    <n v="1550.93"/>
    <n v="0"/>
    <n v="0"/>
    <n v="3101.86"/>
    <n v="3101.86"/>
    <n v="217.72"/>
    <n v="1545.28"/>
    <n v="1338.86"/>
    <n v="0.43159999999999998"/>
    <n v="6"/>
    <s v="Delayed"/>
    <s v="No"/>
    <m/>
    <n v="5"/>
    <n v="2"/>
    <s v="No"/>
    <s v="Lightning Deal"/>
    <n v="3034.69"/>
    <n v="1.0221"/>
    <n v="446"/>
    <s v="In Stock"/>
  </r>
  <r>
    <s v="AMZ26-00444"/>
    <d v="2026-09-03T00:00:00"/>
    <x v="1"/>
    <s v="Q3"/>
    <n v="2026"/>
    <s v="CUST-3284"/>
    <s v="Rahul Iyer"/>
    <s v="Small Business"/>
    <s v="India"/>
    <s v="Odisha"/>
    <s v="Bhubaneswar"/>
    <x v="2"/>
    <s v="Amazon App"/>
    <s v="Tablet"/>
    <x v="3"/>
    <s v="Snacks"/>
    <s v="Cookies"/>
    <s v="Britannia"/>
    <s v="GRO-SNA-40212"/>
    <s v="FBA"/>
    <x v="0"/>
    <x v="1"/>
    <n v="3"/>
    <n v="911.72"/>
    <n v="0.05"/>
    <n v="136.76"/>
    <n v="2735.16"/>
    <n v="2598.4"/>
    <n v="210.31"/>
    <n v="1842.57"/>
    <n v="545.52"/>
    <n v="0.2099"/>
    <n v="0"/>
    <s v="Not Applicable"/>
    <s v="No"/>
    <m/>
    <m/>
    <n v="0"/>
    <s v="Yes"/>
    <s v="Lightning Deal"/>
    <n v="2961.83"/>
    <n v="0.87729999999999997"/>
    <n v="0"/>
    <s v="Out of Stock"/>
  </r>
  <r>
    <s v="AMZ26-00445"/>
    <d v="2026-11-21T00:00:00"/>
    <x v="6"/>
    <s v="Q4"/>
    <n v="2026"/>
    <s v="CUST-1070"/>
    <s v="Nikhil Reddy"/>
    <s v="Corporate"/>
    <s v="India"/>
    <s v="Delhi"/>
    <s v="New Delhi"/>
    <x v="0"/>
    <s v="Amazon App"/>
    <s v="iOS"/>
    <x v="4"/>
    <s v="Cookware"/>
    <s v="Cookware Set"/>
    <s v="Pigeon"/>
    <s v="HOM-COO-85122"/>
    <s v="FBM"/>
    <x v="1"/>
    <x v="0"/>
    <n v="3"/>
    <n v="5811.33"/>
    <n v="0.05"/>
    <n v="871.7"/>
    <n v="17433.990000000002"/>
    <n v="16562.29"/>
    <n v="186.36"/>
    <n v="11599.97"/>
    <n v="4775.96"/>
    <n v="0.28839999999999999"/>
    <n v="2"/>
    <s v="On Time"/>
    <s v="No"/>
    <m/>
    <n v="5"/>
    <n v="2"/>
    <s v="No"/>
    <s v="Festival Sale"/>
    <n v="19301.45"/>
    <n v="0.85809999999999997"/>
    <n v="408"/>
    <s v="In Stock"/>
  </r>
  <r>
    <s v="AMZ26-00446"/>
    <d v="2026-05-04T00:00:00"/>
    <x v="2"/>
    <s v="Q2"/>
    <n v="2026"/>
    <s v="CUST-2429"/>
    <s v="Sneha Reddy"/>
    <s v="Small Business"/>
    <s v="India"/>
    <s v="Maharashtra"/>
    <s v="Mumbai"/>
    <x v="3"/>
    <s v="Amazon App"/>
    <s v="Desktop"/>
    <x v="2"/>
    <s v="Skin Care"/>
    <s v="Sunscreen"/>
    <s v="Neutrogena"/>
    <s v="BEA-SKI-23440"/>
    <s v="FBM"/>
    <x v="2"/>
    <x v="0"/>
    <n v="5"/>
    <n v="2162.65"/>
    <n v="0.15"/>
    <n v="1621.99"/>
    <n v="10813.25"/>
    <n v="9191.26"/>
    <n v="53.51"/>
    <n v="5029.96"/>
    <n v="4107.79"/>
    <n v="0.44690000000000002"/>
    <n v="6"/>
    <s v="Delayed"/>
    <s v="No"/>
    <m/>
    <n v="3"/>
    <n v="1"/>
    <s v="No"/>
    <s v="Prime Deal"/>
    <n v="8941.24"/>
    <n v="1.028"/>
    <n v="309"/>
    <s v="In Stock"/>
  </r>
  <r>
    <s v="AMZ26-00447"/>
    <d v="2026-12-24T00:00:00"/>
    <x v="11"/>
    <s v="Q4"/>
    <n v="2026"/>
    <s v="CUST-2995"/>
    <s v="Priya Singh"/>
    <s v="Small Business"/>
    <s v="India"/>
    <s v="Maharashtra"/>
    <s v="Mumbai"/>
    <x v="3"/>
    <s v="Amazon App"/>
    <s v="iOS"/>
    <x v="0"/>
    <s v="Women Clothing"/>
    <s v="Denim Jeans"/>
    <s v="Levi's"/>
    <s v="FAS-WOM-21500"/>
    <s v="FBA"/>
    <x v="5"/>
    <x v="0"/>
    <n v="5"/>
    <n v="2670.85"/>
    <n v="0.2"/>
    <n v="2670.85"/>
    <n v="13354.25"/>
    <n v="10683.4"/>
    <n v="29.96"/>
    <n v="5256.93"/>
    <n v="5396.51"/>
    <n v="0.50509999999999999"/>
    <n v="8"/>
    <s v="Delayed"/>
    <s v="No"/>
    <m/>
    <n v="5"/>
    <n v="1"/>
    <s v="Yes"/>
    <s v="Lightning Deal"/>
    <n v="9397.77"/>
    <n v="1.1368"/>
    <n v="159"/>
    <s v="In Stock"/>
  </r>
  <r>
    <s v="AMZ26-00448"/>
    <d v="2026-03-10T00:00:00"/>
    <x v="0"/>
    <s v="Q1"/>
    <n v="2026"/>
    <s v="CUST-4531"/>
    <s v="Sai Kumar"/>
    <s v="Corporate"/>
    <s v="India"/>
    <s v="Odisha"/>
    <s v="Bhubaneswar"/>
    <x v="2"/>
    <s v="Amazon Website"/>
    <s v="Desktop"/>
    <x v="4"/>
    <s v="Home Decor"/>
    <s v="LED Lamp"/>
    <s v="Wipro"/>
    <s v="HOM-HOM-87742"/>
    <s v="FBM"/>
    <x v="0"/>
    <x v="1"/>
    <n v="2"/>
    <n v="2954.62"/>
    <n v="0.15"/>
    <n v="886.39"/>
    <n v="5909.24"/>
    <n v="5022.8500000000004"/>
    <n v="76.31"/>
    <n v="3049.59"/>
    <n v="1896.95"/>
    <n v="0.37769999999999998"/>
    <n v="0"/>
    <s v="Not Applicable"/>
    <s v="No"/>
    <m/>
    <m/>
    <n v="0"/>
    <s v="Yes"/>
    <s v="Amazon Coupon"/>
    <n v="5645.14"/>
    <n v="0.88980000000000004"/>
    <n v="326"/>
    <s v="In Stock"/>
  </r>
  <r>
    <s v="AMZ26-00449"/>
    <d v="2026-11-20T00:00:00"/>
    <x v="6"/>
    <s v="Q4"/>
    <n v="2026"/>
    <s v="CUST-3893"/>
    <s v="Isha Joshi"/>
    <s v="Corporate"/>
    <s v="India"/>
    <s v="Bihar"/>
    <s v="Patna"/>
    <x v="2"/>
    <s v="Amazon Website"/>
    <s v="Tablet"/>
    <x v="3"/>
    <s v="Snacks"/>
    <s v="Potato Chips"/>
    <s v="Lay's"/>
    <s v="GRO-SNA-56032"/>
    <s v="FBM"/>
    <x v="2"/>
    <x v="1"/>
    <n v="3"/>
    <n v="617.54"/>
    <n v="0.25"/>
    <n v="463.15"/>
    <n v="1852.62"/>
    <n v="1389.47"/>
    <n v="77.36"/>
    <n v="943.58"/>
    <n v="368.53"/>
    <n v="0.26519999999999999"/>
    <n v="0"/>
    <s v="Not Applicable"/>
    <s v="No"/>
    <m/>
    <m/>
    <n v="0"/>
    <s v="Yes"/>
    <s v="Amazon Coupon"/>
    <n v="1728.72"/>
    <n v="0.80379999999999996"/>
    <n v="226"/>
    <s v="In Stock"/>
  </r>
  <r>
    <s v="AMZ26-00450"/>
    <d v="2026-02-17T00:00:00"/>
    <x v="7"/>
    <s v="Q1"/>
    <n v="2026"/>
    <s v="CUST-3270"/>
    <s v="Arjun Das"/>
    <s v="Small Business"/>
    <s v="India"/>
    <s v="Tamil Nadu"/>
    <s v="Chennai"/>
    <x v="1"/>
    <s v="Amazon App"/>
    <s v="iOS"/>
    <x v="4"/>
    <s v="Kitchen Appliances"/>
    <s v="Air Fryer"/>
    <s v="Philips"/>
    <s v="HOM-KIT-51702"/>
    <s v="FBA"/>
    <x v="5"/>
    <x v="1"/>
    <n v="5"/>
    <n v="692.94"/>
    <n v="0"/>
    <n v="0"/>
    <n v="3464.7"/>
    <n v="3464.7"/>
    <n v="174.97"/>
    <n v="2301.44"/>
    <n v="988.29"/>
    <n v="0.28520000000000001"/>
    <n v="0"/>
    <s v="Not Applicable"/>
    <s v="No"/>
    <m/>
    <m/>
    <n v="0"/>
    <s v="Yes"/>
    <s v="Bank Offer"/>
    <n v="3903.29"/>
    <n v="0.88759999999999994"/>
    <n v="134"/>
    <s v="In Stock"/>
  </r>
  <r>
    <s v="AMZ26-00451"/>
    <d v="2026-07-27T00:00:00"/>
    <x v="3"/>
    <s v="Q3"/>
    <n v="2026"/>
    <s v="CUST-3430"/>
    <s v="Rahul Nair"/>
    <s v="Consumer"/>
    <s v="India"/>
    <s v="Karnataka"/>
    <s v="Mysuru"/>
    <x v="1"/>
    <s v="Amazon App"/>
    <s v="Android"/>
    <x v="2"/>
    <s v="Skin Care"/>
    <s v="Moisturizer"/>
    <s v="Cetaphil"/>
    <s v="BEA-SKI-93329"/>
    <s v="FBM"/>
    <x v="1"/>
    <x v="0"/>
    <n v="4"/>
    <n v="374.66"/>
    <n v="0.2"/>
    <n v="299.73"/>
    <n v="1498.64"/>
    <n v="1198.9100000000001"/>
    <n v="145.68"/>
    <n v="709.58"/>
    <n v="343.65"/>
    <n v="0.28660000000000002"/>
    <n v="4"/>
    <s v="On Time"/>
    <s v="No"/>
    <m/>
    <n v="4"/>
    <n v="4"/>
    <s v="Yes"/>
    <s v="Amazon Coupon"/>
    <n v="1211.79"/>
    <n v="0.98939999999999995"/>
    <n v="249"/>
    <s v="In Stock"/>
  </r>
  <r>
    <s v="AMZ26-00452"/>
    <d v="2026-02-24T00:00:00"/>
    <x v="7"/>
    <s v="Q1"/>
    <n v="2026"/>
    <s v="CUST-2603"/>
    <s v="Aarav Joshi"/>
    <s v="Corporate"/>
    <s v="India"/>
    <s v="Haryana"/>
    <s v="Gurugram"/>
    <x v="0"/>
    <s v="Amazon App"/>
    <s v="iOS"/>
    <x v="0"/>
    <s v="Women Clothing"/>
    <s v="Printed Kurti"/>
    <s v="BIBA"/>
    <s v="FAS-WOM-72100"/>
    <s v="FBM"/>
    <x v="5"/>
    <x v="0"/>
    <n v="1"/>
    <n v="2546.71"/>
    <n v="0"/>
    <n v="0"/>
    <n v="2546.71"/>
    <n v="2546.71"/>
    <n v="111.91"/>
    <n v="1610.86"/>
    <n v="823.94"/>
    <n v="0.32350000000000001"/>
    <n v="7"/>
    <s v="Delayed"/>
    <s v="No"/>
    <m/>
    <n v="4"/>
    <n v="2"/>
    <s v="Yes"/>
    <s v="Bank Offer"/>
    <n v="2640.04"/>
    <n v="0.96460000000000001"/>
    <n v="253"/>
    <s v="In Stock"/>
  </r>
  <r>
    <s v="AMZ26-00453"/>
    <d v="2026-10-27T00:00:00"/>
    <x v="8"/>
    <s v="Q4"/>
    <n v="2026"/>
    <s v="CUST-3550"/>
    <s v="Aditya Rao"/>
    <s v="Consumer"/>
    <s v="India"/>
    <s v="Bihar"/>
    <s v="Patna"/>
    <x v="2"/>
    <s v="Amazon App"/>
    <s v="Desktop"/>
    <x v="1"/>
    <s v="Mobiles"/>
    <s v="Moto G"/>
    <s v="Motorola"/>
    <s v="ELE-MOB-63266"/>
    <s v="FBM"/>
    <x v="4"/>
    <x v="0"/>
    <n v="5"/>
    <n v="2443.5700000000002"/>
    <n v="0"/>
    <n v="0"/>
    <n v="12217.85"/>
    <n v="12217.85"/>
    <n v="95.38"/>
    <n v="7279.83"/>
    <n v="4842.6400000000003"/>
    <n v="0.39639999999999997"/>
    <n v="3"/>
    <s v="On Time"/>
    <s v="No"/>
    <m/>
    <n v="5"/>
    <n v="2"/>
    <s v="Yes"/>
    <s v="Bank Offer"/>
    <n v="13039.7"/>
    <n v="0.93700000000000006"/>
    <n v="70"/>
    <s v="In Stock"/>
  </r>
  <r>
    <s v="AMZ26-00454"/>
    <d v="2026-09-04T00:00:00"/>
    <x v="1"/>
    <s v="Q3"/>
    <n v="2026"/>
    <s v="CUST-3315"/>
    <s v="Vihaan Shetty"/>
    <s v="Corporate"/>
    <s v="India"/>
    <s v="Gujarat"/>
    <s v="Ahmedabad"/>
    <x v="3"/>
    <s v="Amazon App"/>
    <s v="iOS"/>
    <x v="1"/>
    <s v="Accessories"/>
    <s v="USB-C Hub"/>
    <s v="Portronics"/>
    <s v="ELE-ACC-70920"/>
    <s v="FBM"/>
    <x v="3"/>
    <x v="0"/>
    <n v="5"/>
    <n v="4733.3999999999996"/>
    <n v="0.1"/>
    <n v="2366.6999999999998"/>
    <n v="23667"/>
    <n v="21300.3"/>
    <n v="143.08000000000001"/>
    <n v="11620.42"/>
    <n v="9536.7999999999993"/>
    <n v="0.44769999999999999"/>
    <n v="6"/>
    <s v="Delayed"/>
    <s v="No"/>
    <m/>
    <n v="4"/>
    <n v="3"/>
    <s v="Yes"/>
    <s v="None"/>
    <n v="25721.13"/>
    <n v="0.82809999999999995"/>
    <n v="240"/>
    <s v="In Stock"/>
  </r>
  <r>
    <s v="AMZ26-00455"/>
    <d v="2026-05-13T00:00:00"/>
    <x v="2"/>
    <s v="Q2"/>
    <n v="2026"/>
    <s v="CUST-4151"/>
    <s v="Ananya Gupta"/>
    <s v="Consumer"/>
    <s v="India"/>
    <s v="West Bengal"/>
    <s v="Kolkata"/>
    <x v="2"/>
    <s v="Amazon Website"/>
    <s v="Desktop"/>
    <x v="0"/>
    <s v="Women Clothing"/>
    <s v="Printed Kurti"/>
    <s v="BIBA"/>
    <s v="FAS-WOM-34020"/>
    <s v="FBA"/>
    <x v="4"/>
    <x v="2"/>
    <n v="3"/>
    <n v="673.41"/>
    <n v="0.3"/>
    <n v="606.07000000000005"/>
    <n v="2020.23"/>
    <n v="1414.16"/>
    <n v="122.44"/>
    <n v="802.15"/>
    <n v="489.57"/>
    <n v="0.34620000000000001"/>
    <n v="8"/>
    <s v="In Transit"/>
    <s v="No"/>
    <m/>
    <m/>
    <n v="0"/>
    <s v="Yes"/>
    <s v="Bank Offer"/>
    <n v="1269.77"/>
    <n v="1.1136999999999999"/>
    <n v="339"/>
    <s v="In Stock"/>
  </r>
  <r>
    <s v="AMZ26-00456"/>
    <d v="2026-02-23T00:00:00"/>
    <x v="7"/>
    <s v="Q1"/>
    <n v="2026"/>
    <s v="CUST-3369"/>
    <s v="Arjun Kumar"/>
    <s v="Consumer"/>
    <s v="India"/>
    <s v="West Bengal"/>
    <s v="Kolkata"/>
    <x v="2"/>
    <s v="Amazon App"/>
    <s v="iOS"/>
    <x v="3"/>
    <s v="Beverages"/>
    <s v="Green Tea"/>
    <s v="Tata Tea"/>
    <s v="GRO-BEV-19236"/>
    <s v="FBM"/>
    <x v="3"/>
    <x v="0"/>
    <n v="3"/>
    <n v="204.15"/>
    <n v="0.3"/>
    <n v="183.74"/>
    <n v="612.45000000000005"/>
    <n v="428.71"/>
    <n v="10.67"/>
    <n v="246.51"/>
    <n v="171.53"/>
    <n v="0.40010000000000001"/>
    <n v="6"/>
    <s v="Delayed"/>
    <s v="No"/>
    <m/>
    <n v="5"/>
    <n v="1"/>
    <s v="No"/>
    <s v="Festival Sale"/>
    <n v="531.26"/>
    <n v="0.80700000000000005"/>
    <n v="383"/>
    <s v="In Stock"/>
  </r>
  <r>
    <s v="AMZ26-00457"/>
    <d v="2026-02-09T00:00:00"/>
    <x v="7"/>
    <s v="Q1"/>
    <n v="2026"/>
    <s v="CUST-3022"/>
    <s v="Aarav Joshi"/>
    <s v="Consumer"/>
    <s v="India"/>
    <s v="Odisha"/>
    <s v="Bhubaneswar"/>
    <x v="2"/>
    <s v="Amazon App"/>
    <s v="Tablet"/>
    <x v="3"/>
    <s v="Beverages"/>
    <s v="Coffee"/>
    <s v="Nescafe"/>
    <s v="GRO-BEV-31681"/>
    <s v="FBM"/>
    <x v="4"/>
    <x v="1"/>
    <n v="4"/>
    <n v="641.15"/>
    <n v="0"/>
    <n v="0"/>
    <n v="2564.6"/>
    <n v="2564.6"/>
    <n v="123.25"/>
    <n v="1597.61"/>
    <n v="843.74"/>
    <n v="0.32900000000000001"/>
    <n v="0"/>
    <s v="Not Applicable"/>
    <s v="No"/>
    <m/>
    <m/>
    <n v="0"/>
    <s v="Yes"/>
    <s v="Amazon Coupon"/>
    <n v="2525.61"/>
    <n v="1.0154000000000001"/>
    <n v="320"/>
    <s v="In Stock"/>
  </r>
  <r>
    <s v="AMZ26-00458"/>
    <d v="2026-03-25T00:00:00"/>
    <x v="0"/>
    <s v="Q1"/>
    <n v="2026"/>
    <s v="CUST-4041"/>
    <s v="Kavya Gupta"/>
    <s v="Corporate"/>
    <s v="India"/>
    <s v="Odisha"/>
    <s v="Bhubaneswar"/>
    <x v="2"/>
    <s v="Amazon Website"/>
    <s v="iOS"/>
    <x v="4"/>
    <s v="Home Decor"/>
    <s v="LED Lamp"/>
    <s v="Wipro"/>
    <s v="HOM-HOM-12103"/>
    <s v="FBM"/>
    <x v="4"/>
    <x v="0"/>
    <n v="3"/>
    <n v="2013.7"/>
    <n v="0"/>
    <n v="0"/>
    <n v="6041.1"/>
    <n v="6041.1"/>
    <n v="31.94"/>
    <n v="3940.72"/>
    <n v="2068.44"/>
    <n v="0.34239999999999998"/>
    <n v="8"/>
    <s v="Delayed"/>
    <s v="No"/>
    <m/>
    <n v="5"/>
    <n v="2"/>
    <s v="Yes"/>
    <s v="Lightning Deal"/>
    <n v="6744.3"/>
    <n v="0.89570000000000005"/>
    <n v="362"/>
    <s v="In Stock"/>
  </r>
  <r>
    <s v="AMZ26-00459"/>
    <d v="2026-04-09T00:00:00"/>
    <x v="9"/>
    <s v="Q2"/>
    <n v="2026"/>
    <s v="CUST-4216"/>
    <s v="Vivek Kumar"/>
    <s v="Consumer"/>
    <s v="India"/>
    <s v="Bihar"/>
    <s v="Patna"/>
    <x v="2"/>
    <s v="Amazon App"/>
    <s v="Desktop"/>
    <x v="0"/>
    <s v="Men Clothing"/>
    <s v="Casual T-Shirt"/>
    <s v="Puma"/>
    <s v="FAS-MEN-25502"/>
    <s v="FBM"/>
    <x v="1"/>
    <x v="1"/>
    <n v="4"/>
    <n v="2542.7399999999998"/>
    <n v="0.15"/>
    <n v="1525.64"/>
    <n v="10170.959999999999"/>
    <n v="8645.32"/>
    <n v="151.74"/>
    <n v="4996.8100000000004"/>
    <n v="3496.77"/>
    <n v="0.40450000000000003"/>
    <n v="0"/>
    <s v="Not Applicable"/>
    <s v="No"/>
    <m/>
    <m/>
    <n v="0"/>
    <s v="No"/>
    <s v="Prime Deal"/>
    <n v="9067.9699999999993"/>
    <n v="0.95340000000000003"/>
    <n v="231"/>
    <s v="In Stock"/>
  </r>
  <r>
    <s v="AMZ26-00460"/>
    <d v="2026-01-05T00:00:00"/>
    <x v="10"/>
    <s v="Q1"/>
    <n v="2026"/>
    <s v="CUST-4618"/>
    <s v="Rahul Shetty"/>
    <s v="Small Business"/>
    <s v="India"/>
    <s v="Bihar"/>
    <s v="Patna"/>
    <x v="2"/>
    <s v="Amazon Website"/>
    <s v="iOS"/>
    <x v="3"/>
    <s v="Beverages"/>
    <s v="Fruit Juice"/>
    <s v="Real"/>
    <s v="GRO-BEV-81758"/>
    <s v="FBA"/>
    <x v="0"/>
    <x v="0"/>
    <n v="5"/>
    <n v="1336.4"/>
    <n v="0"/>
    <n v="0"/>
    <n v="6682"/>
    <n v="6682"/>
    <n v="158.63999999999999"/>
    <n v="5124.6499999999996"/>
    <n v="1398.71"/>
    <n v="0.20930000000000001"/>
    <n v="3"/>
    <s v="On Time"/>
    <s v="No"/>
    <m/>
    <n v="4"/>
    <n v="0"/>
    <s v="Yes"/>
    <s v="Prime Deal"/>
    <n v="7629.44"/>
    <n v="0.87580000000000002"/>
    <n v="75"/>
    <s v="In Stock"/>
  </r>
  <r>
    <s v="AMZ26-00461"/>
    <d v="2026-04-30T00:00:00"/>
    <x v="9"/>
    <s v="Q2"/>
    <n v="2026"/>
    <s v="CUST-2278"/>
    <s v="Aarav Iyer"/>
    <s v="Small Business"/>
    <s v="India"/>
    <s v="Telangana"/>
    <s v="Hyderabad"/>
    <x v="1"/>
    <s v="Amazon App"/>
    <s v="Desktop"/>
    <x v="1"/>
    <s v="Accessories"/>
    <s v="USB-C Hub"/>
    <s v="Portronics"/>
    <s v="ELE-ACC-27442"/>
    <s v="FBM"/>
    <x v="4"/>
    <x v="0"/>
    <n v="2"/>
    <n v="26745.93"/>
    <n v="0"/>
    <n v="0"/>
    <n v="53491.86"/>
    <n v="53491.86"/>
    <n v="4.4800000000000004"/>
    <n v="31197.82"/>
    <n v="22289.56"/>
    <n v="0.41670000000000001"/>
    <n v="6"/>
    <s v="Delayed"/>
    <s v="No"/>
    <m/>
    <n v="5"/>
    <n v="1"/>
    <s v="Yes"/>
    <s v="Festival Sale"/>
    <n v="57540.75"/>
    <n v="0.92959999999999998"/>
    <n v="191"/>
    <s v="In Stock"/>
  </r>
  <r>
    <s v="AMZ26-00462"/>
    <d v="2026-06-24T00:00:00"/>
    <x v="5"/>
    <s v="Q2"/>
    <n v="2026"/>
    <s v="CUST-3965"/>
    <s v="Vivek Reddy"/>
    <s v="Consumer"/>
    <s v="India"/>
    <s v="Telangana"/>
    <s v="Hyderabad"/>
    <x v="1"/>
    <s v="Amazon App"/>
    <s v="Desktop"/>
    <x v="2"/>
    <s v="Makeup"/>
    <s v="Kajal"/>
    <s v="Lakme"/>
    <s v="BEA-MAK-40616"/>
    <s v="FBA"/>
    <x v="4"/>
    <x v="0"/>
    <n v="4"/>
    <n v="1404.93"/>
    <n v="0.3"/>
    <n v="1685.92"/>
    <n v="5619.72"/>
    <n v="3933.8"/>
    <n v="166.96"/>
    <n v="2809.18"/>
    <n v="957.66"/>
    <n v="0.24340000000000001"/>
    <n v="7"/>
    <s v="Delayed"/>
    <s v="No"/>
    <m/>
    <n v="4"/>
    <n v="4"/>
    <s v="Yes"/>
    <s v="Prime Deal"/>
    <n v="3679.05"/>
    <n v="1.0691999999999999"/>
    <n v="309"/>
    <s v="In Stock"/>
  </r>
  <r>
    <s v="AMZ26-00463"/>
    <d v="2026-03-05T00:00:00"/>
    <x v="0"/>
    <s v="Q1"/>
    <n v="2026"/>
    <s v="CUST-1999"/>
    <s v="Pooja Kumar"/>
    <s v="Corporate"/>
    <s v="India"/>
    <s v="Rajasthan"/>
    <s v="Jaipur"/>
    <x v="3"/>
    <s v="Amazon App"/>
    <s v="Android"/>
    <x v="0"/>
    <s v="Women Clothing"/>
    <s v="Printed Kurti"/>
    <s v="BIBA"/>
    <s v="FAS-WOM-47752"/>
    <s v="FBA"/>
    <x v="5"/>
    <x v="1"/>
    <n v="5"/>
    <n v="1790.39"/>
    <n v="0"/>
    <n v="0"/>
    <n v="8951.9500000000007"/>
    <n v="8951.9500000000007"/>
    <n v="193.02"/>
    <n v="6858.36"/>
    <n v="1900.57"/>
    <n v="0.21229999999999999"/>
    <n v="0"/>
    <s v="Not Applicable"/>
    <s v="No"/>
    <m/>
    <m/>
    <n v="0"/>
    <s v="Yes"/>
    <s v="Amazon Coupon"/>
    <n v="7904.01"/>
    <n v="1.1326000000000001"/>
    <n v="236"/>
    <s v="In Stock"/>
  </r>
  <r>
    <s v="AMZ26-00464"/>
    <d v="2026-06-22T00:00:00"/>
    <x v="5"/>
    <s v="Q2"/>
    <n v="2026"/>
    <s v="CUST-3100"/>
    <s v="Aditi Gupta"/>
    <s v="Corporate"/>
    <s v="India"/>
    <s v="Karnataka"/>
    <s v="Mysuru"/>
    <x v="1"/>
    <s v="Amazon App"/>
    <s v="Android"/>
    <x v="0"/>
    <s v="Women Clothing"/>
    <s v="Denim Jeans"/>
    <s v="Levi's"/>
    <s v="FAS-WOM-58707"/>
    <s v="FBA"/>
    <x v="1"/>
    <x v="0"/>
    <n v="5"/>
    <n v="2358.54"/>
    <n v="0.15"/>
    <n v="1768.9"/>
    <n v="11792.7"/>
    <n v="10023.799999999999"/>
    <n v="77.12"/>
    <n v="7577.72"/>
    <n v="2368.96"/>
    <n v="0.23630000000000001"/>
    <n v="6"/>
    <s v="Delayed"/>
    <s v="No"/>
    <m/>
    <n v="4"/>
    <n v="1"/>
    <s v="Yes"/>
    <s v="Lightning Deal"/>
    <n v="11138.47"/>
    <n v="0.89990000000000003"/>
    <n v="216"/>
    <s v="In Stock"/>
  </r>
  <r>
    <s v="AMZ26-00465"/>
    <d v="2026-10-31T00:00:00"/>
    <x v="8"/>
    <s v="Q4"/>
    <n v="2026"/>
    <s v="CUST-2943"/>
    <s v="Aditi Shetty"/>
    <s v="Small Business"/>
    <s v="India"/>
    <s v="Karnataka"/>
    <s v="Bengaluru"/>
    <x v="1"/>
    <s v="Amazon App"/>
    <s v="Desktop"/>
    <x v="3"/>
    <s v="Beverages"/>
    <s v="Green Tea"/>
    <s v="Tata Tea"/>
    <s v="GRO-BEV-54733"/>
    <s v="FBA"/>
    <x v="2"/>
    <x v="2"/>
    <n v="4"/>
    <n v="176.12"/>
    <n v="0.25"/>
    <n v="176.12"/>
    <n v="704.48"/>
    <n v="528.36"/>
    <n v="90.79"/>
    <n v="390.17"/>
    <n v="47.4"/>
    <n v="8.9700000000000002E-2"/>
    <n v="7"/>
    <s v="In Transit"/>
    <s v="No"/>
    <m/>
    <m/>
    <n v="0"/>
    <s v="Yes"/>
    <s v="Festival Sale"/>
    <n v="602.77"/>
    <n v="0.87660000000000005"/>
    <n v="301"/>
    <s v="In Stock"/>
  </r>
  <r>
    <s v="AMZ26-00466"/>
    <d v="2026-12-09T00:00:00"/>
    <x v="11"/>
    <s v="Q4"/>
    <n v="2026"/>
    <s v="CUST-2307"/>
    <s v="Aditi Kumar"/>
    <s v="Small Business"/>
    <s v="India"/>
    <s v="Uttar Pradesh"/>
    <s v="Noida"/>
    <x v="0"/>
    <s v="Amazon App"/>
    <s v="Tablet"/>
    <x v="0"/>
    <s v="Men Clothing"/>
    <s v="Cotton Shirt"/>
    <s v="Allen Solly"/>
    <s v="FAS-MEN-18861"/>
    <s v="FBA"/>
    <x v="4"/>
    <x v="0"/>
    <n v="4"/>
    <n v="3484.35"/>
    <n v="0"/>
    <n v="0"/>
    <n v="13937.4"/>
    <n v="13937.4"/>
    <n v="99.04"/>
    <n v="9632.1"/>
    <n v="4206.26"/>
    <n v="0.30180000000000001"/>
    <n v="8"/>
    <s v="Delayed"/>
    <s v="No"/>
    <m/>
    <n v="4"/>
    <n v="4"/>
    <s v="Yes"/>
    <s v="Festival Sale"/>
    <n v="15628.67"/>
    <n v="0.89180000000000004"/>
    <n v="47"/>
    <s v="In Stock"/>
  </r>
  <r>
    <s v="AMZ26-00467"/>
    <d v="2026-09-19T00:00:00"/>
    <x v="1"/>
    <s v="Q3"/>
    <n v="2026"/>
    <s v="CUST-2424"/>
    <s v="Sneha Patel"/>
    <s v="Consumer"/>
    <s v="India"/>
    <s v="Maharashtra"/>
    <s v="Pune"/>
    <x v="3"/>
    <s v="Amazon Website"/>
    <s v="Tablet"/>
    <x v="0"/>
    <s v="Men Clothing"/>
    <s v="Slim Jeans"/>
    <s v="Levi's"/>
    <s v="FAS-MEN-61208"/>
    <s v="FBM"/>
    <x v="1"/>
    <x v="2"/>
    <n v="4"/>
    <n v="1643.4"/>
    <n v="0.25"/>
    <n v="1643.4"/>
    <n v="6573.6"/>
    <n v="4930.2"/>
    <n v="95.05"/>
    <n v="3805.3"/>
    <n v="1029.8499999999999"/>
    <n v="0.2089"/>
    <n v="1"/>
    <s v="In Transit"/>
    <s v="No"/>
    <m/>
    <m/>
    <n v="0"/>
    <s v="Yes"/>
    <s v="Bank Offer"/>
    <n v="6144.35"/>
    <n v="0.8024"/>
    <n v="34"/>
    <s v="Low Stock"/>
  </r>
  <r>
    <s v="AMZ26-00468"/>
    <d v="2026-08-07T00:00:00"/>
    <x v="4"/>
    <s v="Q3"/>
    <n v="2026"/>
    <s v="CUST-3721"/>
    <s v="Vivek Rao"/>
    <s v="Consumer"/>
    <s v="India"/>
    <s v="Tamil Nadu"/>
    <s v="Chennai"/>
    <x v="1"/>
    <s v="Amazon Website"/>
    <s v="iOS"/>
    <x v="2"/>
    <s v="Hair Care"/>
    <s v="Hair Mask"/>
    <s v="Tresemme"/>
    <s v="BEA-HAI-89856"/>
    <s v="FBA"/>
    <x v="2"/>
    <x v="0"/>
    <n v="3"/>
    <n v="287.8"/>
    <n v="0.05"/>
    <n v="43.17"/>
    <n v="863.4"/>
    <n v="820.23"/>
    <n v="246.97"/>
    <n v="502.73"/>
    <n v="70.53"/>
    <n v="8.5999999999999993E-2"/>
    <n v="4"/>
    <s v="On Time"/>
    <s v="No"/>
    <m/>
    <n v="3"/>
    <n v="3"/>
    <s v="No"/>
    <s v="None"/>
    <n v="965.78"/>
    <n v="0.84930000000000005"/>
    <n v="211"/>
    <s v="In Stock"/>
  </r>
  <r>
    <s v="AMZ26-00469"/>
    <d v="2026-05-07T00:00:00"/>
    <x v="2"/>
    <s v="Q2"/>
    <n v="2026"/>
    <s v="CUST-1949"/>
    <s v="Nandini Rao"/>
    <s v="Small Business"/>
    <s v="India"/>
    <s v="Karnataka"/>
    <s v="Mysuru"/>
    <x v="1"/>
    <s v="Amazon App"/>
    <s v="iOS"/>
    <x v="4"/>
    <s v="Kitchen Appliances"/>
    <s v="Mixer Grinder"/>
    <s v="Prestige"/>
    <s v="HOM-KIT-82283"/>
    <s v="FBA"/>
    <x v="1"/>
    <x v="0"/>
    <n v="3"/>
    <n v="8359.2900000000009"/>
    <n v="0"/>
    <n v="0"/>
    <n v="25077.87"/>
    <n v="25077.87"/>
    <n v="97.63"/>
    <n v="19463.849999999999"/>
    <n v="5516.39"/>
    <n v="0.22"/>
    <n v="1"/>
    <s v="On Time"/>
    <s v="No"/>
    <m/>
    <n v="4"/>
    <n v="3"/>
    <s v="Yes"/>
    <s v="Festival Sale"/>
    <n v="30656.35"/>
    <n v="0.81799999999999995"/>
    <n v="102"/>
    <s v="In Stock"/>
  </r>
  <r>
    <s v="AMZ26-00470"/>
    <d v="2026-08-28T00:00:00"/>
    <x v="4"/>
    <s v="Q3"/>
    <n v="2026"/>
    <s v="CUST-1232"/>
    <s v="Vivek Reddy"/>
    <s v="Corporate"/>
    <s v="India"/>
    <s v="Odisha"/>
    <s v="Bhubaneswar"/>
    <x v="2"/>
    <s v="Amazon App"/>
    <s v="Tablet"/>
    <x v="4"/>
    <s v="Kitchen Appliances"/>
    <s v="Electric Kettle"/>
    <s v="Pigeon"/>
    <s v="HOM-KIT-26784"/>
    <s v="FBM"/>
    <x v="4"/>
    <x v="2"/>
    <n v="5"/>
    <n v="276.82"/>
    <n v="0.1"/>
    <n v="138.41"/>
    <n v="1384.1"/>
    <n v="1245.69"/>
    <n v="187.51"/>
    <n v="798.29"/>
    <n v="259.89"/>
    <n v="0.20860000000000001"/>
    <n v="1"/>
    <s v="In Transit"/>
    <s v="No"/>
    <m/>
    <m/>
    <n v="0"/>
    <s v="Yes"/>
    <s v="Bank Offer"/>
    <n v="1504.27"/>
    <n v="0.82809999999999995"/>
    <n v="196"/>
    <s v="In Stock"/>
  </r>
  <r>
    <s v="AMZ26-00471"/>
    <d v="2026-02-08T00:00:00"/>
    <x v="7"/>
    <s v="Q1"/>
    <n v="2026"/>
    <s v="CUST-2957"/>
    <s v="Pooja Patel"/>
    <s v="Small Business"/>
    <s v="India"/>
    <s v="Delhi"/>
    <s v="New Delhi"/>
    <x v="0"/>
    <s v="Amazon App"/>
    <s v="Desktop"/>
    <x v="3"/>
    <s v="Snacks"/>
    <s v="Cookies"/>
    <s v="Britannia"/>
    <s v="GRO-SNA-86793"/>
    <s v="FBM"/>
    <x v="3"/>
    <x v="2"/>
    <n v="4"/>
    <n v="240.95"/>
    <n v="0"/>
    <n v="0"/>
    <n v="963.8"/>
    <n v="963.8"/>
    <n v="202.24"/>
    <n v="541.94000000000005"/>
    <n v="219.62"/>
    <n v="0.22789999999999999"/>
    <n v="7"/>
    <s v="In Transit"/>
    <s v="No"/>
    <m/>
    <m/>
    <n v="0"/>
    <s v="Yes"/>
    <s v="None"/>
    <n v="875.82"/>
    <n v="1.1005"/>
    <n v="333"/>
    <s v="In Stock"/>
  </r>
  <r>
    <s v="AMZ26-00472"/>
    <d v="2026-07-11T00:00:00"/>
    <x v="3"/>
    <s v="Q3"/>
    <n v="2026"/>
    <s v="CUST-2884"/>
    <s v="Arjun Jain"/>
    <s v="Corporate"/>
    <s v="India"/>
    <s v="Maharashtra"/>
    <s v="Pune"/>
    <x v="3"/>
    <s v="Amazon Website"/>
    <s v="iOS"/>
    <x v="1"/>
    <s v="Laptops"/>
    <s v="Vivobook"/>
    <s v="ASUS"/>
    <s v="ELE-LAP-62192"/>
    <s v="FBM"/>
    <x v="3"/>
    <x v="0"/>
    <n v="4"/>
    <n v="29776.82"/>
    <n v="0.3"/>
    <n v="35732.18"/>
    <n v="119107.28"/>
    <n v="83375.100000000006"/>
    <n v="119.22"/>
    <n v="46372.77"/>
    <n v="36883.11"/>
    <n v="0.44240000000000002"/>
    <n v="3"/>
    <s v="On Time"/>
    <s v="No"/>
    <m/>
    <n v="4"/>
    <n v="1"/>
    <s v="Yes"/>
    <s v="Lightning Deal"/>
    <n v="75572.31"/>
    <n v="1.1032"/>
    <n v="465"/>
    <s v="In Stock"/>
  </r>
  <r>
    <s v="AMZ26-00473"/>
    <d v="2026-05-31T00:00:00"/>
    <x v="2"/>
    <s v="Q2"/>
    <n v="2026"/>
    <s v="CUST-2092"/>
    <s v="Kavya Iyer"/>
    <s v="Small Business"/>
    <s v="India"/>
    <s v="Maharashtra"/>
    <s v="Pune"/>
    <x v="3"/>
    <s v="Amazon Website"/>
    <s v="Desktop"/>
    <x v="0"/>
    <s v="Women Clothing"/>
    <s v="Denim Jeans"/>
    <s v="Levi's"/>
    <s v="FAS-WOM-14887"/>
    <s v="FBM"/>
    <x v="4"/>
    <x v="0"/>
    <n v="5"/>
    <n v="3029.87"/>
    <n v="0.3"/>
    <n v="4544.8100000000004"/>
    <n v="15149.35"/>
    <n v="10604.54"/>
    <n v="3.62"/>
    <n v="6709.55"/>
    <n v="3891.37"/>
    <n v="0.36699999999999999"/>
    <n v="8"/>
    <s v="Delayed"/>
    <s v="No"/>
    <m/>
    <n v="5"/>
    <n v="1"/>
    <s v="Yes"/>
    <s v="Bank Offer"/>
    <n v="11528.38"/>
    <n v="0.91990000000000005"/>
    <n v="488"/>
    <s v="In Stock"/>
  </r>
  <r>
    <s v="AMZ26-00474"/>
    <d v="2026-04-01T00:00:00"/>
    <x v="9"/>
    <s v="Q2"/>
    <n v="2026"/>
    <s v="CUST-3965"/>
    <s v="Pooja Singh"/>
    <s v="Corporate"/>
    <s v="India"/>
    <s v="Haryana"/>
    <s v="Gurugram"/>
    <x v="0"/>
    <s v="Amazon App"/>
    <s v="iOS"/>
    <x v="3"/>
    <s v="Staples"/>
    <s v="Atta"/>
    <s v="Aashirvaad"/>
    <s v="GRO-STA-52611"/>
    <s v="FBM"/>
    <x v="2"/>
    <x v="0"/>
    <n v="3"/>
    <n v="962.52"/>
    <n v="0"/>
    <n v="0"/>
    <n v="2887.56"/>
    <n v="2887.56"/>
    <n v="228.06"/>
    <n v="1884.16"/>
    <n v="775.34"/>
    <n v="0.26850000000000002"/>
    <n v="5"/>
    <s v="Delayed"/>
    <s v="No"/>
    <m/>
    <n v="5"/>
    <n v="0"/>
    <s v="No"/>
    <s v="Amazon Coupon"/>
    <n v="2684.31"/>
    <n v="1.0757000000000001"/>
    <n v="286"/>
    <s v="In Stock"/>
  </r>
  <r>
    <s v="AMZ26-00475"/>
    <d v="2026-08-13T00:00:00"/>
    <x v="4"/>
    <s v="Q3"/>
    <n v="2026"/>
    <s v="CUST-4578"/>
    <s v="Diya Sharma"/>
    <s v="Corporate"/>
    <s v="India"/>
    <s v="Tamil Nadu"/>
    <s v="Chennai"/>
    <x v="1"/>
    <s v="Amazon App"/>
    <s v="Tablet"/>
    <x v="2"/>
    <s v="Hair Care"/>
    <s v="Shampoo"/>
    <s v="Dove"/>
    <s v="BEA-HAI-59554"/>
    <s v="FBM"/>
    <x v="4"/>
    <x v="0"/>
    <n v="2"/>
    <n v="797.92"/>
    <n v="0"/>
    <n v="0"/>
    <n v="1595.84"/>
    <n v="1595.84"/>
    <n v="152.87"/>
    <n v="839.9"/>
    <n v="603.07000000000005"/>
    <n v="0.37790000000000001"/>
    <n v="3"/>
    <s v="On Time"/>
    <s v="No"/>
    <m/>
    <n v="5"/>
    <n v="1"/>
    <s v="Yes"/>
    <s v="Amazon Coupon"/>
    <n v="1987.95"/>
    <n v="0.80279999999999996"/>
    <n v="253"/>
    <s v="In Stock"/>
  </r>
  <r>
    <s v="AMZ26-00476"/>
    <d v="2026-04-06T00:00:00"/>
    <x v="9"/>
    <s v="Q2"/>
    <n v="2026"/>
    <s v="CUST-3381"/>
    <s v="Nandini Shetty"/>
    <s v="Small Business"/>
    <s v="India"/>
    <s v="Gujarat"/>
    <s v="Ahmedabad"/>
    <x v="3"/>
    <s v="Amazon Website"/>
    <s v="iOS"/>
    <x v="1"/>
    <s v="Laptops"/>
    <s v="Inspiron Laptop"/>
    <s v="Dell"/>
    <s v="ELE-LAP-10306"/>
    <s v="FBM"/>
    <x v="4"/>
    <x v="2"/>
    <n v="4"/>
    <n v="7656.79"/>
    <n v="0.2"/>
    <n v="6125.43"/>
    <n v="30627.16"/>
    <n v="24501.73"/>
    <n v="37.32"/>
    <n v="14351.79"/>
    <n v="10112.620000000001"/>
    <n v="0.41270000000000001"/>
    <n v="1"/>
    <s v="In Transit"/>
    <s v="No"/>
    <m/>
    <m/>
    <n v="0"/>
    <s v="Yes"/>
    <s v="Bank Offer"/>
    <n v="27642.15"/>
    <n v="0.88639999999999997"/>
    <n v="269"/>
    <s v="In Stock"/>
  </r>
  <r>
    <s v="AMZ26-00477"/>
    <d v="2026-03-03T00:00:00"/>
    <x v="0"/>
    <s v="Q1"/>
    <n v="2026"/>
    <s v="CUST-1323"/>
    <s v="Kiran Gupta"/>
    <s v="Consumer"/>
    <s v="India"/>
    <s v="West Bengal"/>
    <s v="Kolkata"/>
    <x v="2"/>
    <s v="Amazon Website"/>
    <s v="Tablet"/>
    <x v="4"/>
    <s v="Cookware"/>
    <s v="Nonstick Pan"/>
    <s v="Prestige"/>
    <s v="HOM-COO-76972"/>
    <s v="FBA"/>
    <x v="5"/>
    <x v="2"/>
    <n v="2"/>
    <n v="8729.9599999999991"/>
    <n v="0"/>
    <n v="0"/>
    <n v="17459.919999999998"/>
    <n v="17459.919999999998"/>
    <n v="157.33000000000001"/>
    <n v="13528.42"/>
    <n v="3774.17"/>
    <n v="0.2162"/>
    <n v="2"/>
    <s v="In Transit"/>
    <s v="No"/>
    <m/>
    <m/>
    <n v="0"/>
    <s v="Yes"/>
    <s v="None"/>
    <n v="18625.43"/>
    <n v="0.93740000000000001"/>
    <n v="409"/>
    <s v="In Stock"/>
  </r>
  <r>
    <s v="AMZ26-00478"/>
    <d v="2026-02-06T00:00:00"/>
    <x v="7"/>
    <s v="Q1"/>
    <n v="2026"/>
    <s v="CUST-3953"/>
    <s v="Nikhil Sharma"/>
    <s v="Corporate"/>
    <s v="India"/>
    <s v="Haryana"/>
    <s v="Gurugram"/>
    <x v="0"/>
    <s v="Amazon Website"/>
    <s v="Tablet"/>
    <x v="2"/>
    <s v="Hair Care"/>
    <s v="Hair Serum"/>
    <s v="L'Oreal"/>
    <s v="BEA-HAI-31921"/>
    <s v="FBA"/>
    <x v="2"/>
    <x v="0"/>
    <n v="4"/>
    <n v="688.49"/>
    <n v="0.25"/>
    <n v="688.49"/>
    <n v="2753.96"/>
    <n v="2065.4699999999998"/>
    <n v="18.78"/>
    <n v="1139.94"/>
    <n v="906.75"/>
    <n v="0.439"/>
    <n v="3"/>
    <s v="On Time"/>
    <s v="No"/>
    <m/>
    <n v="4"/>
    <n v="4"/>
    <s v="Yes"/>
    <s v="Bank Offer"/>
    <n v="1835.47"/>
    <n v="1.1253"/>
    <n v="263"/>
    <s v="In Stock"/>
  </r>
  <r>
    <s v="AMZ26-00479"/>
    <d v="2026-01-03T00:00:00"/>
    <x v="10"/>
    <s v="Q1"/>
    <n v="2026"/>
    <s v="CUST-3824"/>
    <s v="Sneha Patel"/>
    <s v="Corporate"/>
    <s v="India"/>
    <s v="Karnataka"/>
    <s v="Bengaluru"/>
    <x v="1"/>
    <s v="Amazon Website"/>
    <s v="iOS"/>
    <x v="3"/>
    <s v="Beverages"/>
    <s v="Coffee"/>
    <s v="Nescafe"/>
    <s v="GRO-BEV-33978"/>
    <s v="FBM"/>
    <x v="1"/>
    <x v="0"/>
    <n v="1"/>
    <n v="325.29000000000002"/>
    <n v="0.15"/>
    <n v="48.79"/>
    <n v="325.29000000000002"/>
    <n v="276.5"/>
    <n v="68.349999999999994"/>
    <n v="141.44999999999999"/>
    <n v="66.7"/>
    <n v="0.2412"/>
    <n v="7"/>
    <s v="Delayed"/>
    <s v="No"/>
    <m/>
    <n v="4"/>
    <n v="0"/>
    <s v="Yes"/>
    <s v="Prime Deal"/>
    <n v="270.08999999999997"/>
    <n v="1.0237000000000001"/>
    <n v="139"/>
    <s v="In Stock"/>
  </r>
  <r>
    <s v="AMZ26-00480"/>
    <d v="2026-08-16T00:00:00"/>
    <x v="4"/>
    <s v="Q3"/>
    <n v="2026"/>
    <s v="CUST-1524"/>
    <s v="Vivek Sharma"/>
    <s v="Corporate"/>
    <s v="India"/>
    <s v="Kerala"/>
    <s v="Kochi"/>
    <x v="1"/>
    <s v="Amazon Website"/>
    <s v="Android"/>
    <x v="3"/>
    <s v="Staples"/>
    <s v="Basmati Rice"/>
    <s v="India Gate"/>
    <s v="GRO-STA-61771"/>
    <s v="FBM"/>
    <x v="1"/>
    <x v="0"/>
    <n v="1"/>
    <n v="842.82"/>
    <n v="0.1"/>
    <n v="84.28"/>
    <n v="842.82"/>
    <n v="758.54"/>
    <n v="146.66"/>
    <n v="466.17"/>
    <n v="145.71"/>
    <n v="0.19209999999999999"/>
    <n v="4"/>
    <s v="On Time"/>
    <s v="No"/>
    <m/>
    <n v="4"/>
    <n v="2"/>
    <s v="No"/>
    <s v="Festival Sale"/>
    <n v="668.75"/>
    <n v="1.1343000000000001"/>
    <n v="406"/>
    <s v="In Stock"/>
  </r>
  <r>
    <s v="AMZ26-00481"/>
    <d v="2026-03-03T00:00:00"/>
    <x v="0"/>
    <s v="Q1"/>
    <n v="2026"/>
    <s v="CUST-1459"/>
    <s v="Arjun Reddy"/>
    <s v="Corporate"/>
    <s v="India"/>
    <s v="Maharashtra"/>
    <s v="Pune"/>
    <x v="3"/>
    <s v="Amazon Website"/>
    <s v="Android"/>
    <x v="1"/>
    <s v="Laptops"/>
    <s v="Pavilion"/>
    <s v="HP"/>
    <s v="ELE-LAP-39721"/>
    <s v="FBM"/>
    <x v="3"/>
    <x v="2"/>
    <n v="2"/>
    <n v="18957.72"/>
    <n v="0.25"/>
    <n v="9478.86"/>
    <n v="37915.440000000002"/>
    <n v="28436.58"/>
    <n v="183.8"/>
    <n v="20538.75"/>
    <n v="7714.03"/>
    <n v="0.27129999999999999"/>
    <n v="3"/>
    <s v="In Transit"/>
    <s v="No"/>
    <m/>
    <m/>
    <n v="0"/>
    <s v="No"/>
    <s v="None"/>
    <n v="27763.360000000001"/>
    <n v="1.0242"/>
    <n v="485"/>
    <s v="In Stock"/>
  </r>
  <r>
    <s v="AMZ26-00482"/>
    <d v="2026-08-11T00:00:00"/>
    <x v="4"/>
    <s v="Q3"/>
    <n v="2026"/>
    <s v="CUST-4767"/>
    <s v="Aarav Iyer"/>
    <s v="Consumer"/>
    <s v="India"/>
    <s v="Odisha"/>
    <s v="Bhubaneswar"/>
    <x v="2"/>
    <s v="Amazon App"/>
    <s v="Tablet"/>
    <x v="0"/>
    <s v="Footwear"/>
    <s v="Running Shoes"/>
    <s v="Adidas"/>
    <s v="FAS-FOO-85804"/>
    <s v="FBA"/>
    <x v="4"/>
    <x v="2"/>
    <n v="5"/>
    <n v="3737.37"/>
    <n v="0.1"/>
    <n v="1868.68"/>
    <n v="18686.849999999999"/>
    <n v="16818.169999999998"/>
    <n v="160.11000000000001"/>
    <n v="13100.14"/>
    <n v="3557.92"/>
    <n v="0.21160000000000001"/>
    <n v="4"/>
    <s v="In Transit"/>
    <s v="No"/>
    <m/>
    <m/>
    <n v="0"/>
    <s v="No"/>
    <s v="Lightning Deal"/>
    <n v="17496.22"/>
    <n v="0.96120000000000005"/>
    <n v="229"/>
    <s v="In Stock"/>
  </r>
  <r>
    <s v="AMZ26-00483"/>
    <d v="2026-11-17T00:00:00"/>
    <x v="6"/>
    <s v="Q4"/>
    <n v="2026"/>
    <s v="CUST-3095"/>
    <s v="Aditya Yadav"/>
    <s v="Consumer"/>
    <s v="India"/>
    <s v="West Bengal"/>
    <s v="Kolkata"/>
    <x v="2"/>
    <s v="Amazon Website"/>
    <s v="Desktop"/>
    <x v="0"/>
    <s v="Women Clothing"/>
    <s v="Denim Jeans"/>
    <s v="Levi's"/>
    <s v="FAS-WOM-26027"/>
    <s v="FBA"/>
    <x v="1"/>
    <x v="0"/>
    <n v="1"/>
    <n v="646.98"/>
    <n v="0.25"/>
    <n v="161.75"/>
    <n v="646.98"/>
    <n v="485.23"/>
    <n v="66.48"/>
    <n v="234.94"/>
    <n v="183.81"/>
    <n v="0.37880000000000003"/>
    <n v="2"/>
    <s v="On Time"/>
    <s v="No"/>
    <m/>
    <n v="5"/>
    <n v="0"/>
    <s v="Yes"/>
    <s v="Festival Sale"/>
    <n v="581.62"/>
    <n v="0.83430000000000004"/>
    <n v="193"/>
    <s v="In Stock"/>
  </r>
  <r>
    <s v="AMZ26-00484"/>
    <d v="2026-09-05T00:00:00"/>
    <x v="1"/>
    <s v="Q3"/>
    <n v="2026"/>
    <s v="CUST-2223"/>
    <s v="Rahul Reddy"/>
    <s v="Small Business"/>
    <s v="India"/>
    <s v="Uttar Pradesh"/>
    <s v="Noida"/>
    <x v="0"/>
    <s v="Amazon App"/>
    <s v="Tablet"/>
    <x v="3"/>
    <s v="Snacks"/>
    <s v="Mixed Nuts"/>
    <s v="Happilo"/>
    <s v="GRO-SNA-51642"/>
    <s v="FBA"/>
    <x v="2"/>
    <x v="2"/>
    <n v="5"/>
    <n v="86.78"/>
    <n v="0.15"/>
    <n v="65.08"/>
    <n v="433.9"/>
    <n v="368.82"/>
    <n v="81.25"/>
    <n v="238.32"/>
    <n v="49.25"/>
    <n v="0.13350000000000001"/>
    <n v="8"/>
    <s v="In Transit"/>
    <s v="No"/>
    <m/>
    <m/>
    <n v="0"/>
    <s v="Yes"/>
    <s v="Bank Offer"/>
    <n v="374.27"/>
    <n v="0.98540000000000005"/>
    <n v="21"/>
    <s v="Low Stock"/>
  </r>
  <r>
    <s v="AMZ26-00485"/>
    <d v="2026-09-11T00:00:00"/>
    <x v="1"/>
    <s v="Q3"/>
    <n v="2026"/>
    <s v="CUST-4445"/>
    <s v="Meera Singh"/>
    <s v="Small Business"/>
    <s v="India"/>
    <s v="Kerala"/>
    <s v="Kochi"/>
    <x v="1"/>
    <s v="Amazon App"/>
    <s v="Tablet"/>
    <x v="3"/>
    <s v="Beverages"/>
    <s v="Coffee"/>
    <s v="Nescafe"/>
    <s v="GRO-BEV-29443"/>
    <s v="FBM"/>
    <x v="4"/>
    <x v="0"/>
    <n v="5"/>
    <n v="1703.47"/>
    <n v="0.05"/>
    <n v="425.87"/>
    <n v="8517.35"/>
    <n v="8091.48"/>
    <n v="91.12"/>
    <n v="3982.32"/>
    <n v="4018.04"/>
    <n v="0.49659999999999999"/>
    <n v="7"/>
    <s v="Delayed"/>
    <s v="Yes"/>
    <s v="Damaged Product"/>
    <n v="5"/>
    <n v="4"/>
    <s v="Yes"/>
    <s v="Amazon Coupon"/>
    <n v="6908.36"/>
    <n v="1.1713"/>
    <n v="82"/>
    <s v="In Stock"/>
  </r>
  <r>
    <s v="AMZ26-00486"/>
    <d v="2026-10-20T00:00:00"/>
    <x v="8"/>
    <s v="Q4"/>
    <n v="2026"/>
    <s v="CUST-1334"/>
    <s v="Meera Gupta"/>
    <s v="Corporate"/>
    <s v="India"/>
    <s v="Rajasthan"/>
    <s v="Jaipur"/>
    <x v="3"/>
    <s v="Amazon App"/>
    <s v="Tablet"/>
    <x v="0"/>
    <s v="Footwear"/>
    <s v="Casual Sneakers"/>
    <s v="Puma"/>
    <s v="FAS-FOO-60618"/>
    <s v="FBM"/>
    <x v="2"/>
    <x v="0"/>
    <n v="2"/>
    <n v="3886.9"/>
    <n v="0"/>
    <n v="0"/>
    <n v="7773.8"/>
    <n v="7773.8"/>
    <n v="19.649999999999999"/>
    <n v="3886.3"/>
    <n v="3867.85"/>
    <n v="0.4975"/>
    <n v="1"/>
    <s v="On Time"/>
    <s v="No"/>
    <m/>
    <n v="4"/>
    <n v="2"/>
    <s v="No"/>
    <s v="Amazon Coupon"/>
    <n v="9549.14"/>
    <n v="0.81410000000000005"/>
    <n v="298"/>
    <s v="In Stock"/>
  </r>
  <r>
    <s v="AMZ26-00487"/>
    <d v="2026-07-22T00:00:00"/>
    <x v="3"/>
    <s v="Q3"/>
    <n v="2026"/>
    <s v="CUST-3918"/>
    <s v="Vihaan Singh"/>
    <s v="Corporate"/>
    <s v="India"/>
    <s v="Gujarat"/>
    <s v="Ahmedabad"/>
    <x v="3"/>
    <s v="Amazon App"/>
    <s v="Android"/>
    <x v="3"/>
    <s v="Beverages"/>
    <s v="Coffee"/>
    <s v="Nescafe"/>
    <s v="GRO-BEV-73761"/>
    <s v="FBA"/>
    <x v="0"/>
    <x v="0"/>
    <n v="2"/>
    <n v="1788.43"/>
    <n v="0.05"/>
    <n v="178.84"/>
    <n v="3576.86"/>
    <n v="3398.02"/>
    <n v="153.68"/>
    <n v="1802.1"/>
    <n v="1442.24"/>
    <n v="0.4244"/>
    <n v="2"/>
    <s v="On Time"/>
    <s v="No"/>
    <m/>
    <n v="4"/>
    <n v="2"/>
    <s v="No"/>
    <s v="Bank Offer"/>
    <n v="2910.92"/>
    <n v="1.1673"/>
    <n v="19"/>
    <s v="Low Stock"/>
  </r>
  <r>
    <s v="AMZ26-00488"/>
    <d v="2026-03-06T00:00:00"/>
    <x v="0"/>
    <s v="Q1"/>
    <n v="2026"/>
    <s v="CUST-2629"/>
    <s v="Meera Verma"/>
    <s v="Consumer"/>
    <s v="India"/>
    <s v="Kerala"/>
    <s v="Kochi"/>
    <x v="1"/>
    <s v="Amazon Website"/>
    <s v="Desktop"/>
    <x v="0"/>
    <s v="Footwear"/>
    <s v="Running Shoes"/>
    <s v="Adidas"/>
    <s v="FAS-FOO-96493"/>
    <s v="FBM"/>
    <x v="3"/>
    <x v="2"/>
    <n v="2"/>
    <n v="4159.83"/>
    <n v="0"/>
    <n v="0"/>
    <n v="8319.66"/>
    <n v="8319.66"/>
    <n v="12.52"/>
    <n v="4716.12"/>
    <n v="3591.02"/>
    <n v="0.43159999999999998"/>
    <n v="4"/>
    <s v="In Transit"/>
    <s v="No"/>
    <m/>
    <m/>
    <n v="0"/>
    <s v="No"/>
    <s v="Prime Deal"/>
    <n v="8949.35"/>
    <n v="0.92959999999999998"/>
    <n v="307"/>
    <s v="In Stock"/>
  </r>
  <r>
    <s v="AMZ26-00489"/>
    <d v="2026-11-24T00:00:00"/>
    <x v="6"/>
    <s v="Q4"/>
    <n v="2026"/>
    <s v="CUST-2766"/>
    <s v="Sai Rao"/>
    <s v="Corporate"/>
    <s v="India"/>
    <s v="Haryana"/>
    <s v="Gurugram"/>
    <x v="0"/>
    <s v="Amazon Website"/>
    <s v="Tablet"/>
    <x v="4"/>
    <s v="Kitchen Appliances"/>
    <s v="Mixer Grinder"/>
    <s v="Prestige"/>
    <s v="HOM-KIT-73284"/>
    <s v="FBM"/>
    <x v="2"/>
    <x v="1"/>
    <n v="4"/>
    <n v="4461.1400000000003"/>
    <n v="0.2"/>
    <n v="3568.91"/>
    <n v="17844.560000000001"/>
    <n v="14275.65"/>
    <n v="80.900000000000006"/>
    <n v="9542.7099999999991"/>
    <n v="4652.04"/>
    <n v="0.32590000000000002"/>
    <n v="0"/>
    <s v="Not Applicable"/>
    <s v="No"/>
    <m/>
    <m/>
    <n v="0"/>
    <s v="No"/>
    <s v="Amazon Coupon"/>
    <n v="16417.05"/>
    <n v="0.86960000000000004"/>
    <n v="250"/>
    <s v="In Stock"/>
  </r>
  <r>
    <s v="AMZ26-00490"/>
    <d v="2026-06-09T00:00:00"/>
    <x v="5"/>
    <s v="Q2"/>
    <n v="2026"/>
    <s v="CUST-3813"/>
    <s v="Aditi Das"/>
    <s v="Corporate"/>
    <s v="India"/>
    <s v="Kerala"/>
    <s v="Kochi"/>
    <x v="1"/>
    <s v="Amazon Website"/>
    <s v="Tablet"/>
    <x v="2"/>
    <s v="Skin Care"/>
    <s v="Moisturizer"/>
    <s v="Cetaphil"/>
    <s v="BEA-SKI-55553"/>
    <s v="FBM"/>
    <x v="4"/>
    <x v="0"/>
    <n v="3"/>
    <n v="2156.69"/>
    <n v="0.3"/>
    <n v="1941.02"/>
    <n v="6470.07"/>
    <n v="4529.05"/>
    <n v="166.2"/>
    <n v="2449"/>
    <n v="1913.85"/>
    <n v="0.42259999999999998"/>
    <n v="6"/>
    <s v="Delayed"/>
    <s v="No"/>
    <m/>
    <n v="5"/>
    <n v="4"/>
    <s v="Yes"/>
    <s v="None"/>
    <n v="5618.65"/>
    <n v="0.80610000000000004"/>
    <n v="379"/>
    <s v="In Stock"/>
  </r>
  <r>
    <s v="AMZ26-00491"/>
    <d v="2026-06-21T00:00:00"/>
    <x v="5"/>
    <s v="Q2"/>
    <n v="2026"/>
    <s v="CUST-4524"/>
    <s v="Sai Singh"/>
    <s v="Small Business"/>
    <s v="India"/>
    <s v="West Bengal"/>
    <s v="Kolkata"/>
    <x v="2"/>
    <s v="Amazon Website"/>
    <s v="Android"/>
    <x v="3"/>
    <s v="Staples"/>
    <s v="Basmati Rice"/>
    <s v="India Gate"/>
    <s v="GRO-STA-48760"/>
    <s v="FBA"/>
    <x v="3"/>
    <x v="0"/>
    <n v="4"/>
    <n v="164.63"/>
    <n v="0.05"/>
    <n v="32.93"/>
    <n v="658.52"/>
    <n v="625.59"/>
    <n v="14.08"/>
    <n v="465.24"/>
    <n v="146.27000000000001"/>
    <n v="0.23380000000000001"/>
    <n v="5"/>
    <s v="Delayed"/>
    <s v="No"/>
    <m/>
    <n v="5"/>
    <n v="3"/>
    <s v="Yes"/>
    <s v="None"/>
    <n v="773.27"/>
    <n v="0.80900000000000005"/>
    <n v="305"/>
    <s v="In Stock"/>
  </r>
  <r>
    <s v="AMZ26-00492"/>
    <d v="2026-04-09T00:00:00"/>
    <x v="9"/>
    <s v="Q2"/>
    <n v="2026"/>
    <s v="CUST-2512"/>
    <s v="Priya Sharma"/>
    <s v="Consumer"/>
    <s v="India"/>
    <s v="West Bengal"/>
    <s v="Kolkata"/>
    <x v="2"/>
    <s v="Amazon App"/>
    <s v="Android"/>
    <x v="0"/>
    <s v="Women Clothing"/>
    <s v="Casual Top"/>
    <s v="ONLY"/>
    <s v="FAS-WOM-39828"/>
    <s v="FBM"/>
    <x v="1"/>
    <x v="0"/>
    <n v="5"/>
    <n v="1478.46"/>
    <n v="0.15"/>
    <n v="1108.8499999999999"/>
    <n v="7392.3"/>
    <n v="6283.45"/>
    <n v="137.66999999999999"/>
    <n v="4356.3100000000004"/>
    <n v="1789.47"/>
    <n v="0.2848"/>
    <n v="6"/>
    <s v="Delayed"/>
    <s v="No"/>
    <m/>
    <n v="3"/>
    <n v="2"/>
    <s v="Yes"/>
    <s v="None"/>
    <n v="6102.95"/>
    <n v="1.0296000000000001"/>
    <n v="343"/>
    <s v="In Stock"/>
  </r>
  <r>
    <s v="AMZ26-00493"/>
    <d v="2026-02-27T00:00:00"/>
    <x v="7"/>
    <s v="Q1"/>
    <n v="2026"/>
    <s v="CUST-1471"/>
    <s v="Diya Patel"/>
    <s v="Small Business"/>
    <s v="India"/>
    <s v="Telangana"/>
    <s v="Hyderabad"/>
    <x v="1"/>
    <s v="Amazon App"/>
    <s v="iOS"/>
    <x v="0"/>
    <s v="Men Clothing"/>
    <s v="Cotton Shirt"/>
    <s v="Allen Solly"/>
    <s v="FAS-MEN-41952"/>
    <s v="FBM"/>
    <x v="3"/>
    <x v="0"/>
    <n v="3"/>
    <n v="723.89"/>
    <n v="0.15"/>
    <n v="325.75"/>
    <n v="2171.67"/>
    <n v="1845.92"/>
    <n v="198.35"/>
    <n v="1241.97"/>
    <n v="405.6"/>
    <n v="0.21970000000000001"/>
    <n v="3"/>
    <s v="On Time"/>
    <s v="No"/>
    <m/>
    <n v="5"/>
    <n v="1"/>
    <s v="Yes"/>
    <s v="Lightning Deal"/>
    <n v="1741.05"/>
    <n v="1.0602"/>
    <n v="228"/>
    <s v="In Stock"/>
  </r>
  <r>
    <s v="AMZ26-00494"/>
    <d v="2026-09-12T00:00:00"/>
    <x v="1"/>
    <s v="Q3"/>
    <n v="2026"/>
    <s v="CUST-2280"/>
    <s v="Sai Gupta"/>
    <s v="Small Business"/>
    <s v="India"/>
    <s v="Odisha"/>
    <s v="Bhubaneswar"/>
    <x v="2"/>
    <s v="Amazon Website"/>
    <s v="Android"/>
    <x v="0"/>
    <s v="Women Clothing"/>
    <s v="Denim Jeans"/>
    <s v="Levi's"/>
    <s v="FAS-WOM-21029"/>
    <s v="FBM"/>
    <x v="4"/>
    <x v="0"/>
    <n v="3"/>
    <n v="2176.2399999999998"/>
    <n v="0"/>
    <n v="0"/>
    <n v="6528.72"/>
    <n v="6528.72"/>
    <n v="196.36"/>
    <n v="3341.51"/>
    <n v="2990.85"/>
    <n v="0.45810000000000001"/>
    <n v="7"/>
    <s v="Delayed"/>
    <s v="No"/>
    <m/>
    <n v="5"/>
    <n v="0"/>
    <s v="No"/>
    <s v="Lightning Deal"/>
    <n v="7085.18"/>
    <n v="0.92149999999999999"/>
    <n v="2"/>
    <s v="Low Stock"/>
  </r>
  <r>
    <s v="AMZ26-00495"/>
    <d v="2026-05-02T00:00:00"/>
    <x v="2"/>
    <s v="Q2"/>
    <n v="2026"/>
    <s v="CUST-3340"/>
    <s v="Ananya Gupta"/>
    <s v="Consumer"/>
    <s v="India"/>
    <s v="West Bengal"/>
    <s v="Kolkata"/>
    <x v="2"/>
    <s v="Amazon Website"/>
    <s v="iOS"/>
    <x v="0"/>
    <s v="Men Clothing"/>
    <s v="Cotton Shirt"/>
    <s v="Allen Solly"/>
    <s v="FAS-MEN-18313"/>
    <s v="FBA"/>
    <x v="5"/>
    <x v="1"/>
    <n v="3"/>
    <n v="354.11"/>
    <n v="0.05"/>
    <n v="53.12"/>
    <n v="1062.33"/>
    <n v="1009.21"/>
    <n v="80.44"/>
    <n v="632.1"/>
    <n v="296.67"/>
    <n v="0.29399999999999998"/>
    <n v="0"/>
    <s v="Not Applicable"/>
    <s v="No"/>
    <m/>
    <m/>
    <n v="0"/>
    <s v="No"/>
    <s v="Prime Deal"/>
    <n v="1118.1500000000001"/>
    <n v="0.90259999999999996"/>
    <n v="251"/>
    <s v="In Stock"/>
  </r>
  <r>
    <s v="AMZ26-00496"/>
    <d v="2026-06-24T00:00:00"/>
    <x v="5"/>
    <s v="Q2"/>
    <n v="2026"/>
    <s v="CUST-3356"/>
    <s v="Vihaan Nair"/>
    <s v="Small Business"/>
    <s v="India"/>
    <s v="Karnataka"/>
    <s v="Mysuru"/>
    <x v="1"/>
    <s v="Amazon App"/>
    <s v="iOS"/>
    <x v="0"/>
    <s v="Men Clothing"/>
    <s v="Cotton Shirt"/>
    <s v="Allen Solly"/>
    <s v="FAS-MEN-27398"/>
    <s v="FBM"/>
    <x v="3"/>
    <x v="1"/>
    <n v="5"/>
    <n v="2315.7399999999998"/>
    <n v="0.05"/>
    <n v="578.94000000000005"/>
    <n v="11578.7"/>
    <n v="10999.76"/>
    <n v="141.83000000000001"/>
    <n v="6408.18"/>
    <n v="4449.75"/>
    <n v="0.40450000000000003"/>
    <n v="0"/>
    <s v="Not Applicable"/>
    <s v="No"/>
    <m/>
    <m/>
    <n v="0"/>
    <s v="Yes"/>
    <s v="None"/>
    <n v="12094.47"/>
    <n v="0.90949999999999998"/>
    <n v="478"/>
    <s v="In Stock"/>
  </r>
  <r>
    <s v="AMZ26-00497"/>
    <d v="2026-10-20T00:00:00"/>
    <x v="8"/>
    <s v="Q4"/>
    <n v="2026"/>
    <s v="CUST-3555"/>
    <s v="Vivek Yadav"/>
    <s v="Corporate"/>
    <s v="India"/>
    <s v="Maharashtra"/>
    <s v="Mumbai"/>
    <x v="3"/>
    <s v="Amazon Website"/>
    <s v="iOS"/>
    <x v="2"/>
    <s v="Skin Care"/>
    <s v="Moisturizer"/>
    <s v="Cetaphil"/>
    <s v="BEA-SKI-19679"/>
    <s v="FBA"/>
    <x v="3"/>
    <x v="2"/>
    <n v="4"/>
    <n v="641.14"/>
    <n v="0.05"/>
    <n v="128.22999999999999"/>
    <n v="2564.56"/>
    <n v="2436.33"/>
    <n v="0.8"/>
    <n v="1828.03"/>
    <n v="607.5"/>
    <n v="0.24940000000000001"/>
    <n v="4"/>
    <s v="In Transit"/>
    <s v="No"/>
    <m/>
    <m/>
    <n v="0"/>
    <s v="No"/>
    <s v="Lightning Deal"/>
    <n v="2114.5500000000002"/>
    <n v="1.1521999999999999"/>
    <n v="109"/>
    <s v="In Stock"/>
  </r>
  <r>
    <s v="AMZ26-00498"/>
    <d v="2026-10-26T00:00:00"/>
    <x v="8"/>
    <s v="Q4"/>
    <n v="2026"/>
    <s v="CUST-1170"/>
    <s v="Pooja Shetty"/>
    <s v="Small Business"/>
    <s v="India"/>
    <s v="West Bengal"/>
    <s v="Kolkata"/>
    <x v="2"/>
    <s v="Amazon Website"/>
    <s v="Desktop"/>
    <x v="3"/>
    <s v="Staples"/>
    <s v="Basmati Rice"/>
    <s v="India Gate"/>
    <s v="GRO-STA-47756"/>
    <s v="FBM"/>
    <x v="4"/>
    <x v="0"/>
    <n v="4"/>
    <n v="332.26"/>
    <n v="0.05"/>
    <n v="66.45"/>
    <n v="1329.04"/>
    <n v="1262.5899999999999"/>
    <n v="201.69"/>
    <n v="978.06"/>
    <n v="82.84"/>
    <n v="6.5600000000000006E-2"/>
    <n v="7"/>
    <s v="Delayed"/>
    <s v="No"/>
    <m/>
    <n v="3"/>
    <n v="0"/>
    <s v="Yes"/>
    <s v="Prime Deal"/>
    <n v="1530.83"/>
    <n v="0.82479999999999998"/>
    <n v="428"/>
    <s v="In Stock"/>
  </r>
  <r>
    <s v="AMZ26-00499"/>
    <d v="2026-08-16T00:00:00"/>
    <x v="4"/>
    <s v="Q3"/>
    <n v="2026"/>
    <s v="CUST-1240"/>
    <s v="Sai Rao"/>
    <s v="Small Business"/>
    <s v="India"/>
    <s v="Tamil Nadu"/>
    <s v="Chennai"/>
    <x v="1"/>
    <s v="Amazon App"/>
    <s v="iOS"/>
    <x v="2"/>
    <s v="Hair Care"/>
    <s v="Hair Mask"/>
    <s v="Tresemme"/>
    <s v="BEA-HAI-87026"/>
    <s v="FBA"/>
    <x v="1"/>
    <x v="0"/>
    <n v="4"/>
    <n v="289.33999999999997"/>
    <n v="0.15"/>
    <n v="173.6"/>
    <n v="1157.3599999999999"/>
    <n v="983.76"/>
    <n v="87.48"/>
    <n v="645.16999999999996"/>
    <n v="251.11"/>
    <n v="0.25530000000000003"/>
    <n v="3"/>
    <s v="On Time"/>
    <s v="No"/>
    <m/>
    <n v="4"/>
    <n v="0"/>
    <s v="Yes"/>
    <s v="Prime Deal"/>
    <n v="840.44"/>
    <n v="1.1705000000000001"/>
    <n v="494"/>
    <s v="In Stock"/>
  </r>
  <r>
    <s v="AMZ26-00500"/>
    <d v="2026-12-10T00:00:00"/>
    <x v="11"/>
    <s v="Q4"/>
    <n v="2026"/>
    <s v="CUST-3928"/>
    <s v="Vihaan Rao"/>
    <s v="Small Business"/>
    <s v="India"/>
    <s v="Telangana"/>
    <s v="Hyderabad"/>
    <x v="1"/>
    <s v="Amazon App"/>
    <s v="Desktop"/>
    <x v="4"/>
    <s v="Home Decor"/>
    <s v="Wall Clock"/>
    <s v="Ajanta"/>
    <s v="HOM-HOM-89103"/>
    <s v="FBA"/>
    <x v="4"/>
    <x v="0"/>
    <n v="5"/>
    <n v="6041.61"/>
    <n v="0.2"/>
    <n v="6041.61"/>
    <n v="30208.05"/>
    <n v="24166.44"/>
    <n v="171.68"/>
    <n v="12530.34"/>
    <n v="11464.42"/>
    <n v="0.47439999999999999"/>
    <n v="8"/>
    <s v="Delayed"/>
    <s v="No"/>
    <m/>
    <n v="3"/>
    <n v="1"/>
    <s v="Yes"/>
    <s v="Amazon Coupon"/>
    <n v="22770.66"/>
    <n v="1.0612999999999999"/>
    <n v="467"/>
    <s v="In Stock"/>
  </r>
  <r>
    <s v="AMZ26-00501"/>
    <d v="2026-06-11T00:00:00"/>
    <x v="5"/>
    <s v="Q2"/>
    <n v="2026"/>
    <s v="CUST-4737"/>
    <s v="Rahul Shetty"/>
    <s v="Small Business"/>
    <s v="India"/>
    <s v="Uttar Pradesh"/>
    <s v="Noida"/>
    <x v="0"/>
    <s v="Amazon App"/>
    <s v="Android"/>
    <x v="4"/>
    <s v="Kitchen Appliances"/>
    <s v="Electric Kettle"/>
    <s v="Pigeon"/>
    <s v="HOM-KIT-72207"/>
    <s v="FBA"/>
    <x v="0"/>
    <x v="0"/>
    <n v="1"/>
    <n v="9485.83"/>
    <n v="0.25"/>
    <n v="2371.46"/>
    <n v="9485.83"/>
    <n v="7114.37"/>
    <n v="116.53"/>
    <n v="3890.23"/>
    <n v="3107.61"/>
    <n v="0.43680000000000002"/>
    <n v="5"/>
    <s v="Delayed"/>
    <s v="No"/>
    <m/>
    <n v="5"/>
    <n v="3"/>
    <s v="Yes"/>
    <s v="Festival Sale"/>
    <n v="6172.05"/>
    <n v="1.1527000000000001"/>
    <n v="274"/>
    <s v="In Stock"/>
  </r>
  <r>
    <s v="AMZ26-00502"/>
    <d v="2026-04-06T00:00:00"/>
    <x v="9"/>
    <s v="Q2"/>
    <n v="2026"/>
    <s v="CUST-1499"/>
    <s v="Arjun Gupta"/>
    <s v="Small Business"/>
    <s v="India"/>
    <s v="Karnataka"/>
    <s v="Mysuru"/>
    <x v="1"/>
    <s v="Amazon Website"/>
    <s v="iOS"/>
    <x v="4"/>
    <s v="Kitchen Appliances"/>
    <s v="Air Fryer"/>
    <s v="Philips"/>
    <s v="HOM-KIT-37634"/>
    <s v="FBM"/>
    <x v="1"/>
    <x v="0"/>
    <n v="4"/>
    <n v="8557.6"/>
    <n v="0"/>
    <n v="0"/>
    <n v="34230.400000000001"/>
    <n v="34230.400000000001"/>
    <n v="164.26"/>
    <n v="26038.15"/>
    <n v="8027.99"/>
    <n v="0.23449999999999999"/>
    <n v="7"/>
    <s v="Delayed"/>
    <s v="Yes"/>
    <s v="Damaged Product"/>
    <n v="5"/>
    <n v="4"/>
    <s v="Yes"/>
    <s v="None"/>
    <n v="30738.55"/>
    <n v="1.1135999999999999"/>
    <n v="51"/>
    <s v="In Stock"/>
  </r>
  <r>
    <s v="AMZ26-00503"/>
    <d v="2026-08-17T00:00:00"/>
    <x v="4"/>
    <s v="Q3"/>
    <n v="2026"/>
    <s v="CUST-2600"/>
    <s v="Aditi Jain"/>
    <s v="Small Business"/>
    <s v="India"/>
    <s v="Telangana"/>
    <s v="Hyderabad"/>
    <x v="1"/>
    <s v="Amazon App"/>
    <s v="Android"/>
    <x v="1"/>
    <s v="Accessories"/>
    <s v="Wireless Mouse"/>
    <s v="Logitech"/>
    <s v="ELE-ACC-66859"/>
    <s v="FBM"/>
    <x v="0"/>
    <x v="0"/>
    <n v="5"/>
    <n v="38000.870000000003"/>
    <n v="0.2"/>
    <n v="38000.870000000003"/>
    <n v="190004.35"/>
    <n v="152003.48000000001"/>
    <n v="42.54"/>
    <n v="106575.11"/>
    <n v="45385.83"/>
    <n v="0.29859999999999998"/>
    <n v="1"/>
    <s v="On Time"/>
    <s v="Yes"/>
    <s v="Size/Fit Issue"/>
    <n v="4"/>
    <n v="4"/>
    <s v="Yes"/>
    <s v="None"/>
    <n v="131994.75"/>
    <n v="1.1516"/>
    <n v="222"/>
    <s v="In Stock"/>
  </r>
  <r>
    <s v="AMZ26-00504"/>
    <d v="2026-11-29T00:00:00"/>
    <x v="6"/>
    <s v="Q4"/>
    <n v="2026"/>
    <s v="CUST-1454"/>
    <s v="Aditi Nair"/>
    <s v="Small Business"/>
    <s v="India"/>
    <s v="Maharashtra"/>
    <s v="Pune"/>
    <x v="3"/>
    <s v="Amazon App"/>
    <s v="Android"/>
    <x v="3"/>
    <s v="Beverages"/>
    <s v="Coffee"/>
    <s v="Nescafe"/>
    <s v="GRO-BEV-51804"/>
    <s v="FBM"/>
    <x v="3"/>
    <x v="0"/>
    <n v="5"/>
    <n v="250.55"/>
    <n v="0.05"/>
    <n v="62.64"/>
    <n v="1252.75"/>
    <n v="1190.1099999999999"/>
    <n v="41.35"/>
    <n v="813.71"/>
    <n v="335.05"/>
    <n v="0.28149999999999997"/>
    <n v="7"/>
    <s v="Delayed"/>
    <s v="No"/>
    <m/>
    <n v="4"/>
    <n v="1"/>
    <s v="Yes"/>
    <s v="None"/>
    <n v="1235.95"/>
    <n v="0.96289999999999998"/>
    <n v="88"/>
    <s v="In Stock"/>
  </r>
  <r>
    <s v="AMZ26-00505"/>
    <d v="2026-11-20T00:00:00"/>
    <x v="6"/>
    <s v="Q4"/>
    <n v="2026"/>
    <s v="CUST-1080"/>
    <s v="Sai Singh"/>
    <s v="Corporate"/>
    <s v="India"/>
    <s v="Karnataka"/>
    <s v="Bengaluru"/>
    <x v="1"/>
    <s v="Amazon Website"/>
    <s v="iOS"/>
    <x v="4"/>
    <s v="Home Decor"/>
    <s v="LED Lamp"/>
    <s v="Wipro"/>
    <s v="HOM-HOM-69466"/>
    <s v="FBA"/>
    <x v="1"/>
    <x v="0"/>
    <n v="3"/>
    <n v="4272.28"/>
    <n v="0.25"/>
    <n v="3204.21"/>
    <n v="12816.84"/>
    <n v="9612.6299999999992"/>
    <n v="122.26"/>
    <n v="6272.05"/>
    <n v="3218.32"/>
    <n v="0.33479999999999999"/>
    <n v="6"/>
    <s v="Delayed"/>
    <s v="No"/>
    <m/>
    <n v="4"/>
    <n v="4"/>
    <s v="Yes"/>
    <s v="Bank Offer"/>
    <n v="10000.209999999999"/>
    <n v="0.96120000000000005"/>
    <n v="310"/>
    <s v="In Stock"/>
  </r>
  <r>
    <s v="AMZ26-00506"/>
    <d v="2026-06-25T00:00:00"/>
    <x v="5"/>
    <s v="Q2"/>
    <n v="2026"/>
    <s v="CUST-2044"/>
    <s v="Vihaan Sharma"/>
    <s v="Small Business"/>
    <s v="India"/>
    <s v="Tamil Nadu"/>
    <s v="Chennai"/>
    <x v="1"/>
    <s v="Amazon App"/>
    <s v="Tablet"/>
    <x v="1"/>
    <s v="Accessories"/>
    <s v="Wireless Mouse"/>
    <s v="Logitech"/>
    <s v="ELE-ACC-35307"/>
    <s v="FBM"/>
    <x v="2"/>
    <x v="1"/>
    <n v="2"/>
    <n v="20681.02"/>
    <n v="0"/>
    <n v="0"/>
    <n v="41362.04"/>
    <n v="41362.04"/>
    <n v="221.98"/>
    <n v="26289.93"/>
    <n v="14850.13"/>
    <n v="0.35899999999999999"/>
    <n v="0"/>
    <s v="Not Applicable"/>
    <s v="No"/>
    <m/>
    <m/>
    <n v="0"/>
    <s v="No"/>
    <s v="Bank Offer"/>
    <n v="40698.06"/>
    <n v="1.0163"/>
    <n v="342"/>
    <s v="In Stock"/>
  </r>
  <r>
    <s v="AMZ26-00507"/>
    <d v="2026-01-06T00:00:00"/>
    <x v="10"/>
    <s v="Q1"/>
    <n v="2026"/>
    <s v="CUST-2675"/>
    <s v="Sai Nair"/>
    <s v="Consumer"/>
    <s v="India"/>
    <s v="Uttar Pradesh"/>
    <s v="Noida"/>
    <x v="0"/>
    <s v="Amazon App"/>
    <s v="Tablet"/>
    <x v="1"/>
    <s v="Accessories"/>
    <s v="Wireless Mouse"/>
    <s v="Logitech"/>
    <s v="ELE-ACC-80213"/>
    <s v="FBA"/>
    <x v="0"/>
    <x v="0"/>
    <n v="1"/>
    <n v="46125.07"/>
    <n v="0.2"/>
    <n v="9225.01"/>
    <n v="46125.07"/>
    <n v="36900.06"/>
    <n v="227.14"/>
    <n v="26634.07"/>
    <n v="10038.85"/>
    <n v="0.27210000000000001"/>
    <n v="3"/>
    <s v="On Time"/>
    <s v="No"/>
    <m/>
    <n v="4"/>
    <n v="4"/>
    <s v="Yes"/>
    <s v="Amazon Coupon"/>
    <n v="33429.269999999997"/>
    <n v="1.1037999999999999"/>
    <n v="139"/>
    <s v="In Stock"/>
  </r>
  <r>
    <s v="AMZ26-00508"/>
    <d v="2026-12-27T00:00:00"/>
    <x v="11"/>
    <s v="Q4"/>
    <n v="2026"/>
    <s v="CUST-2200"/>
    <s v="Sai Shetty"/>
    <s v="Consumer"/>
    <s v="India"/>
    <s v="Maharashtra"/>
    <s v="Pune"/>
    <x v="3"/>
    <s v="Amazon Website"/>
    <s v="Android"/>
    <x v="4"/>
    <s v="Home Decor"/>
    <s v="LED Lamp"/>
    <s v="Wipro"/>
    <s v="HOM-HOM-67565"/>
    <s v="FBA"/>
    <x v="4"/>
    <x v="1"/>
    <n v="2"/>
    <n v="6244.71"/>
    <n v="0.1"/>
    <n v="1248.94"/>
    <n v="12489.42"/>
    <n v="11240.48"/>
    <n v="233.68"/>
    <n v="6197.48"/>
    <n v="4809.32"/>
    <n v="0.4279"/>
    <n v="0"/>
    <s v="Not Applicable"/>
    <s v="No"/>
    <m/>
    <m/>
    <n v="0"/>
    <s v="No"/>
    <s v="Amazon Coupon"/>
    <n v="10341.75"/>
    <n v="1.0869"/>
    <n v="5"/>
    <s v="Low Stock"/>
  </r>
  <r>
    <s v="AMZ26-00509"/>
    <d v="2026-10-21T00:00:00"/>
    <x v="8"/>
    <s v="Q4"/>
    <n v="2026"/>
    <s v="CUST-2041"/>
    <s v="Pooja Gupta"/>
    <s v="Consumer"/>
    <s v="India"/>
    <s v="Bihar"/>
    <s v="Patna"/>
    <x v="2"/>
    <s v="Amazon Website"/>
    <s v="Tablet"/>
    <x v="3"/>
    <s v="Staples"/>
    <s v="Atta"/>
    <s v="Aashirvaad"/>
    <s v="GRO-STA-70011"/>
    <s v="FBM"/>
    <x v="5"/>
    <x v="0"/>
    <n v="5"/>
    <n v="153.25"/>
    <n v="0.15"/>
    <n v="114.94"/>
    <n v="766.25"/>
    <n v="651.30999999999995"/>
    <n v="142.33000000000001"/>
    <n v="450.41"/>
    <n v="58.57"/>
    <n v="8.9899999999999994E-2"/>
    <n v="4"/>
    <s v="On Time"/>
    <s v="No"/>
    <m/>
    <n v="5"/>
    <n v="2"/>
    <s v="No"/>
    <s v="Amazon Coupon"/>
    <n v="566.96"/>
    <n v="1.1488"/>
    <n v="192"/>
    <s v="In Stock"/>
  </r>
  <r>
    <s v="AMZ26-00510"/>
    <d v="2026-12-15T00:00:00"/>
    <x v="11"/>
    <s v="Q4"/>
    <n v="2026"/>
    <s v="CUST-1932"/>
    <s v="Sneha Singh"/>
    <s v="Corporate"/>
    <s v="India"/>
    <s v="Gujarat"/>
    <s v="Ahmedabad"/>
    <x v="3"/>
    <s v="Amazon Website"/>
    <s v="Android"/>
    <x v="1"/>
    <s v="Laptops"/>
    <s v="IdeaPad"/>
    <s v="Lenovo"/>
    <s v="ELE-LAP-97225"/>
    <s v="FBA"/>
    <x v="5"/>
    <x v="0"/>
    <n v="4"/>
    <n v="27389.119999999999"/>
    <n v="0.2"/>
    <n v="21911.3"/>
    <n v="109556.48"/>
    <n v="87645.18"/>
    <n v="165.18"/>
    <n v="66972.100000000006"/>
    <n v="20507.900000000001"/>
    <n v="0.23400000000000001"/>
    <n v="6"/>
    <s v="Delayed"/>
    <s v="No"/>
    <m/>
    <n v="5"/>
    <n v="0"/>
    <s v="Yes"/>
    <s v="Festival Sale"/>
    <n v="75912.22"/>
    <n v="1.1546000000000001"/>
    <n v="233"/>
    <s v="In Stock"/>
  </r>
  <r>
    <s v="AMZ26-00511"/>
    <d v="2026-05-22T00:00:00"/>
    <x v="2"/>
    <s v="Q2"/>
    <n v="2026"/>
    <s v="CUST-4690"/>
    <s v="Vivek Gupta"/>
    <s v="Corporate"/>
    <s v="India"/>
    <s v="Gujarat"/>
    <s v="Ahmedabad"/>
    <x v="3"/>
    <s v="Amazon Website"/>
    <s v="iOS"/>
    <x v="4"/>
    <s v="Home Decor"/>
    <s v="Curtain Set"/>
    <s v="Home Centre"/>
    <s v="HOM-HOM-14109"/>
    <s v="FBA"/>
    <x v="3"/>
    <x v="0"/>
    <n v="5"/>
    <n v="11949.29"/>
    <n v="0.05"/>
    <n v="2987.32"/>
    <n v="59746.45"/>
    <n v="56759.13"/>
    <n v="190.13"/>
    <n v="31854.52"/>
    <n v="24714.48"/>
    <n v="0.43540000000000001"/>
    <n v="6"/>
    <s v="Delayed"/>
    <s v="No"/>
    <m/>
    <n v="5"/>
    <n v="1"/>
    <s v="Yes"/>
    <s v="Prime Deal"/>
    <n v="64015"/>
    <n v="0.88670000000000004"/>
    <n v="66"/>
    <s v="In Stock"/>
  </r>
  <r>
    <s v="AMZ26-00512"/>
    <d v="2026-03-24T00:00:00"/>
    <x v="0"/>
    <s v="Q1"/>
    <n v="2026"/>
    <s v="CUST-2556"/>
    <s v="Aditya Das"/>
    <s v="Consumer"/>
    <s v="India"/>
    <s v="Tamil Nadu"/>
    <s v="Chennai"/>
    <x v="1"/>
    <s v="Amazon Website"/>
    <s v="Desktop"/>
    <x v="4"/>
    <s v="Home Decor"/>
    <s v="Wall Clock"/>
    <s v="Ajanta"/>
    <s v="HOM-HOM-78324"/>
    <s v="FBA"/>
    <x v="1"/>
    <x v="2"/>
    <n v="5"/>
    <n v="11068.66"/>
    <n v="0.2"/>
    <n v="11068.66"/>
    <n v="55343.3"/>
    <n v="44274.64"/>
    <n v="5.38"/>
    <n v="30651.439999999999"/>
    <n v="13617.82"/>
    <n v="0.30759999999999998"/>
    <n v="5"/>
    <s v="In Transit"/>
    <s v="No"/>
    <m/>
    <m/>
    <n v="0"/>
    <s v="No"/>
    <s v="Lightning Deal"/>
    <n v="53393.91"/>
    <n v="0.82920000000000005"/>
    <n v="43"/>
    <s v="In Stock"/>
  </r>
  <r>
    <s v="AMZ26-00513"/>
    <d v="2026-09-24T00:00:00"/>
    <x v="1"/>
    <s v="Q3"/>
    <n v="2026"/>
    <s v="CUST-2722"/>
    <s v="Nikhil Rao"/>
    <s v="Small Business"/>
    <s v="India"/>
    <s v="West Bengal"/>
    <s v="Kolkata"/>
    <x v="2"/>
    <s v="Amazon Website"/>
    <s v="Android"/>
    <x v="4"/>
    <s v="Kitchen Appliances"/>
    <s v="Mixer Grinder"/>
    <s v="Prestige"/>
    <s v="HOM-KIT-44395"/>
    <s v="FBM"/>
    <x v="4"/>
    <x v="2"/>
    <n v="3"/>
    <n v="7580.52"/>
    <n v="0.3"/>
    <n v="6822.47"/>
    <n v="22741.56"/>
    <n v="15919.09"/>
    <n v="232.66"/>
    <n v="10734.49"/>
    <n v="4951.9399999999996"/>
    <n v="0.31109999999999999"/>
    <n v="7"/>
    <s v="In Transit"/>
    <s v="No"/>
    <m/>
    <m/>
    <n v="0"/>
    <s v="Yes"/>
    <s v="Festival Sale"/>
    <n v="16968.310000000001"/>
    <n v="0.93820000000000003"/>
    <n v="146"/>
    <s v="In Stock"/>
  </r>
  <r>
    <s v="AMZ26-00514"/>
    <d v="2026-03-02T00:00:00"/>
    <x v="0"/>
    <s v="Q1"/>
    <n v="2026"/>
    <s v="CUST-4799"/>
    <s v="Kavya Shetty"/>
    <s v="Corporate"/>
    <s v="India"/>
    <s v="Assam"/>
    <s v="Guwahati"/>
    <x v="2"/>
    <s v="Amazon Website"/>
    <s v="Desktop"/>
    <x v="0"/>
    <s v="Footwear"/>
    <s v="Casual Sneakers"/>
    <s v="Puma"/>
    <s v="FAS-FOO-32091"/>
    <s v="FBA"/>
    <x v="2"/>
    <x v="0"/>
    <n v="1"/>
    <n v="516.95000000000005"/>
    <n v="0.3"/>
    <n v="155.09"/>
    <n v="516.95000000000005"/>
    <n v="361.86"/>
    <n v="41.88"/>
    <n v="249.03"/>
    <n v="70.95"/>
    <n v="0.1961"/>
    <n v="6"/>
    <s v="Delayed"/>
    <s v="Yes"/>
    <s v="Quality Issue"/>
    <n v="4"/>
    <n v="3"/>
    <s v="No"/>
    <s v="None"/>
    <n v="339.61"/>
    <n v="1.0654999999999999"/>
    <n v="462"/>
    <s v="In Stock"/>
  </r>
  <r>
    <s v="AMZ26-00515"/>
    <d v="2026-06-19T00:00:00"/>
    <x v="5"/>
    <s v="Q2"/>
    <n v="2026"/>
    <s v="CUST-1012"/>
    <s v="Sai Yadav"/>
    <s v="Corporate"/>
    <s v="India"/>
    <s v="Delhi"/>
    <s v="New Delhi"/>
    <x v="0"/>
    <s v="Amazon Website"/>
    <s v="Tablet"/>
    <x v="2"/>
    <s v="Skin Care"/>
    <s v="Face Serum"/>
    <s v="Minimalist"/>
    <s v="BEA-SKI-54947"/>
    <s v="FBA"/>
    <x v="3"/>
    <x v="0"/>
    <n v="1"/>
    <n v="154.34"/>
    <n v="0.3"/>
    <n v="46.3"/>
    <n v="154.34"/>
    <n v="108.04"/>
    <n v="63.47"/>
    <n v="81.98"/>
    <n v="-37.409999999999997"/>
    <n v="-0.3463"/>
    <n v="3"/>
    <s v="On Time"/>
    <s v="Yes"/>
    <s v="Damaged Product"/>
    <n v="5"/>
    <n v="0"/>
    <s v="Yes"/>
    <s v="Prime Deal"/>
    <n v="115.63"/>
    <n v="0.93440000000000001"/>
    <n v="425"/>
    <s v="In Stock"/>
  </r>
  <r>
    <s v="AMZ26-00516"/>
    <d v="2026-08-21T00:00:00"/>
    <x v="4"/>
    <s v="Q3"/>
    <n v="2026"/>
    <s v="CUST-4197"/>
    <s v="Nandini Singh"/>
    <s v="Corporate"/>
    <s v="India"/>
    <s v="Odisha"/>
    <s v="Bhubaneswar"/>
    <x v="2"/>
    <s v="Amazon App"/>
    <s v="Android"/>
    <x v="4"/>
    <s v="Kitchen Appliances"/>
    <s v="Mixer Grinder"/>
    <s v="Prestige"/>
    <s v="HOM-KIT-48295"/>
    <s v="FBM"/>
    <x v="1"/>
    <x v="0"/>
    <n v="4"/>
    <n v="9501.92"/>
    <n v="0.25"/>
    <n v="9501.92"/>
    <n v="38007.68"/>
    <n v="28505.759999999998"/>
    <n v="185.77"/>
    <n v="20921.48"/>
    <n v="7398.51"/>
    <n v="0.25950000000000001"/>
    <n v="2"/>
    <s v="On Time"/>
    <s v="No"/>
    <m/>
    <n v="3"/>
    <n v="3"/>
    <s v="No"/>
    <s v="Prime Deal"/>
    <n v="25535.38"/>
    <n v="1.1163000000000001"/>
    <n v="277"/>
    <s v="In Stock"/>
  </r>
  <r>
    <s v="AMZ26-00517"/>
    <d v="2026-09-19T00:00:00"/>
    <x v="1"/>
    <s v="Q3"/>
    <n v="2026"/>
    <s v="CUST-3191"/>
    <s v="Vivek Shetty"/>
    <s v="Corporate"/>
    <s v="India"/>
    <s v="Maharashtra"/>
    <s v="Pune"/>
    <x v="3"/>
    <s v="Amazon Website"/>
    <s v="Tablet"/>
    <x v="2"/>
    <s v="Hair Care"/>
    <s v="Hair Mask"/>
    <s v="Tresemme"/>
    <s v="BEA-HAI-24411"/>
    <s v="FBM"/>
    <x v="5"/>
    <x v="1"/>
    <n v="3"/>
    <n v="839.85"/>
    <n v="0.2"/>
    <n v="503.91"/>
    <n v="2519.5500000000002"/>
    <n v="2015.64"/>
    <n v="50.82"/>
    <n v="978.93"/>
    <n v="985.89"/>
    <n v="0.48909999999999998"/>
    <n v="0"/>
    <s v="Not Applicable"/>
    <s v="No"/>
    <m/>
    <m/>
    <n v="0"/>
    <s v="Yes"/>
    <s v="None"/>
    <n v="1890.81"/>
    <n v="1.0660000000000001"/>
    <n v="167"/>
    <s v="In Stock"/>
  </r>
  <r>
    <s v="AMZ26-00518"/>
    <d v="2026-11-21T00:00:00"/>
    <x v="6"/>
    <s v="Q4"/>
    <n v="2026"/>
    <s v="CUST-4613"/>
    <s v="Nikhil Sharma"/>
    <s v="Small Business"/>
    <s v="India"/>
    <s v="Maharashtra"/>
    <s v="Mumbai"/>
    <x v="3"/>
    <s v="Amazon Website"/>
    <s v="Tablet"/>
    <x v="0"/>
    <s v="Men Clothing"/>
    <s v="Slim Jeans"/>
    <s v="Levi's"/>
    <s v="FAS-MEN-64748"/>
    <s v="FBM"/>
    <x v="3"/>
    <x v="0"/>
    <n v="3"/>
    <n v="3666.69"/>
    <n v="0"/>
    <n v="0"/>
    <n v="11000.07"/>
    <n v="11000.07"/>
    <n v="212.58"/>
    <n v="6851.61"/>
    <n v="3935.88"/>
    <n v="0.35780000000000001"/>
    <n v="7"/>
    <s v="Delayed"/>
    <s v="No"/>
    <m/>
    <n v="5"/>
    <n v="2"/>
    <s v="Yes"/>
    <s v="Lightning Deal"/>
    <n v="10177.370000000001"/>
    <n v="1.0808"/>
    <n v="256"/>
    <s v="In Stock"/>
  </r>
  <r>
    <s v="AMZ26-00519"/>
    <d v="2026-05-21T00:00:00"/>
    <x v="2"/>
    <s v="Q2"/>
    <n v="2026"/>
    <s v="CUST-4069"/>
    <s v="Arjun Kumar"/>
    <s v="Small Business"/>
    <s v="India"/>
    <s v="Karnataka"/>
    <s v="Mysuru"/>
    <x v="1"/>
    <s v="Amazon Website"/>
    <s v="Android"/>
    <x v="3"/>
    <s v="Staples"/>
    <s v="Basmati Rice"/>
    <s v="India Gate"/>
    <s v="GRO-STA-48155"/>
    <s v="FBA"/>
    <x v="2"/>
    <x v="2"/>
    <n v="1"/>
    <n v="1310.26"/>
    <n v="0.2"/>
    <n v="262.05"/>
    <n v="1310.26"/>
    <n v="1048.21"/>
    <n v="140.79"/>
    <n v="552.34"/>
    <n v="355.08"/>
    <n v="0.3387"/>
    <n v="5"/>
    <s v="In Transit"/>
    <s v="No"/>
    <m/>
    <m/>
    <n v="0"/>
    <s v="Yes"/>
    <s v="None"/>
    <n v="955.7"/>
    <n v="1.0968"/>
    <n v="164"/>
    <s v="In Stock"/>
  </r>
  <r>
    <s v="AMZ26-00520"/>
    <d v="2026-01-10T00:00:00"/>
    <x v="10"/>
    <s v="Q1"/>
    <n v="2026"/>
    <s v="CUST-1479"/>
    <s v="Sai Shetty"/>
    <s v="Small Business"/>
    <s v="India"/>
    <s v="Punjab"/>
    <s v="Ludhiana"/>
    <x v="0"/>
    <s v="Amazon Website"/>
    <s v="Android"/>
    <x v="3"/>
    <s v="Staples"/>
    <s v="Atta"/>
    <s v="Aashirvaad"/>
    <s v="GRO-STA-19201"/>
    <s v="FBA"/>
    <x v="4"/>
    <x v="0"/>
    <n v="3"/>
    <n v="663.09"/>
    <n v="0.25"/>
    <n v="497.32"/>
    <n v="1989.27"/>
    <n v="1491.95"/>
    <n v="98.76"/>
    <n v="1066.48"/>
    <n v="326.70999999999998"/>
    <n v="0.219"/>
    <n v="4"/>
    <s v="On Time"/>
    <s v="No"/>
    <m/>
    <n v="4"/>
    <n v="0"/>
    <s v="Yes"/>
    <s v="Lightning Deal"/>
    <n v="1750.21"/>
    <n v="0.85240000000000005"/>
    <n v="437"/>
    <s v="In Stock"/>
  </r>
  <r>
    <s v="AMZ26-00521"/>
    <d v="2026-01-12T00:00:00"/>
    <x v="10"/>
    <s v="Q1"/>
    <n v="2026"/>
    <s v="CUST-3843"/>
    <s v="Ananya Reddy"/>
    <s v="Small Business"/>
    <s v="India"/>
    <s v="Rajasthan"/>
    <s v="Jaipur"/>
    <x v="3"/>
    <s v="Amazon App"/>
    <s v="iOS"/>
    <x v="1"/>
    <s v="Mobiles"/>
    <s v="Galaxy A Series"/>
    <s v="Samsung"/>
    <s v="ELE-MOB-19572"/>
    <s v="FBM"/>
    <x v="2"/>
    <x v="0"/>
    <n v="4"/>
    <n v="528.66"/>
    <n v="0.15"/>
    <n v="317.2"/>
    <n v="2114.64"/>
    <n v="1797.44"/>
    <n v="235.63"/>
    <n v="965.87"/>
    <n v="595.94000000000005"/>
    <n v="0.33150000000000002"/>
    <n v="3"/>
    <s v="On Time"/>
    <s v="No"/>
    <m/>
    <n v="4"/>
    <n v="2"/>
    <s v="No"/>
    <s v="Bank Offer"/>
    <n v="1826.62"/>
    <n v="0.98399999999999999"/>
    <n v="386"/>
    <s v="In Stock"/>
  </r>
  <r>
    <s v="AMZ26-00522"/>
    <d v="2026-10-08T00:00:00"/>
    <x v="8"/>
    <s v="Q4"/>
    <n v="2026"/>
    <s v="CUST-1825"/>
    <s v="Ananya Joshi"/>
    <s v="Corporate"/>
    <s v="India"/>
    <s v="Maharashtra"/>
    <s v="Pune"/>
    <x v="3"/>
    <s v="Amazon App"/>
    <s v="Desktop"/>
    <x v="1"/>
    <s v="Mobiles"/>
    <s v="Galaxy A Series"/>
    <s v="Samsung"/>
    <s v="ELE-MOB-26818"/>
    <s v="FBA"/>
    <x v="5"/>
    <x v="0"/>
    <n v="2"/>
    <n v="9601.68"/>
    <n v="0.05"/>
    <n v="960.17"/>
    <n v="19203.36"/>
    <n v="18243.189999999999"/>
    <n v="74.180000000000007"/>
    <n v="13128.64"/>
    <n v="5040.37"/>
    <n v="0.27629999999999999"/>
    <n v="5"/>
    <s v="Delayed"/>
    <s v="No"/>
    <m/>
    <n v="4"/>
    <n v="3"/>
    <s v="Yes"/>
    <s v="Amazon Coupon"/>
    <n v="18462.060000000001"/>
    <n v="0.98809999999999998"/>
    <n v="444"/>
    <s v="In Stock"/>
  </r>
  <r>
    <s v="AMZ26-00523"/>
    <d v="2026-09-18T00:00:00"/>
    <x v="1"/>
    <s v="Q3"/>
    <n v="2026"/>
    <s v="CUST-1661"/>
    <s v="Aditi Joshi"/>
    <s v="Corporate"/>
    <s v="India"/>
    <s v="Rajasthan"/>
    <s v="Jaipur"/>
    <x v="3"/>
    <s v="Amazon Website"/>
    <s v="Desktop"/>
    <x v="0"/>
    <s v="Women Clothing"/>
    <s v="Printed Kurti"/>
    <s v="BIBA"/>
    <s v="FAS-WOM-79308"/>
    <s v="FBM"/>
    <x v="3"/>
    <x v="0"/>
    <n v="5"/>
    <n v="2754"/>
    <n v="0.05"/>
    <n v="688.5"/>
    <n v="13770"/>
    <n v="13081.5"/>
    <n v="173.74"/>
    <n v="8336.36"/>
    <n v="4571.3999999999996"/>
    <n v="0.34949999999999998"/>
    <n v="3"/>
    <s v="On Time"/>
    <s v="No"/>
    <m/>
    <n v="4"/>
    <n v="0"/>
    <s v="Yes"/>
    <s v="Festival Sale"/>
    <n v="13313.18"/>
    <n v="0.98260000000000003"/>
    <n v="260"/>
    <s v="In Stock"/>
  </r>
  <r>
    <s v="AMZ26-00524"/>
    <d v="2026-02-23T00:00:00"/>
    <x v="7"/>
    <s v="Q1"/>
    <n v="2026"/>
    <s v="CUST-2323"/>
    <s v="Rohan Kumar"/>
    <s v="Corporate"/>
    <s v="India"/>
    <s v="Haryana"/>
    <s v="Gurugram"/>
    <x v="0"/>
    <s v="Amazon App"/>
    <s v="iOS"/>
    <x v="4"/>
    <s v="Home Decor"/>
    <s v="Curtain Set"/>
    <s v="Home Centre"/>
    <s v="HOM-HOM-38209"/>
    <s v="FBA"/>
    <x v="0"/>
    <x v="0"/>
    <n v="2"/>
    <n v="5967.4"/>
    <n v="0.1"/>
    <n v="1193.48"/>
    <n v="11934.8"/>
    <n v="10741.32"/>
    <n v="114.61"/>
    <n v="7380.56"/>
    <n v="3246.15"/>
    <n v="0.30220000000000002"/>
    <n v="6"/>
    <s v="Delayed"/>
    <s v="No"/>
    <m/>
    <n v="5"/>
    <n v="0"/>
    <s v="No"/>
    <s v="Lightning Deal"/>
    <n v="9660.48"/>
    <n v="1.1119000000000001"/>
    <n v="274"/>
    <s v="In Stock"/>
  </r>
  <r>
    <s v="AMZ26-00525"/>
    <d v="2026-12-29T00:00:00"/>
    <x v="11"/>
    <s v="Q4"/>
    <n v="2026"/>
    <s v="CUST-1650"/>
    <s v="Vivek Kumar"/>
    <s v="Corporate"/>
    <s v="India"/>
    <s v="Bihar"/>
    <s v="Patna"/>
    <x v="2"/>
    <s v="Amazon App"/>
    <s v="Tablet"/>
    <x v="1"/>
    <s v="Accessories"/>
    <s v="USB-C Hub"/>
    <s v="Portronics"/>
    <s v="ELE-ACC-69118"/>
    <s v="FBM"/>
    <x v="5"/>
    <x v="1"/>
    <n v="4"/>
    <n v="8344.4699999999993"/>
    <n v="0.25"/>
    <n v="8344.4699999999993"/>
    <n v="33377.879999999997"/>
    <n v="25033.41"/>
    <n v="71.239999999999995"/>
    <n v="13317.99"/>
    <n v="11644.18"/>
    <n v="0.46510000000000001"/>
    <n v="0"/>
    <s v="Not Applicable"/>
    <s v="No"/>
    <m/>
    <m/>
    <n v="0"/>
    <s v="Yes"/>
    <s v="Festival Sale"/>
    <n v="28751.31"/>
    <n v="0.87070000000000003"/>
    <n v="1"/>
    <s v="Low Stock"/>
  </r>
  <r>
    <s v="AMZ26-00526"/>
    <d v="2026-07-28T00:00:00"/>
    <x v="3"/>
    <s v="Q3"/>
    <n v="2026"/>
    <s v="CUST-3635"/>
    <s v="Vivek Rao"/>
    <s v="Consumer"/>
    <s v="India"/>
    <s v="Uttar Pradesh"/>
    <s v="Noida"/>
    <x v="0"/>
    <s v="Amazon App"/>
    <s v="Desktop"/>
    <x v="2"/>
    <s v="Hair Care"/>
    <s v="Shampoo"/>
    <s v="Dove"/>
    <s v="BEA-HAI-66254"/>
    <s v="FBA"/>
    <x v="4"/>
    <x v="0"/>
    <n v="3"/>
    <n v="276.27999999999997"/>
    <n v="0"/>
    <n v="0"/>
    <n v="828.84"/>
    <n v="828.84"/>
    <n v="233.72"/>
    <n v="606.67999999999995"/>
    <n v="-11.56"/>
    <n v="-1.3899999999999999E-2"/>
    <n v="8"/>
    <s v="Delayed"/>
    <s v="No"/>
    <m/>
    <n v="4"/>
    <n v="3"/>
    <s v="Yes"/>
    <s v="Lightning Deal"/>
    <n v="828"/>
    <n v="1.0009999999999999"/>
    <n v="67"/>
    <s v="In Stock"/>
  </r>
  <r>
    <s v="AMZ26-00527"/>
    <d v="2026-09-11T00:00:00"/>
    <x v="1"/>
    <s v="Q3"/>
    <n v="2026"/>
    <s v="CUST-2854"/>
    <s v="Sai Kumar"/>
    <s v="Corporate"/>
    <s v="India"/>
    <s v="West Bengal"/>
    <s v="Kolkata"/>
    <x v="2"/>
    <s v="Amazon Website"/>
    <s v="iOS"/>
    <x v="3"/>
    <s v="Beverages"/>
    <s v="Coffee"/>
    <s v="Nescafe"/>
    <s v="GRO-BEV-70793"/>
    <s v="FBM"/>
    <x v="4"/>
    <x v="0"/>
    <n v="4"/>
    <n v="831.28"/>
    <n v="0.2"/>
    <n v="665.02"/>
    <n v="3325.12"/>
    <n v="2660.1"/>
    <n v="223.62"/>
    <n v="1638.17"/>
    <n v="798.31"/>
    <n v="0.30009999999999998"/>
    <n v="4"/>
    <s v="On Time"/>
    <s v="No"/>
    <m/>
    <n v="5"/>
    <n v="2"/>
    <s v="Yes"/>
    <s v="Lightning Deal"/>
    <n v="3008.76"/>
    <n v="0.8841"/>
    <n v="105"/>
    <s v="In Stock"/>
  </r>
  <r>
    <s v="AMZ26-00528"/>
    <d v="2026-06-13T00:00:00"/>
    <x v="5"/>
    <s v="Q2"/>
    <n v="2026"/>
    <s v="CUST-3493"/>
    <s v="Ananya Yadav"/>
    <s v="Consumer"/>
    <s v="India"/>
    <s v="Tamil Nadu"/>
    <s v="Chennai"/>
    <x v="1"/>
    <s v="Amazon Website"/>
    <s v="Desktop"/>
    <x v="2"/>
    <s v="Skin Care"/>
    <s v="Moisturizer"/>
    <s v="Cetaphil"/>
    <s v="BEA-SKI-13578"/>
    <s v="FBM"/>
    <x v="2"/>
    <x v="0"/>
    <n v="4"/>
    <n v="1146.0899999999999"/>
    <n v="0.25"/>
    <n v="1146.0899999999999"/>
    <n v="4584.3599999999997"/>
    <n v="3438.27"/>
    <n v="113.66"/>
    <n v="1895.24"/>
    <n v="1429.37"/>
    <n v="0.41570000000000001"/>
    <n v="4"/>
    <s v="On Time"/>
    <s v="No"/>
    <m/>
    <n v="5"/>
    <n v="0"/>
    <s v="Yes"/>
    <s v="Bank Offer"/>
    <n v="4179.83"/>
    <n v="0.8226"/>
    <n v="35"/>
    <s v="Low Stock"/>
  </r>
  <r>
    <s v="AMZ26-00529"/>
    <d v="2026-04-14T00:00:00"/>
    <x v="9"/>
    <s v="Q2"/>
    <n v="2026"/>
    <s v="CUST-2135"/>
    <s v="Aarav Patel"/>
    <s v="Consumer"/>
    <s v="India"/>
    <s v="Delhi"/>
    <s v="New Delhi"/>
    <x v="0"/>
    <s v="Amazon Website"/>
    <s v="Tablet"/>
    <x v="3"/>
    <s v="Beverages"/>
    <s v="Green Tea"/>
    <s v="Tata Tea"/>
    <s v="GRO-BEV-16026"/>
    <s v="FBA"/>
    <x v="2"/>
    <x v="0"/>
    <n v="1"/>
    <n v="441.45"/>
    <n v="0.1"/>
    <n v="44.15"/>
    <n v="441.45"/>
    <n v="397.3"/>
    <n v="205.47"/>
    <n v="252.83"/>
    <n v="-61"/>
    <n v="-0.1535"/>
    <n v="3"/>
    <s v="On Time"/>
    <s v="No"/>
    <m/>
    <n v="4"/>
    <n v="1"/>
    <s v="Yes"/>
    <s v="Lightning Deal"/>
    <n v="360.84"/>
    <n v="1.101"/>
    <n v="38"/>
    <s v="Low Stock"/>
  </r>
  <r>
    <s v="AMZ26-00530"/>
    <d v="2026-03-04T00:00:00"/>
    <x v="0"/>
    <s v="Q1"/>
    <n v="2026"/>
    <s v="CUST-3181"/>
    <s v="Vihaan Patel"/>
    <s v="Small Business"/>
    <s v="India"/>
    <s v="Kerala"/>
    <s v="Kochi"/>
    <x v="1"/>
    <s v="Amazon Website"/>
    <s v="Desktop"/>
    <x v="3"/>
    <s v="Snacks"/>
    <s v="Mixed Nuts"/>
    <s v="Happilo"/>
    <s v="GRO-SNA-10273"/>
    <s v="FBM"/>
    <x v="3"/>
    <x v="1"/>
    <n v="1"/>
    <n v="458.99"/>
    <n v="0.3"/>
    <n v="137.69999999999999"/>
    <n v="458.99"/>
    <n v="321.29000000000002"/>
    <n v="159.6"/>
    <n v="198.73"/>
    <n v="-37.04"/>
    <n v="-0.1153"/>
    <n v="0"/>
    <s v="Not Applicable"/>
    <s v="No"/>
    <m/>
    <m/>
    <n v="0"/>
    <s v="Yes"/>
    <s v="Lightning Deal"/>
    <n v="330.32"/>
    <n v="0.97270000000000001"/>
    <n v="399"/>
    <s v="In Stock"/>
  </r>
  <r>
    <s v="AMZ26-00531"/>
    <d v="2026-04-08T00:00:00"/>
    <x v="9"/>
    <s v="Q2"/>
    <n v="2026"/>
    <s v="CUST-3960"/>
    <s v="Nandini Joshi"/>
    <s v="Small Business"/>
    <s v="India"/>
    <s v="Bihar"/>
    <s v="Patna"/>
    <x v="2"/>
    <s v="Amazon App"/>
    <s v="Tablet"/>
    <x v="1"/>
    <s v="Accessories"/>
    <s v="Wireless Mouse"/>
    <s v="Logitech"/>
    <s v="ELE-ACC-19305"/>
    <s v="FBM"/>
    <x v="3"/>
    <x v="0"/>
    <n v="5"/>
    <n v="34848.35"/>
    <n v="0.25"/>
    <n v="43560.44"/>
    <n v="174241.75"/>
    <n v="130681.31"/>
    <n v="120.83"/>
    <n v="90718.27"/>
    <n v="39842.21"/>
    <n v="0.3049"/>
    <n v="3"/>
    <s v="On Time"/>
    <s v="No"/>
    <m/>
    <n v="3"/>
    <n v="0"/>
    <s v="No"/>
    <s v="None"/>
    <n v="151314.26"/>
    <n v="0.86360000000000003"/>
    <n v="383"/>
    <s v="In Stock"/>
  </r>
  <r>
    <s v="AMZ26-00532"/>
    <d v="2026-09-05T00:00:00"/>
    <x v="1"/>
    <s v="Q3"/>
    <n v="2026"/>
    <s v="CUST-2902"/>
    <s v="Sai Verma"/>
    <s v="Consumer"/>
    <s v="India"/>
    <s v="Maharashtra"/>
    <s v="Mumbai"/>
    <x v="3"/>
    <s v="Amazon Website"/>
    <s v="Android"/>
    <x v="3"/>
    <s v="Beverages"/>
    <s v="Green Tea"/>
    <s v="Tata Tea"/>
    <s v="GRO-BEV-30260"/>
    <s v="FBA"/>
    <x v="5"/>
    <x v="2"/>
    <n v="2"/>
    <n v="134.66999999999999"/>
    <n v="0.05"/>
    <n v="13.47"/>
    <n v="269.33999999999997"/>
    <n v="255.87"/>
    <n v="155.16999999999999"/>
    <n v="194.62"/>
    <n v="-93.92"/>
    <n v="-0.36709999999999998"/>
    <n v="8"/>
    <s v="In Transit"/>
    <s v="No"/>
    <m/>
    <m/>
    <n v="0"/>
    <s v="Yes"/>
    <s v="None"/>
    <n v="246.83"/>
    <n v="1.0366"/>
    <n v="268"/>
    <s v="In Stock"/>
  </r>
  <r>
    <s v="AMZ26-00533"/>
    <d v="2026-02-21T00:00:00"/>
    <x v="7"/>
    <s v="Q1"/>
    <n v="2026"/>
    <s v="CUST-4922"/>
    <s v="Meera Shetty"/>
    <s v="Consumer"/>
    <s v="India"/>
    <s v="Maharashtra"/>
    <s v="Mumbai"/>
    <x v="3"/>
    <s v="Amazon App"/>
    <s v="Android"/>
    <x v="1"/>
    <s v="Mobiles"/>
    <s v="Redmi Note"/>
    <s v="Xiaomi"/>
    <s v="ELE-MOB-28422"/>
    <s v="FBM"/>
    <x v="2"/>
    <x v="2"/>
    <n v="1"/>
    <n v="46780.27"/>
    <n v="0.25"/>
    <n v="11695.07"/>
    <n v="46780.27"/>
    <n v="35085.199999999997"/>
    <n v="136.84"/>
    <n v="21455.1"/>
    <n v="13493.26"/>
    <n v="0.3846"/>
    <n v="4"/>
    <s v="In Transit"/>
    <s v="No"/>
    <m/>
    <m/>
    <n v="0"/>
    <s v="Yes"/>
    <s v="Amazon Coupon"/>
    <n v="35242.370000000003"/>
    <n v="0.99550000000000005"/>
    <n v="404"/>
    <s v="In Stock"/>
  </r>
  <r>
    <s v="AMZ26-00534"/>
    <d v="2026-05-08T00:00:00"/>
    <x v="2"/>
    <s v="Q2"/>
    <n v="2026"/>
    <s v="CUST-1460"/>
    <s v="Meera Patel"/>
    <s v="Consumer"/>
    <s v="India"/>
    <s v="Maharashtra"/>
    <s v="Pune"/>
    <x v="3"/>
    <s v="Amazon App"/>
    <s v="Desktop"/>
    <x v="2"/>
    <s v="Hair Care"/>
    <s v="Hair Mask"/>
    <s v="Tresemme"/>
    <s v="BEA-HAI-65758"/>
    <s v="FBM"/>
    <x v="3"/>
    <x v="0"/>
    <n v="1"/>
    <n v="227.73"/>
    <n v="0.3"/>
    <n v="68.319999999999993"/>
    <n v="227.73"/>
    <n v="159.41"/>
    <n v="91.32"/>
    <n v="80.349999999999994"/>
    <n v="-12.26"/>
    <n v="-7.6899999999999996E-2"/>
    <n v="2"/>
    <s v="On Time"/>
    <s v="No"/>
    <m/>
    <n v="5"/>
    <n v="3"/>
    <s v="Yes"/>
    <s v="None"/>
    <n v="151.35"/>
    <n v="1.0532999999999999"/>
    <n v="76"/>
    <s v="In Stock"/>
  </r>
  <r>
    <s v="AMZ26-00535"/>
    <d v="2026-02-07T00:00:00"/>
    <x v="7"/>
    <s v="Q1"/>
    <n v="2026"/>
    <s v="CUST-1117"/>
    <s v="Aditya Reddy"/>
    <s v="Small Business"/>
    <s v="India"/>
    <s v="Odisha"/>
    <s v="Bhubaneswar"/>
    <x v="2"/>
    <s v="Amazon Website"/>
    <s v="Android"/>
    <x v="4"/>
    <s v="Home Decor"/>
    <s v="LED Lamp"/>
    <s v="Wipro"/>
    <s v="HOM-HOM-15206"/>
    <s v="FBA"/>
    <x v="2"/>
    <x v="1"/>
    <n v="2"/>
    <n v="4049.67"/>
    <n v="0.05"/>
    <n v="404.97"/>
    <n v="8099.34"/>
    <n v="7694.37"/>
    <n v="245.11"/>
    <n v="4589.04"/>
    <n v="2860.22"/>
    <n v="0.37169999999999997"/>
    <n v="0"/>
    <s v="Not Applicable"/>
    <s v="No"/>
    <m/>
    <m/>
    <n v="0"/>
    <s v="Yes"/>
    <s v="Amazon Coupon"/>
    <n v="7996.81"/>
    <n v="0.96220000000000006"/>
    <n v="27"/>
    <s v="Low Stock"/>
  </r>
  <r>
    <s v="AMZ26-00536"/>
    <d v="2026-11-12T00:00:00"/>
    <x v="6"/>
    <s v="Q4"/>
    <n v="2026"/>
    <s v="CUST-3884"/>
    <s v="Kavya Kumar"/>
    <s v="Corporate"/>
    <s v="India"/>
    <s v="Punjab"/>
    <s v="Ludhiana"/>
    <x v="0"/>
    <s v="Amazon Website"/>
    <s v="iOS"/>
    <x v="2"/>
    <s v="Skin Care"/>
    <s v="Face Serum"/>
    <s v="Minimalist"/>
    <s v="BEA-SKI-98027"/>
    <s v="FBA"/>
    <x v="1"/>
    <x v="0"/>
    <n v="1"/>
    <n v="270.89"/>
    <n v="0.1"/>
    <n v="27.09"/>
    <n v="270.89"/>
    <n v="243.8"/>
    <n v="0.87"/>
    <n v="135.88999999999999"/>
    <n v="107.04"/>
    <n v="0.439"/>
    <n v="7"/>
    <s v="Delayed"/>
    <s v="No"/>
    <m/>
    <n v="4"/>
    <n v="2"/>
    <s v="Yes"/>
    <s v="Festival Sale"/>
    <n v="304.42"/>
    <n v="0.80089999999999995"/>
    <n v="175"/>
    <s v="In Stock"/>
  </r>
  <r>
    <s v="AMZ26-00537"/>
    <d v="2026-04-29T00:00:00"/>
    <x v="9"/>
    <s v="Q2"/>
    <n v="2026"/>
    <s v="CUST-1550"/>
    <s v="Isha Joshi"/>
    <s v="Corporate"/>
    <s v="India"/>
    <s v="Karnataka"/>
    <s v="Mysuru"/>
    <x v="1"/>
    <s v="Amazon App"/>
    <s v="Tablet"/>
    <x v="2"/>
    <s v="Makeup"/>
    <s v="Lipstick"/>
    <s v="Maybelline"/>
    <s v="BEA-MAK-33813"/>
    <s v="FBM"/>
    <x v="0"/>
    <x v="0"/>
    <n v="5"/>
    <n v="152"/>
    <n v="0.2"/>
    <n v="152"/>
    <n v="760"/>
    <n v="608"/>
    <n v="94.45"/>
    <n v="419.2"/>
    <n v="94.35"/>
    <n v="0.1552"/>
    <n v="6"/>
    <s v="Delayed"/>
    <s v="No"/>
    <m/>
    <n v="5"/>
    <n v="0"/>
    <s v="Yes"/>
    <s v="Prime Deal"/>
    <n v="746.78"/>
    <n v="0.81420000000000003"/>
    <n v="183"/>
    <s v="In Stock"/>
  </r>
  <r>
    <s v="AMZ26-00538"/>
    <d v="2026-11-04T00:00:00"/>
    <x v="6"/>
    <s v="Q4"/>
    <n v="2026"/>
    <s v="CUST-2836"/>
    <s v="Kavya Rao"/>
    <s v="Corporate"/>
    <s v="India"/>
    <s v="Assam"/>
    <s v="Guwahati"/>
    <x v="2"/>
    <s v="Amazon App"/>
    <s v="Tablet"/>
    <x v="4"/>
    <s v="Kitchen Appliances"/>
    <s v="Mixer Grinder"/>
    <s v="Prestige"/>
    <s v="HOM-KIT-51979"/>
    <s v="FBM"/>
    <x v="0"/>
    <x v="0"/>
    <n v="5"/>
    <n v="4668.34"/>
    <n v="0.3"/>
    <n v="7002.51"/>
    <n v="23341.7"/>
    <n v="16339.19"/>
    <n v="217.88"/>
    <n v="8556.9699999999993"/>
    <n v="7564.34"/>
    <n v="0.46300000000000002"/>
    <n v="6"/>
    <s v="Delayed"/>
    <s v="No"/>
    <m/>
    <n v="4"/>
    <n v="2"/>
    <s v="Yes"/>
    <s v="Bank Offer"/>
    <n v="16589.330000000002"/>
    <n v="0.9849"/>
    <n v="157"/>
    <s v="In Stock"/>
  </r>
  <r>
    <s v="AMZ26-00539"/>
    <d v="2026-04-02T00:00:00"/>
    <x v="9"/>
    <s v="Q2"/>
    <n v="2026"/>
    <s v="CUST-3650"/>
    <s v="Arjun Jain"/>
    <s v="Consumer"/>
    <s v="India"/>
    <s v="Maharashtra"/>
    <s v="Mumbai"/>
    <x v="3"/>
    <s v="Amazon App"/>
    <s v="iOS"/>
    <x v="0"/>
    <s v="Footwear"/>
    <s v="Running Shoes"/>
    <s v="Adidas"/>
    <s v="FAS-FOO-72343"/>
    <s v="FBA"/>
    <x v="4"/>
    <x v="0"/>
    <n v="2"/>
    <n v="709.39"/>
    <n v="0.2"/>
    <n v="283.76"/>
    <n v="1418.78"/>
    <n v="1135.02"/>
    <n v="218.24"/>
    <n v="779.67"/>
    <n v="137.11000000000001"/>
    <n v="0.1208"/>
    <n v="6"/>
    <s v="Delayed"/>
    <s v="No"/>
    <m/>
    <n v="3"/>
    <n v="4"/>
    <s v="Yes"/>
    <s v="Amazon Coupon"/>
    <n v="1086.1400000000001"/>
    <n v="1.0449999999999999"/>
    <n v="143"/>
    <s v="In Stock"/>
  </r>
  <r>
    <s v="AMZ26-00540"/>
    <d v="2026-02-19T00:00:00"/>
    <x v="7"/>
    <s v="Q1"/>
    <n v="2026"/>
    <s v="CUST-2764"/>
    <s v="Isha Singh"/>
    <s v="Consumer"/>
    <s v="India"/>
    <s v="Odisha"/>
    <s v="Bhubaneswar"/>
    <x v="2"/>
    <s v="Amazon App"/>
    <s v="Android"/>
    <x v="0"/>
    <s v="Men Clothing"/>
    <s v="Casual T-Shirt"/>
    <s v="Puma"/>
    <s v="FAS-MEN-26287"/>
    <s v="FBM"/>
    <x v="0"/>
    <x v="1"/>
    <n v="4"/>
    <n v="391.67"/>
    <n v="0.15"/>
    <n v="235"/>
    <n v="1566.68"/>
    <n v="1331.68"/>
    <n v="228.37"/>
    <n v="688.87"/>
    <n v="414.44"/>
    <n v="0.31119999999999998"/>
    <n v="0"/>
    <s v="Not Applicable"/>
    <s v="No"/>
    <m/>
    <m/>
    <n v="0"/>
    <s v="Yes"/>
    <s v="Prime Deal"/>
    <n v="1551.05"/>
    <n v="0.85860000000000003"/>
    <n v="51"/>
    <s v="In Stock"/>
  </r>
  <r>
    <s v="AMZ26-00541"/>
    <d v="2026-03-12T00:00:00"/>
    <x v="0"/>
    <s v="Q1"/>
    <n v="2026"/>
    <s v="CUST-4462"/>
    <s v="Aditya Joshi"/>
    <s v="Corporate"/>
    <s v="India"/>
    <s v="Maharashtra"/>
    <s v="Pune"/>
    <x v="3"/>
    <s v="Amazon Website"/>
    <s v="Tablet"/>
    <x v="0"/>
    <s v="Women Clothing"/>
    <s v="Casual Top"/>
    <s v="ONLY"/>
    <s v="FAS-WOM-35649"/>
    <s v="FBM"/>
    <x v="1"/>
    <x v="0"/>
    <n v="1"/>
    <n v="357.42"/>
    <n v="0.25"/>
    <n v="89.36"/>
    <n v="357.42"/>
    <n v="268.06"/>
    <n v="15.61"/>
    <n v="183.78"/>
    <n v="68.67"/>
    <n v="0.25619999999999998"/>
    <n v="2"/>
    <s v="On Time"/>
    <s v="No"/>
    <m/>
    <n v="5"/>
    <n v="3"/>
    <s v="Yes"/>
    <s v="Bank Offer"/>
    <n v="314.61"/>
    <n v="0.85199999999999998"/>
    <n v="182"/>
    <s v="In Stock"/>
  </r>
  <r>
    <s v="AMZ26-00542"/>
    <d v="2026-12-14T00:00:00"/>
    <x v="11"/>
    <s v="Q4"/>
    <n v="2026"/>
    <s v="CUST-2892"/>
    <s v="Rahul Patel"/>
    <s v="Corporate"/>
    <s v="India"/>
    <s v="Telangana"/>
    <s v="Hyderabad"/>
    <x v="1"/>
    <s v="Amazon Website"/>
    <s v="Android"/>
    <x v="2"/>
    <s v="Skin Care"/>
    <s v="Face Serum"/>
    <s v="Minimalist"/>
    <s v="BEA-SKI-79635"/>
    <s v="FBM"/>
    <x v="3"/>
    <x v="0"/>
    <n v="2"/>
    <n v="426.05"/>
    <n v="0.15"/>
    <n v="127.81"/>
    <n v="852.1"/>
    <n v="724.29"/>
    <n v="164.29"/>
    <n v="509.24"/>
    <n v="50.76"/>
    <n v="7.0099999999999996E-2"/>
    <n v="1"/>
    <s v="On Time"/>
    <s v="No"/>
    <m/>
    <n v="5"/>
    <n v="4"/>
    <s v="Yes"/>
    <s v="Bank Offer"/>
    <n v="779.38"/>
    <n v="0.92930000000000001"/>
    <n v="252"/>
    <s v="In Stock"/>
  </r>
  <r>
    <s v="AMZ26-00543"/>
    <d v="2026-08-27T00:00:00"/>
    <x v="4"/>
    <s v="Q3"/>
    <n v="2026"/>
    <s v="CUST-1345"/>
    <s v="Pooja Nair"/>
    <s v="Corporate"/>
    <s v="India"/>
    <s v="Punjab"/>
    <s v="Ludhiana"/>
    <x v="0"/>
    <s v="Amazon Website"/>
    <s v="Tablet"/>
    <x v="2"/>
    <s v="Hair Care"/>
    <s v="Hair Mask"/>
    <s v="Tresemme"/>
    <s v="BEA-HAI-30671"/>
    <s v="FBA"/>
    <x v="3"/>
    <x v="0"/>
    <n v="1"/>
    <n v="916.82"/>
    <n v="0.1"/>
    <n v="91.68"/>
    <n v="916.82"/>
    <n v="825.14"/>
    <n v="52.81"/>
    <n v="627.69000000000005"/>
    <n v="144.63999999999999"/>
    <n v="0.17530000000000001"/>
    <n v="4"/>
    <s v="On Time"/>
    <s v="Yes"/>
    <s v="Late Delivery"/>
    <n v="5"/>
    <n v="4"/>
    <s v="No"/>
    <s v="None"/>
    <n v="1015.04"/>
    <n v="0.81289999999999996"/>
    <n v="47"/>
    <s v="In Stock"/>
  </r>
  <r>
    <s v="AMZ26-00544"/>
    <d v="2026-09-04T00:00:00"/>
    <x v="1"/>
    <s v="Q3"/>
    <n v="2026"/>
    <s v="CUST-4372"/>
    <s v="Diya Shetty"/>
    <s v="Small Business"/>
    <s v="India"/>
    <s v="West Bengal"/>
    <s v="Kolkata"/>
    <x v="2"/>
    <s v="Amazon Website"/>
    <s v="Desktop"/>
    <x v="3"/>
    <s v="Snacks"/>
    <s v="Cookies"/>
    <s v="Britannia"/>
    <s v="GRO-SNA-51950"/>
    <s v="FBA"/>
    <x v="4"/>
    <x v="0"/>
    <n v="4"/>
    <n v="1471.66"/>
    <n v="0.1"/>
    <n v="588.66"/>
    <n v="5886.64"/>
    <n v="5297.98"/>
    <n v="202.31"/>
    <n v="3891.03"/>
    <n v="1204.6400000000001"/>
    <n v="0.22739999999999999"/>
    <n v="6"/>
    <s v="Delayed"/>
    <s v="No"/>
    <m/>
    <n v="4"/>
    <n v="0"/>
    <s v="No"/>
    <s v="Lightning Deal"/>
    <n v="5397.95"/>
    <n v="0.98150000000000004"/>
    <n v="131"/>
    <s v="In Stock"/>
  </r>
  <r>
    <s v="AMZ26-00545"/>
    <d v="2026-08-29T00:00:00"/>
    <x v="4"/>
    <s v="Q3"/>
    <n v="2026"/>
    <s v="CUST-2178"/>
    <s v="Priya Gupta"/>
    <s v="Consumer"/>
    <s v="India"/>
    <s v="Bihar"/>
    <s v="Patna"/>
    <x v="2"/>
    <s v="Amazon Website"/>
    <s v="iOS"/>
    <x v="1"/>
    <s v="Accessories"/>
    <s v="Bluetooth Speaker"/>
    <s v="boAt"/>
    <s v="ELE-ACC-30787"/>
    <s v="FBA"/>
    <x v="2"/>
    <x v="2"/>
    <n v="2"/>
    <n v="26530.18"/>
    <n v="0.15"/>
    <n v="7959.05"/>
    <n v="53060.36"/>
    <n v="45101.31"/>
    <n v="4.63"/>
    <n v="32117.71"/>
    <n v="12978.97"/>
    <n v="0.2878"/>
    <n v="7"/>
    <s v="In Transit"/>
    <s v="No"/>
    <m/>
    <m/>
    <n v="0"/>
    <s v="Yes"/>
    <s v="Prime Deal"/>
    <n v="51158.49"/>
    <n v="0.88160000000000005"/>
    <n v="172"/>
    <s v="In Stock"/>
  </r>
  <r>
    <s v="AMZ26-00546"/>
    <d v="2026-12-03T00:00:00"/>
    <x v="11"/>
    <s v="Q4"/>
    <n v="2026"/>
    <s v="CUST-4806"/>
    <s v="Kavya Singh"/>
    <s v="Consumer"/>
    <s v="India"/>
    <s v="Telangana"/>
    <s v="Hyderabad"/>
    <x v="1"/>
    <s v="Amazon Website"/>
    <s v="iOS"/>
    <x v="3"/>
    <s v="Staples"/>
    <s v="Basmati Rice"/>
    <s v="India Gate"/>
    <s v="GRO-STA-34225"/>
    <s v="FBM"/>
    <x v="1"/>
    <x v="0"/>
    <n v="4"/>
    <n v="87.53"/>
    <n v="0.1"/>
    <n v="35.01"/>
    <n v="350.12"/>
    <n v="315.11"/>
    <n v="210.56"/>
    <n v="187.79"/>
    <n v="-83.24"/>
    <n v="-0.26419999999999999"/>
    <n v="4"/>
    <s v="On Time"/>
    <s v="No"/>
    <m/>
    <n v="4"/>
    <n v="4"/>
    <s v="Yes"/>
    <s v="Festival Sale"/>
    <n v="363.14"/>
    <n v="0.86770000000000003"/>
    <n v="113"/>
    <s v="In Stock"/>
  </r>
  <r>
    <s v="AMZ26-00547"/>
    <d v="2026-03-14T00:00:00"/>
    <x v="0"/>
    <s v="Q1"/>
    <n v="2026"/>
    <s v="CUST-2996"/>
    <s v="Rahul Reddy"/>
    <s v="Consumer"/>
    <s v="India"/>
    <s v="Gujarat"/>
    <s v="Ahmedabad"/>
    <x v="3"/>
    <s v="Amazon Website"/>
    <s v="Tablet"/>
    <x v="0"/>
    <s v="Men Clothing"/>
    <s v="Casual T-Shirt"/>
    <s v="Puma"/>
    <s v="FAS-MEN-28143"/>
    <s v="FBM"/>
    <x v="1"/>
    <x v="0"/>
    <n v="3"/>
    <n v="808.21"/>
    <n v="0"/>
    <n v="0"/>
    <n v="2424.63"/>
    <n v="2424.63"/>
    <n v="99.13"/>
    <n v="1644.55"/>
    <n v="680.95"/>
    <n v="0.28079999999999999"/>
    <n v="4"/>
    <s v="On Time"/>
    <s v="No"/>
    <m/>
    <n v="5"/>
    <n v="2"/>
    <s v="Yes"/>
    <s v="Prime Deal"/>
    <n v="2279.3200000000002"/>
    <n v="1.0638000000000001"/>
    <n v="135"/>
    <s v="In Stock"/>
  </r>
  <r>
    <s v="AMZ26-00548"/>
    <d v="2026-10-23T00:00:00"/>
    <x v="8"/>
    <s v="Q4"/>
    <n v="2026"/>
    <s v="CUST-4049"/>
    <s v="Aditya Das"/>
    <s v="Small Business"/>
    <s v="India"/>
    <s v="Telangana"/>
    <s v="Hyderabad"/>
    <x v="1"/>
    <s v="Amazon Website"/>
    <s v="Android"/>
    <x v="0"/>
    <s v="Men Clothing"/>
    <s v="Casual T-Shirt"/>
    <s v="Puma"/>
    <s v="FAS-MEN-25319"/>
    <s v="FBA"/>
    <x v="5"/>
    <x v="2"/>
    <n v="4"/>
    <n v="4316.8100000000004"/>
    <n v="0.1"/>
    <n v="1726.72"/>
    <n v="17267.240000000002"/>
    <n v="15540.52"/>
    <n v="9.83"/>
    <n v="11741.11"/>
    <n v="3789.58"/>
    <n v="0.24390000000000001"/>
    <n v="1"/>
    <s v="In Transit"/>
    <s v="No"/>
    <m/>
    <m/>
    <n v="0"/>
    <s v="Yes"/>
    <s v="Festival Sale"/>
    <n v="18028.490000000002"/>
    <n v="0.86199999999999999"/>
    <n v="291"/>
    <s v="In Stock"/>
  </r>
  <r>
    <s v="AMZ26-00549"/>
    <d v="2026-12-03T00:00:00"/>
    <x v="11"/>
    <s v="Q4"/>
    <n v="2026"/>
    <s v="CUST-4176"/>
    <s v="Kiran Yadav"/>
    <s v="Corporate"/>
    <s v="India"/>
    <s v="Odisha"/>
    <s v="Bhubaneswar"/>
    <x v="2"/>
    <s v="Amazon App"/>
    <s v="Desktop"/>
    <x v="0"/>
    <s v="Footwear"/>
    <s v="Running Shoes"/>
    <s v="Adidas"/>
    <s v="FAS-FOO-79024"/>
    <s v="FBA"/>
    <x v="3"/>
    <x v="0"/>
    <n v="1"/>
    <n v="449.63"/>
    <n v="0.05"/>
    <n v="22.48"/>
    <n v="449.63"/>
    <n v="427.15"/>
    <n v="37.82"/>
    <n v="281.98"/>
    <n v="107.35"/>
    <n v="0.25130000000000002"/>
    <n v="6"/>
    <s v="Delayed"/>
    <s v="No"/>
    <m/>
    <n v="3"/>
    <n v="1"/>
    <s v="Yes"/>
    <s v="None"/>
    <n v="375.34"/>
    <n v="1.1379999999999999"/>
    <n v="340"/>
    <s v="In Stock"/>
  </r>
  <r>
    <s v="AMZ26-00550"/>
    <d v="2026-06-15T00:00:00"/>
    <x v="5"/>
    <s v="Q2"/>
    <n v="2026"/>
    <s v="CUST-3280"/>
    <s v="Pooja Kumar"/>
    <s v="Consumer"/>
    <s v="India"/>
    <s v="Kerala"/>
    <s v="Kochi"/>
    <x v="1"/>
    <s v="Amazon App"/>
    <s v="Desktop"/>
    <x v="0"/>
    <s v="Footwear"/>
    <s v="Running Shoes"/>
    <s v="Adidas"/>
    <s v="FAS-FOO-68660"/>
    <s v="FBA"/>
    <x v="5"/>
    <x v="0"/>
    <n v="3"/>
    <n v="907.64"/>
    <n v="0"/>
    <n v="0"/>
    <n v="2722.92"/>
    <n v="2722.92"/>
    <n v="177.97"/>
    <n v="1442.09"/>
    <n v="1102.8599999999999"/>
    <n v="0.40500000000000003"/>
    <n v="5"/>
    <s v="Delayed"/>
    <s v="No"/>
    <m/>
    <n v="5"/>
    <n v="3"/>
    <s v="Yes"/>
    <s v="Amazon Coupon"/>
    <n v="2768.58"/>
    <n v="0.98350000000000004"/>
    <n v="137"/>
    <s v="In Stock"/>
  </r>
  <r>
    <s v="AMZ26-00551"/>
    <d v="2026-02-14T00:00:00"/>
    <x v="7"/>
    <s v="Q1"/>
    <n v="2026"/>
    <s v="CUST-3650"/>
    <s v="Ananya Shetty"/>
    <s v="Corporate"/>
    <s v="India"/>
    <s v="Gujarat"/>
    <s v="Ahmedabad"/>
    <x v="3"/>
    <s v="Amazon App"/>
    <s v="Tablet"/>
    <x v="0"/>
    <s v="Women Clothing"/>
    <s v="Denim Jeans"/>
    <s v="Levi's"/>
    <s v="FAS-WOM-86126"/>
    <s v="FBA"/>
    <x v="1"/>
    <x v="0"/>
    <n v="2"/>
    <n v="686.2"/>
    <n v="0.15"/>
    <n v="205.86"/>
    <n v="1372.4"/>
    <n v="1166.54"/>
    <n v="103.2"/>
    <n v="685.92"/>
    <n v="377.42"/>
    <n v="0.32350000000000001"/>
    <n v="4"/>
    <s v="On Time"/>
    <s v="No"/>
    <m/>
    <n v="3"/>
    <n v="3"/>
    <s v="No"/>
    <s v="Amazon Coupon"/>
    <n v="1231.8900000000001"/>
    <n v="0.94699999999999995"/>
    <n v="110"/>
    <s v="In Stock"/>
  </r>
  <r>
    <s v="AMZ26-00552"/>
    <d v="2026-03-01T00:00:00"/>
    <x v="0"/>
    <s v="Q1"/>
    <n v="2026"/>
    <s v="CUST-2551"/>
    <s v="Pooja Jain"/>
    <s v="Consumer"/>
    <s v="India"/>
    <s v="Uttar Pradesh"/>
    <s v="Noida"/>
    <x v="0"/>
    <s v="Amazon App"/>
    <s v="Desktop"/>
    <x v="0"/>
    <s v="Women Clothing"/>
    <s v="Casual Top"/>
    <s v="ONLY"/>
    <s v="FAS-WOM-31465"/>
    <s v="FBA"/>
    <x v="1"/>
    <x v="0"/>
    <n v="3"/>
    <n v="1045.28"/>
    <n v="0.25"/>
    <n v="783.96"/>
    <n v="3135.84"/>
    <n v="2351.88"/>
    <n v="27.7"/>
    <n v="1324.93"/>
    <n v="999.25"/>
    <n v="0.4249"/>
    <n v="7"/>
    <s v="Delayed"/>
    <s v="Yes"/>
    <s v="Late Delivery"/>
    <n v="4"/>
    <n v="1"/>
    <s v="No"/>
    <s v="Prime Deal"/>
    <n v="2078.06"/>
    <n v="1.1317999999999999"/>
    <n v="186"/>
    <s v="In Stock"/>
  </r>
  <r>
    <s v="AMZ26-00553"/>
    <d v="2026-09-14T00:00:00"/>
    <x v="1"/>
    <s v="Q3"/>
    <n v="2026"/>
    <s v="CUST-1049"/>
    <s v="Sai Shetty"/>
    <s v="Small Business"/>
    <s v="India"/>
    <s v="Punjab"/>
    <s v="Ludhiana"/>
    <x v="0"/>
    <s v="Amazon Website"/>
    <s v="iOS"/>
    <x v="4"/>
    <s v="Home Decor"/>
    <s v="Wall Clock"/>
    <s v="Ajanta"/>
    <s v="HOM-HOM-30037"/>
    <s v="FBA"/>
    <x v="4"/>
    <x v="0"/>
    <n v="4"/>
    <n v="1090.58"/>
    <n v="0.3"/>
    <n v="1308.7"/>
    <n v="4362.32"/>
    <n v="3053.62"/>
    <n v="15.64"/>
    <n v="2248.2800000000002"/>
    <n v="789.7"/>
    <n v="0.2586"/>
    <n v="6"/>
    <s v="Delayed"/>
    <s v="No"/>
    <m/>
    <n v="5"/>
    <n v="2"/>
    <s v="No"/>
    <s v="Amazon Coupon"/>
    <n v="3582.25"/>
    <n v="0.85240000000000005"/>
    <n v="182"/>
    <s v="In Stock"/>
  </r>
  <r>
    <s v="AMZ26-00554"/>
    <d v="2026-01-04T00:00:00"/>
    <x v="10"/>
    <s v="Q1"/>
    <n v="2026"/>
    <s v="CUST-3174"/>
    <s v="Nandini Yadav"/>
    <s v="Small Business"/>
    <s v="India"/>
    <s v="Maharashtra"/>
    <s v="Mumbai"/>
    <x v="3"/>
    <s v="Amazon App"/>
    <s v="Android"/>
    <x v="2"/>
    <s v="Hair Care"/>
    <s v="Shampoo"/>
    <s v="Dove"/>
    <s v="BEA-HAI-15825"/>
    <s v="FBA"/>
    <x v="1"/>
    <x v="0"/>
    <n v="4"/>
    <n v="185.55"/>
    <n v="0.25"/>
    <n v="185.55"/>
    <n v="742.2"/>
    <n v="556.65"/>
    <n v="8.26"/>
    <n v="290.33"/>
    <n v="258.06"/>
    <n v="0.46360000000000001"/>
    <n v="3"/>
    <s v="On Time"/>
    <s v="No"/>
    <m/>
    <n v="3"/>
    <n v="1"/>
    <s v="Yes"/>
    <s v="Lightning Deal"/>
    <n v="492.12"/>
    <n v="1.1311"/>
    <n v="248"/>
    <s v="In Stock"/>
  </r>
  <r>
    <s v="AMZ26-00555"/>
    <d v="2026-05-21T00:00:00"/>
    <x v="2"/>
    <s v="Q2"/>
    <n v="2026"/>
    <s v="CUST-4665"/>
    <s v="Sai Gupta"/>
    <s v="Consumer"/>
    <s v="India"/>
    <s v="Telangana"/>
    <s v="Hyderabad"/>
    <x v="1"/>
    <s v="Amazon Website"/>
    <s v="Android"/>
    <x v="4"/>
    <s v="Cookware"/>
    <s v="Nonstick Pan"/>
    <s v="Prestige"/>
    <s v="HOM-COO-22166"/>
    <s v="FBA"/>
    <x v="0"/>
    <x v="0"/>
    <n v="4"/>
    <n v="2240.09"/>
    <n v="0.15"/>
    <n v="1344.05"/>
    <n v="8960.36"/>
    <n v="7616.31"/>
    <n v="47.82"/>
    <n v="4179.0600000000004"/>
    <n v="3389.43"/>
    <n v="0.44500000000000001"/>
    <n v="8"/>
    <s v="Delayed"/>
    <s v="No"/>
    <m/>
    <n v="5"/>
    <n v="0"/>
    <s v="Yes"/>
    <s v="Amazon Coupon"/>
    <n v="8485.8700000000008"/>
    <n v="0.89749999999999996"/>
    <n v="333"/>
    <s v="In Stock"/>
  </r>
  <r>
    <s v="AMZ26-00556"/>
    <d v="2026-09-18T00:00:00"/>
    <x v="1"/>
    <s v="Q3"/>
    <n v="2026"/>
    <s v="CUST-1056"/>
    <s v="Nikhil Yadav"/>
    <s v="Small Business"/>
    <s v="India"/>
    <s v="Bihar"/>
    <s v="Patna"/>
    <x v="2"/>
    <s v="Amazon Website"/>
    <s v="Tablet"/>
    <x v="1"/>
    <s v="Laptops"/>
    <s v="Vivobook"/>
    <s v="ASUS"/>
    <s v="ELE-LAP-25749"/>
    <s v="FBA"/>
    <x v="1"/>
    <x v="0"/>
    <n v="3"/>
    <n v="1795.99"/>
    <n v="0.15"/>
    <n v="808.2"/>
    <n v="5387.97"/>
    <n v="4579.7700000000004"/>
    <n v="244.02"/>
    <n v="3482.44"/>
    <n v="853.31"/>
    <n v="0.18629999999999999"/>
    <n v="1"/>
    <s v="On Time"/>
    <s v="No"/>
    <m/>
    <n v="5"/>
    <n v="3"/>
    <s v="No"/>
    <s v="Bank Offer"/>
    <n v="4476.78"/>
    <n v="1.0229999999999999"/>
    <n v="70"/>
    <s v="In Stock"/>
  </r>
  <r>
    <s v="AMZ26-00557"/>
    <d v="2026-07-07T00:00:00"/>
    <x v="3"/>
    <s v="Q3"/>
    <n v="2026"/>
    <s v="CUST-1913"/>
    <s v="Diya Jain"/>
    <s v="Consumer"/>
    <s v="India"/>
    <s v="West Bengal"/>
    <s v="Kolkata"/>
    <x v="2"/>
    <s v="Amazon Website"/>
    <s v="Android"/>
    <x v="0"/>
    <s v="Footwear"/>
    <s v="Casual Sneakers"/>
    <s v="Puma"/>
    <s v="FAS-FOO-12319"/>
    <s v="FBA"/>
    <x v="2"/>
    <x v="0"/>
    <n v="1"/>
    <n v="1974.53"/>
    <n v="0.25"/>
    <n v="493.63"/>
    <n v="1974.53"/>
    <n v="1480.9"/>
    <n v="232.83"/>
    <n v="911.63"/>
    <n v="336.44"/>
    <n v="0.22720000000000001"/>
    <n v="1"/>
    <s v="On Time"/>
    <s v="Yes"/>
    <s v="Late Delivery"/>
    <n v="4"/>
    <n v="2"/>
    <s v="Yes"/>
    <s v="Lightning Deal"/>
    <n v="1816.4"/>
    <n v="0.81530000000000002"/>
    <n v="232"/>
    <s v="In Stock"/>
  </r>
  <r>
    <s v="AMZ26-00558"/>
    <d v="2026-06-13T00:00:00"/>
    <x v="5"/>
    <s v="Q2"/>
    <n v="2026"/>
    <s v="CUST-1632"/>
    <s v="Aarav Singh"/>
    <s v="Corporate"/>
    <s v="India"/>
    <s v="Maharashtra"/>
    <s v="Pune"/>
    <x v="3"/>
    <s v="Amazon App"/>
    <s v="Desktop"/>
    <x v="4"/>
    <s v="Home Decor"/>
    <s v="Wall Clock"/>
    <s v="Ajanta"/>
    <s v="HOM-HOM-52454"/>
    <s v="FBA"/>
    <x v="1"/>
    <x v="0"/>
    <n v="1"/>
    <n v="9043.4699999999993"/>
    <n v="0.15"/>
    <n v="1356.52"/>
    <n v="9043.4699999999993"/>
    <n v="7686.95"/>
    <n v="178.46"/>
    <n v="5678.89"/>
    <n v="1829.6"/>
    <n v="0.23799999999999999"/>
    <n v="7"/>
    <s v="Delayed"/>
    <s v="No"/>
    <m/>
    <n v="5"/>
    <n v="4"/>
    <s v="No"/>
    <s v="Prime Deal"/>
    <n v="7616.03"/>
    <n v="1.0093000000000001"/>
    <n v="195"/>
    <s v="In Stock"/>
  </r>
  <r>
    <s v="AMZ26-00559"/>
    <d v="2026-12-26T00:00:00"/>
    <x v="11"/>
    <s v="Q4"/>
    <n v="2026"/>
    <s v="CUST-4908"/>
    <s v="Priya Rao"/>
    <s v="Consumer"/>
    <s v="India"/>
    <s v="Bihar"/>
    <s v="Patna"/>
    <x v="2"/>
    <s v="Amazon Website"/>
    <s v="Tablet"/>
    <x v="4"/>
    <s v="Home Decor"/>
    <s v="Wall Clock"/>
    <s v="Ajanta"/>
    <s v="HOM-HOM-63686"/>
    <s v="FBA"/>
    <x v="0"/>
    <x v="0"/>
    <n v="3"/>
    <n v="10983.21"/>
    <n v="0.15"/>
    <n v="4942.4399999999996"/>
    <n v="32949.629999999997"/>
    <n v="28007.19"/>
    <n v="77.56"/>
    <n v="20055.57"/>
    <n v="7874.06"/>
    <n v="0.28110000000000002"/>
    <n v="3"/>
    <s v="On Time"/>
    <s v="No"/>
    <m/>
    <n v="5"/>
    <n v="4"/>
    <s v="Yes"/>
    <s v="Festival Sale"/>
    <n v="25411.9"/>
    <n v="1.1021000000000001"/>
    <n v="291"/>
    <s v="In Stock"/>
  </r>
  <r>
    <s v="AMZ26-00560"/>
    <d v="2026-08-16T00:00:00"/>
    <x v="4"/>
    <s v="Q3"/>
    <n v="2026"/>
    <s v="CUST-4763"/>
    <s v="Kavya Das"/>
    <s v="Corporate"/>
    <s v="India"/>
    <s v="Odisha"/>
    <s v="Bhubaneswar"/>
    <x v="2"/>
    <s v="Amazon Website"/>
    <s v="Android"/>
    <x v="1"/>
    <s v="Accessories"/>
    <s v="Wireless Mouse"/>
    <s v="Logitech"/>
    <s v="ELE-ACC-29211"/>
    <s v="FBA"/>
    <x v="1"/>
    <x v="1"/>
    <n v="1"/>
    <n v="35100.480000000003"/>
    <n v="0.25"/>
    <n v="8775.1200000000008"/>
    <n v="35100.480000000003"/>
    <n v="26325.360000000001"/>
    <n v="183.66"/>
    <n v="19157.080000000002"/>
    <n v="6984.62"/>
    <n v="0.26529999999999998"/>
    <n v="0"/>
    <s v="Not Applicable"/>
    <s v="No"/>
    <m/>
    <m/>
    <n v="0"/>
    <s v="No"/>
    <s v="Amazon Coupon"/>
    <n v="31249.95"/>
    <n v="0.84240000000000004"/>
    <n v="485"/>
    <s v="In Stock"/>
  </r>
  <r>
    <s v="AMZ26-00561"/>
    <d v="2026-08-29T00:00:00"/>
    <x v="4"/>
    <s v="Q3"/>
    <n v="2026"/>
    <s v="CUST-1070"/>
    <s v="Ananya Das"/>
    <s v="Consumer"/>
    <s v="India"/>
    <s v="Karnataka"/>
    <s v="Bengaluru"/>
    <x v="1"/>
    <s v="Amazon App"/>
    <s v="iOS"/>
    <x v="4"/>
    <s v="Kitchen Appliances"/>
    <s v="Electric Kettle"/>
    <s v="Pigeon"/>
    <s v="HOM-KIT-55085"/>
    <s v="FBM"/>
    <x v="2"/>
    <x v="1"/>
    <n v="5"/>
    <n v="1800.52"/>
    <n v="0.3"/>
    <n v="2700.78"/>
    <n v="9002.6"/>
    <n v="6301.82"/>
    <n v="62.22"/>
    <n v="4824.5200000000004"/>
    <n v="1415.08"/>
    <n v="0.22459999999999999"/>
    <n v="0"/>
    <s v="Not Applicable"/>
    <s v="No"/>
    <m/>
    <m/>
    <n v="0"/>
    <s v="No"/>
    <s v="Festival Sale"/>
    <n v="7272.86"/>
    <n v="0.86650000000000005"/>
    <n v="195"/>
    <s v="In Stock"/>
  </r>
  <r>
    <s v="AMZ26-00562"/>
    <d v="2026-02-04T00:00:00"/>
    <x v="7"/>
    <s v="Q1"/>
    <n v="2026"/>
    <s v="CUST-1498"/>
    <s v="Kavya Reddy"/>
    <s v="Corporate"/>
    <s v="India"/>
    <s v="Assam"/>
    <s v="Guwahati"/>
    <x v="2"/>
    <s v="Amazon Website"/>
    <s v="Desktop"/>
    <x v="0"/>
    <s v="Footwear"/>
    <s v="Casual Sneakers"/>
    <s v="Puma"/>
    <s v="FAS-FOO-56843"/>
    <s v="FBA"/>
    <x v="1"/>
    <x v="2"/>
    <n v="4"/>
    <n v="2833.1"/>
    <n v="0.05"/>
    <n v="566.62"/>
    <n v="11332.4"/>
    <n v="10765.78"/>
    <n v="145.80000000000001"/>
    <n v="6229.21"/>
    <n v="4390.7700000000004"/>
    <n v="0.4078"/>
    <n v="7"/>
    <s v="In Transit"/>
    <s v="No"/>
    <m/>
    <m/>
    <n v="0"/>
    <s v="Yes"/>
    <s v="Festival Sale"/>
    <n v="11906.42"/>
    <n v="0.9042"/>
    <n v="16"/>
    <s v="Low Stock"/>
  </r>
  <r>
    <s v="AMZ26-00563"/>
    <d v="2026-02-04T00:00:00"/>
    <x v="7"/>
    <s v="Q1"/>
    <n v="2026"/>
    <s v="CUST-3730"/>
    <s v="Vivek Das"/>
    <s v="Corporate"/>
    <s v="India"/>
    <s v="Odisha"/>
    <s v="Bhubaneswar"/>
    <x v="2"/>
    <s v="Amazon App"/>
    <s v="Android"/>
    <x v="3"/>
    <s v="Staples"/>
    <s v="Basmati Rice"/>
    <s v="India Gate"/>
    <s v="GRO-STA-18797"/>
    <s v="FBA"/>
    <x v="4"/>
    <x v="0"/>
    <n v="4"/>
    <n v="611.21"/>
    <n v="0"/>
    <n v="0"/>
    <n v="2444.84"/>
    <n v="2444.84"/>
    <n v="181.68"/>
    <n v="1874.76"/>
    <n v="388.4"/>
    <n v="0.15890000000000001"/>
    <n v="5"/>
    <s v="Delayed"/>
    <s v="Yes"/>
    <s v="Quality Issue"/>
    <n v="5"/>
    <n v="0"/>
    <s v="No"/>
    <s v="Bank Offer"/>
    <n v="2462.4899999999998"/>
    <n v="0.99280000000000002"/>
    <n v="470"/>
    <s v="In Stock"/>
  </r>
  <r>
    <s v="AMZ26-00564"/>
    <d v="2026-09-13T00:00:00"/>
    <x v="1"/>
    <s v="Q3"/>
    <n v="2026"/>
    <s v="CUST-4563"/>
    <s v="Pooja Gupta"/>
    <s v="Consumer"/>
    <s v="India"/>
    <s v="Maharashtra"/>
    <s v="Mumbai"/>
    <x v="3"/>
    <s v="Amazon Website"/>
    <s v="Tablet"/>
    <x v="3"/>
    <s v="Beverages"/>
    <s v="Green Tea"/>
    <s v="Tata Tea"/>
    <s v="GRO-BEV-75793"/>
    <s v="FBM"/>
    <x v="5"/>
    <x v="1"/>
    <n v="3"/>
    <n v="185.96"/>
    <n v="0.1"/>
    <n v="55.79"/>
    <n v="557.88"/>
    <n v="502.09"/>
    <n v="85.06"/>
    <n v="268.27999999999997"/>
    <n v="148.75"/>
    <n v="0.29630000000000001"/>
    <n v="0"/>
    <s v="Not Applicable"/>
    <s v="No"/>
    <m/>
    <m/>
    <n v="0"/>
    <s v="Yes"/>
    <s v="Amazon Coupon"/>
    <n v="482.72"/>
    <n v="1.0401"/>
    <n v="497"/>
    <s v="In Stock"/>
  </r>
  <r>
    <s v="AMZ26-00565"/>
    <d v="2026-05-14T00:00:00"/>
    <x v="2"/>
    <s v="Q2"/>
    <n v="2026"/>
    <s v="CUST-1380"/>
    <s v="Ananya Nair"/>
    <s v="Consumer"/>
    <s v="India"/>
    <s v="West Bengal"/>
    <s v="Kolkata"/>
    <x v="2"/>
    <s v="Amazon Website"/>
    <s v="Android"/>
    <x v="3"/>
    <s v="Snacks"/>
    <s v="Potato Chips"/>
    <s v="Lay's"/>
    <s v="GRO-SNA-62920"/>
    <s v="FBM"/>
    <x v="4"/>
    <x v="1"/>
    <n v="2"/>
    <n v="726.71"/>
    <n v="0.05"/>
    <n v="72.67"/>
    <n v="1453.42"/>
    <n v="1380.75"/>
    <n v="65.540000000000006"/>
    <n v="836.59"/>
    <n v="478.62"/>
    <n v="0.34660000000000002"/>
    <n v="0"/>
    <s v="Not Applicable"/>
    <s v="No"/>
    <m/>
    <m/>
    <n v="0"/>
    <s v="No"/>
    <s v="Amazon Coupon"/>
    <n v="1429.42"/>
    <n v="0.96599999999999997"/>
    <n v="357"/>
    <s v="In Stock"/>
  </r>
  <r>
    <s v="AMZ26-00566"/>
    <d v="2026-08-17T00:00:00"/>
    <x v="4"/>
    <s v="Q3"/>
    <n v="2026"/>
    <s v="CUST-3461"/>
    <s v="Sneha Patel"/>
    <s v="Corporate"/>
    <s v="India"/>
    <s v="West Bengal"/>
    <s v="Kolkata"/>
    <x v="2"/>
    <s v="Amazon Website"/>
    <s v="iOS"/>
    <x v="2"/>
    <s v="Makeup"/>
    <s v="Kajal"/>
    <s v="Lakme"/>
    <s v="BEA-MAK-19317"/>
    <s v="FBA"/>
    <x v="1"/>
    <x v="0"/>
    <n v="3"/>
    <n v="1756.55"/>
    <n v="0.15"/>
    <n v="790.45"/>
    <n v="5269.65"/>
    <n v="4479.2"/>
    <n v="112.85"/>
    <n v="3150.51"/>
    <n v="1215.8399999999999"/>
    <n v="0.27139999999999997"/>
    <n v="7"/>
    <s v="Delayed"/>
    <s v="No"/>
    <m/>
    <n v="3"/>
    <n v="4"/>
    <s v="No"/>
    <s v="Amazon Coupon"/>
    <n v="4001.35"/>
    <n v="1.1194"/>
    <n v="274"/>
    <s v="In Stock"/>
  </r>
  <r>
    <s v="AMZ26-00567"/>
    <d v="2026-10-09T00:00:00"/>
    <x v="8"/>
    <s v="Q4"/>
    <n v="2026"/>
    <s v="CUST-4797"/>
    <s v="Kavya Rao"/>
    <s v="Corporate"/>
    <s v="India"/>
    <s v="Haryana"/>
    <s v="Gurugram"/>
    <x v="0"/>
    <s v="Amazon Website"/>
    <s v="Desktop"/>
    <x v="3"/>
    <s v="Staples"/>
    <s v="Cooking Oil"/>
    <s v="Fortune"/>
    <s v="GRO-STA-40374"/>
    <s v="FBA"/>
    <x v="1"/>
    <x v="0"/>
    <n v="1"/>
    <n v="340.19"/>
    <n v="0.2"/>
    <n v="68.040000000000006"/>
    <n v="340.19"/>
    <n v="272.14999999999998"/>
    <n v="58.27"/>
    <n v="189.19"/>
    <n v="24.69"/>
    <n v="9.0700000000000003E-2"/>
    <n v="1"/>
    <s v="On Time"/>
    <s v="No"/>
    <m/>
    <n v="4"/>
    <n v="0"/>
    <s v="No"/>
    <s v="Amazon Coupon"/>
    <n v="258.89999999999998"/>
    <n v="1.0511999999999999"/>
    <n v="35"/>
    <s v="Low Stock"/>
  </r>
  <r>
    <s v="AMZ26-00568"/>
    <d v="2026-11-10T00:00:00"/>
    <x v="6"/>
    <s v="Q4"/>
    <n v="2026"/>
    <s v="CUST-4305"/>
    <s v="Sneha Gupta"/>
    <s v="Corporate"/>
    <s v="India"/>
    <s v="Karnataka"/>
    <s v="Mysuru"/>
    <x v="1"/>
    <s v="Amazon App"/>
    <s v="Android"/>
    <x v="3"/>
    <s v="Beverages"/>
    <s v="Fruit Juice"/>
    <s v="Real"/>
    <s v="GRO-BEV-36663"/>
    <s v="FBA"/>
    <x v="3"/>
    <x v="0"/>
    <n v="4"/>
    <n v="729.11"/>
    <n v="0.2"/>
    <n v="583.29"/>
    <n v="2916.44"/>
    <n v="2333.15"/>
    <n v="222.52"/>
    <n v="1530"/>
    <n v="580.63"/>
    <n v="0.24890000000000001"/>
    <n v="3"/>
    <s v="On Time"/>
    <s v="No"/>
    <m/>
    <n v="4"/>
    <n v="2"/>
    <s v="Yes"/>
    <s v="Amazon Coupon"/>
    <n v="2521.1"/>
    <n v="0.9254"/>
    <n v="455"/>
    <s v="In Stock"/>
  </r>
  <r>
    <s v="AMZ26-00569"/>
    <d v="2026-02-17T00:00:00"/>
    <x v="7"/>
    <s v="Q1"/>
    <n v="2026"/>
    <s v="CUST-1668"/>
    <s v="Rahul Sharma"/>
    <s v="Consumer"/>
    <s v="India"/>
    <s v="Tamil Nadu"/>
    <s v="Chennai"/>
    <x v="1"/>
    <s v="Amazon App"/>
    <s v="Android"/>
    <x v="3"/>
    <s v="Staples"/>
    <s v="Cooking Oil"/>
    <s v="Fortune"/>
    <s v="GRO-STA-59755"/>
    <s v="FBA"/>
    <x v="5"/>
    <x v="0"/>
    <n v="3"/>
    <n v="363.98"/>
    <n v="0.25"/>
    <n v="272.99"/>
    <n v="1091.94"/>
    <n v="818.95"/>
    <n v="180.48"/>
    <n v="484.22"/>
    <n v="154.25"/>
    <n v="0.18840000000000001"/>
    <n v="7"/>
    <s v="Delayed"/>
    <s v="No"/>
    <m/>
    <n v="4"/>
    <n v="2"/>
    <s v="No"/>
    <s v="Prime Deal"/>
    <n v="1011.89"/>
    <n v="0.80930000000000002"/>
    <n v="214"/>
    <s v="In Stock"/>
  </r>
  <r>
    <s v="AMZ26-00570"/>
    <d v="2026-02-24T00:00:00"/>
    <x v="7"/>
    <s v="Q1"/>
    <n v="2026"/>
    <s v="CUST-4678"/>
    <s v="Kiran Yadav"/>
    <s v="Small Business"/>
    <s v="India"/>
    <s v="Punjab"/>
    <s v="Ludhiana"/>
    <x v="0"/>
    <s v="Amazon Website"/>
    <s v="iOS"/>
    <x v="0"/>
    <s v="Women Clothing"/>
    <s v="Casual Top"/>
    <s v="ONLY"/>
    <s v="FAS-WOM-54837"/>
    <s v="FBA"/>
    <x v="5"/>
    <x v="1"/>
    <n v="2"/>
    <n v="2135.41"/>
    <n v="0"/>
    <n v="0"/>
    <n v="4270.82"/>
    <n v="4270.82"/>
    <n v="219.4"/>
    <n v="2857.44"/>
    <n v="1193.98"/>
    <n v="0.27960000000000002"/>
    <n v="0"/>
    <s v="Not Applicable"/>
    <s v="No"/>
    <m/>
    <m/>
    <n v="0"/>
    <s v="No"/>
    <s v="Bank Offer"/>
    <n v="5135.76"/>
    <n v="0.83160000000000001"/>
    <n v="450"/>
    <s v="In Stock"/>
  </r>
  <r>
    <s v="AMZ26-00571"/>
    <d v="2026-09-23T00:00:00"/>
    <x v="1"/>
    <s v="Q3"/>
    <n v="2026"/>
    <s v="CUST-1869"/>
    <s v="Sneha Das"/>
    <s v="Consumer"/>
    <s v="India"/>
    <s v="Maharashtra"/>
    <s v="Mumbai"/>
    <x v="3"/>
    <s v="Amazon Website"/>
    <s v="Android"/>
    <x v="1"/>
    <s v="Laptops"/>
    <s v="Pavilion"/>
    <s v="HP"/>
    <s v="ELE-LAP-96757"/>
    <s v="FBA"/>
    <x v="4"/>
    <x v="0"/>
    <n v="3"/>
    <n v="1715.39"/>
    <n v="0.3"/>
    <n v="1543.85"/>
    <n v="5146.17"/>
    <n v="3602.32"/>
    <n v="30.83"/>
    <n v="2237.91"/>
    <n v="1333.58"/>
    <n v="0.37019999999999997"/>
    <n v="7"/>
    <s v="Delayed"/>
    <s v="No"/>
    <m/>
    <n v="4"/>
    <n v="4"/>
    <s v="Yes"/>
    <s v="Amazon Coupon"/>
    <n v="3461.62"/>
    <n v="1.0406"/>
    <n v="410"/>
    <s v="In Stock"/>
  </r>
  <r>
    <s v="AMZ26-00572"/>
    <d v="2026-03-10T00:00:00"/>
    <x v="0"/>
    <s v="Q1"/>
    <n v="2026"/>
    <s v="CUST-2023"/>
    <s v="Vihaan Kumar"/>
    <s v="Consumer"/>
    <s v="India"/>
    <s v="Telangana"/>
    <s v="Hyderabad"/>
    <x v="1"/>
    <s v="Amazon Website"/>
    <s v="iOS"/>
    <x v="1"/>
    <s v="Accessories"/>
    <s v="Wireless Mouse"/>
    <s v="Logitech"/>
    <s v="ELE-ACC-84285"/>
    <s v="FBA"/>
    <x v="1"/>
    <x v="0"/>
    <n v="2"/>
    <n v="11556.78"/>
    <n v="0"/>
    <n v="0"/>
    <n v="23113.56"/>
    <n v="23113.56"/>
    <n v="181.98"/>
    <n v="16645.650000000001"/>
    <n v="6285.93"/>
    <n v="0.27200000000000002"/>
    <n v="1"/>
    <s v="On Time"/>
    <s v="No"/>
    <m/>
    <n v="3"/>
    <n v="3"/>
    <s v="Yes"/>
    <s v="Prime Deal"/>
    <n v="22929.21"/>
    <n v="1.008"/>
    <n v="259"/>
    <s v="In Stock"/>
  </r>
  <r>
    <s v="AMZ26-00573"/>
    <d v="2026-04-17T00:00:00"/>
    <x v="9"/>
    <s v="Q2"/>
    <n v="2026"/>
    <s v="CUST-4053"/>
    <s v="Rohan Nair"/>
    <s v="Corporate"/>
    <s v="India"/>
    <s v="Punjab"/>
    <s v="Ludhiana"/>
    <x v="0"/>
    <s v="Amazon Website"/>
    <s v="Android"/>
    <x v="0"/>
    <s v="Women Clothing"/>
    <s v="Printed Kurti"/>
    <s v="BIBA"/>
    <s v="FAS-WOM-44359"/>
    <s v="FBA"/>
    <x v="0"/>
    <x v="0"/>
    <n v="2"/>
    <n v="378.49"/>
    <n v="0.2"/>
    <n v="151.4"/>
    <n v="756.98"/>
    <n v="605.58000000000004"/>
    <n v="174.47"/>
    <n v="362.23"/>
    <n v="68.88"/>
    <n v="0.1137"/>
    <n v="5"/>
    <s v="Delayed"/>
    <s v="Yes"/>
    <s v="Size/Fit Issue"/>
    <n v="5"/>
    <n v="1"/>
    <s v="Yes"/>
    <s v="Prime Deal"/>
    <n v="650.4"/>
    <n v="0.93110000000000004"/>
    <n v="17"/>
    <s v="Low Stock"/>
  </r>
  <r>
    <s v="AMZ26-00574"/>
    <d v="2026-11-29T00:00:00"/>
    <x v="6"/>
    <s v="Q4"/>
    <n v="2026"/>
    <s v="CUST-2130"/>
    <s v="Nandini Kumar"/>
    <s v="Consumer"/>
    <s v="India"/>
    <s v="Gujarat"/>
    <s v="Ahmedabad"/>
    <x v="3"/>
    <s v="Amazon App"/>
    <s v="Desktop"/>
    <x v="0"/>
    <s v="Men Clothing"/>
    <s v="Slim Jeans"/>
    <s v="Levi's"/>
    <s v="FAS-MEN-55833"/>
    <s v="FBM"/>
    <x v="5"/>
    <x v="0"/>
    <n v="3"/>
    <n v="4065.13"/>
    <n v="0.2"/>
    <n v="2439.08"/>
    <n v="12195.39"/>
    <n v="9756.31"/>
    <n v="155.97"/>
    <n v="6514.77"/>
    <n v="3085.57"/>
    <n v="0.31630000000000003"/>
    <n v="4"/>
    <s v="On Time"/>
    <s v="No"/>
    <m/>
    <n v="5"/>
    <n v="4"/>
    <s v="Yes"/>
    <s v="None"/>
    <n v="10671.41"/>
    <n v="0.91420000000000001"/>
    <n v="100"/>
    <s v="In Stock"/>
  </r>
  <r>
    <s v="AMZ26-00575"/>
    <d v="2026-03-25T00:00:00"/>
    <x v="0"/>
    <s v="Q1"/>
    <n v="2026"/>
    <s v="CUST-1836"/>
    <s v="Arjun Joshi"/>
    <s v="Corporate"/>
    <s v="India"/>
    <s v="Karnataka"/>
    <s v="Bengaluru"/>
    <x v="1"/>
    <s v="Amazon App"/>
    <s v="Desktop"/>
    <x v="1"/>
    <s v="Laptops"/>
    <s v="IdeaPad"/>
    <s v="Lenovo"/>
    <s v="ELE-LAP-61218"/>
    <s v="FBM"/>
    <x v="1"/>
    <x v="0"/>
    <n v="5"/>
    <n v="902.5"/>
    <n v="0.3"/>
    <n v="1353.75"/>
    <n v="4512.5"/>
    <n v="3158.75"/>
    <n v="90.88"/>
    <n v="1786.3"/>
    <n v="1281.57"/>
    <n v="0.40570000000000001"/>
    <n v="2"/>
    <s v="On Time"/>
    <s v="No"/>
    <m/>
    <n v="5"/>
    <n v="0"/>
    <s v="Yes"/>
    <s v="Amazon Coupon"/>
    <n v="2936.79"/>
    <n v="1.0755999999999999"/>
    <n v="38"/>
    <s v="Low Stock"/>
  </r>
  <r>
    <s v="AMZ26-00576"/>
    <d v="2026-03-24T00:00:00"/>
    <x v="0"/>
    <s v="Q1"/>
    <n v="2026"/>
    <s v="CUST-3994"/>
    <s v="Pooja Verma"/>
    <s v="Small Business"/>
    <s v="India"/>
    <s v="Gujarat"/>
    <s v="Ahmedabad"/>
    <x v="3"/>
    <s v="Amazon Website"/>
    <s v="iOS"/>
    <x v="2"/>
    <s v="Makeup"/>
    <s v="Foundation"/>
    <s v="Lakme"/>
    <s v="BEA-MAK-96767"/>
    <s v="FBA"/>
    <x v="2"/>
    <x v="0"/>
    <n v="3"/>
    <n v="1162.75"/>
    <n v="0.25"/>
    <n v="872.06"/>
    <n v="3488.25"/>
    <n v="2616.19"/>
    <n v="35.549999999999997"/>
    <n v="1820.81"/>
    <n v="759.83"/>
    <n v="0.29039999999999999"/>
    <n v="1"/>
    <s v="On Time"/>
    <s v="No"/>
    <m/>
    <n v="4"/>
    <n v="1"/>
    <s v="Yes"/>
    <s v="Prime Deal"/>
    <n v="2453.9"/>
    <n v="1.0661"/>
    <n v="15"/>
    <s v="Low Stock"/>
  </r>
  <r>
    <s v="AMZ26-00577"/>
    <d v="2026-01-05T00:00:00"/>
    <x v="10"/>
    <s v="Q1"/>
    <n v="2026"/>
    <s v="CUST-4241"/>
    <s v="Sneha Shetty"/>
    <s v="Consumer"/>
    <s v="India"/>
    <s v="Telangana"/>
    <s v="Hyderabad"/>
    <x v="1"/>
    <s v="Amazon App"/>
    <s v="iOS"/>
    <x v="2"/>
    <s v="Hair Care"/>
    <s v="Shampoo"/>
    <s v="Dove"/>
    <s v="BEA-HAI-34918"/>
    <s v="FBM"/>
    <x v="5"/>
    <x v="0"/>
    <n v="1"/>
    <n v="157.1"/>
    <n v="0.25"/>
    <n v="39.270000000000003"/>
    <n v="157.1"/>
    <n v="117.83"/>
    <n v="167.2"/>
    <n v="75.3"/>
    <n v="-124.67"/>
    <n v="-1.0580000000000001"/>
    <n v="6"/>
    <s v="Delayed"/>
    <s v="No"/>
    <m/>
    <n v="5"/>
    <n v="0"/>
    <s v="No"/>
    <s v="Amazon Coupon"/>
    <n v="105.95"/>
    <n v="1.1121000000000001"/>
    <n v="66"/>
    <s v="In Stock"/>
  </r>
  <r>
    <s v="AMZ26-00578"/>
    <d v="2026-01-14T00:00:00"/>
    <x v="10"/>
    <s v="Q1"/>
    <n v="2026"/>
    <s v="CUST-1350"/>
    <s v="Nandini Reddy"/>
    <s v="Consumer"/>
    <s v="India"/>
    <s v="Kerala"/>
    <s v="Kochi"/>
    <x v="1"/>
    <s v="Amazon App"/>
    <s v="Desktop"/>
    <x v="3"/>
    <s v="Beverages"/>
    <s v="Fruit Juice"/>
    <s v="Real"/>
    <s v="GRO-BEV-12012"/>
    <s v="FBM"/>
    <x v="2"/>
    <x v="0"/>
    <n v="1"/>
    <n v="139.97"/>
    <n v="0.2"/>
    <n v="27.99"/>
    <n v="139.97"/>
    <n v="111.98"/>
    <n v="239.2"/>
    <n v="67.239999999999995"/>
    <n v="-194.46"/>
    <n v="-1.7365999999999999"/>
    <n v="1"/>
    <s v="On Time"/>
    <s v="No"/>
    <m/>
    <n v="5"/>
    <n v="3"/>
    <s v="Yes"/>
    <s v="Festival Sale"/>
    <n v="129.13"/>
    <n v="0.86719999999999997"/>
    <n v="383"/>
    <s v="In Stock"/>
  </r>
  <r>
    <s v="AMZ26-00579"/>
    <d v="2026-12-07T00:00:00"/>
    <x v="11"/>
    <s v="Q4"/>
    <n v="2026"/>
    <s v="CUST-4683"/>
    <s v="Vivek Joshi"/>
    <s v="Consumer"/>
    <s v="India"/>
    <s v="Tamil Nadu"/>
    <s v="Chennai"/>
    <x v="1"/>
    <s v="Amazon Website"/>
    <s v="Android"/>
    <x v="2"/>
    <s v="Makeup"/>
    <s v="Lipstick"/>
    <s v="Maybelline"/>
    <s v="BEA-MAK-20813"/>
    <s v="FBA"/>
    <x v="1"/>
    <x v="0"/>
    <n v="4"/>
    <n v="1444.44"/>
    <n v="0.2"/>
    <n v="1155.55"/>
    <n v="5777.76"/>
    <n v="4622.21"/>
    <n v="124.41"/>
    <n v="2715.96"/>
    <n v="1781.84"/>
    <n v="0.38550000000000001"/>
    <n v="7"/>
    <s v="Delayed"/>
    <s v="No"/>
    <m/>
    <n v="5"/>
    <n v="0"/>
    <s v="Yes"/>
    <s v="Prime Deal"/>
    <n v="4134"/>
    <n v="1.1181000000000001"/>
    <n v="101"/>
    <s v="In Stock"/>
  </r>
  <r>
    <s v="AMZ26-00580"/>
    <d v="2026-08-28T00:00:00"/>
    <x v="4"/>
    <s v="Q3"/>
    <n v="2026"/>
    <s v="CUST-3212"/>
    <s v="Isha Yadav"/>
    <s v="Small Business"/>
    <s v="India"/>
    <s v="Gujarat"/>
    <s v="Ahmedabad"/>
    <x v="3"/>
    <s v="Amazon Website"/>
    <s v="Android"/>
    <x v="4"/>
    <s v="Cookware"/>
    <s v="Cookware Set"/>
    <s v="Pigeon"/>
    <s v="HOM-COO-14775"/>
    <s v="FBA"/>
    <x v="3"/>
    <x v="0"/>
    <n v="2"/>
    <n v="1863.74"/>
    <n v="0.15"/>
    <n v="559.12"/>
    <n v="3727.48"/>
    <n v="3168.36"/>
    <n v="87.63"/>
    <n v="2062.92"/>
    <n v="1017.81"/>
    <n v="0.32119999999999999"/>
    <n v="8"/>
    <s v="Delayed"/>
    <s v="No"/>
    <m/>
    <n v="4"/>
    <n v="3"/>
    <s v="Yes"/>
    <s v="Amazon Coupon"/>
    <n v="3095.67"/>
    <n v="1.0235000000000001"/>
    <n v="490"/>
    <s v="In Stock"/>
  </r>
  <r>
    <s v="AMZ26-00581"/>
    <d v="2026-06-30T00:00:00"/>
    <x v="5"/>
    <s v="Q2"/>
    <n v="2026"/>
    <s v="CUST-1536"/>
    <s v="Sai Yadav"/>
    <s v="Small Business"/>
    <s v="India"/>
    <s v="Punjab"/>
    <s v="Ludhiana"/>
    <x v="0"/>
    <s v="Amazon App"/>
    <s v="iOS"/>
    <x v="2"/>
    <s v="Makeup"/>
    <s v="Foundation"/>
    <s v="Lakme"/>
    <s v="BEA-MAK-47400"/>
    <s v="FBA"/>
    <x v="0"/>
    <x v="0"/>
    <n v="5"/>
    <n v="601.73"/>
    <n v="0.25"/>
    <n v="752.16"/>
    <n v="3008.65"/>
    <n v="2256.4899999999998"/>
    <n v="234.07"/>
    <n v="1187.43"/>
    <n v="834.99"/>
    <n v="0.37"/>
    <n v="8"/>
    <s v="Delayed"/>
    <s v="Yes"/>
    <s v="Quality Issue"/>
    <n v="4"/>
    <n v="1"/>
    <s v="Yes"/>
    <s v="Prime Deal"/>
    <n v="2227.73"/>
    <n v="1.0128999999999999"/>
    <n v="317"/>
    <s v="In Stock"/>
  </r>
  <r>
    <s v="AMZ26-00582"/>
    <d v="2026-03-18T00:00:00"/>
    <x v="0"/>
    <s v="Q1"/>
    <n v="2026"/>
    <s v="CUST-2074"/>
    <s v="Priya Rao"/>
    <s v="Small Business"/>
    <s v="India"/>
    <s v="Uttar Pradesh"/>
    <s v="Noida"/>
    <x v="0"/>
    <s v="Amazon App"/>
    <s v="Android"/>
    <x v="4"/>
    <s v="Kitchen Appliances"/>
    <s v="Mixer Grinder"/>
    <s v="Prestige"/>
    <s v="HOM-KIT-85353"/>
    <s v="FBM"/>
    <x v="1"/>
    <x v="0"/>
    <n v="3"/>
    <n v="10266.91"/>
    <n v="0.05"/>
    <n v="1540.04"/>
    <n v="30800.73"/>
    <n v="29260.69"/>
    <n v="47.87"/>
    <n v="18961.810000000001"/>
    <n v="10251.01"/>
    <n v="0.3503"/>
    <n v="1"/>
    <s v="On Time"/>
    <s v="No"/>
    <m/>
    <n v="5"/>
    <n v="4"/>
    <s v="Yes"/>
    <s v="None"/>
    <n v="30132.85"/>
    <n v="0.97109999999999996"/>
    <n v="6"/>
    <s v="Low Stock"/>
  </r>
  <r>
    <s v="AMZ26-00583"/>
    <d v="2026-12-23T00:00:00"/>
    <x v="11"/>
    <s v="Q4"/>
    <n v="2026"/>
    <s v="CUST-4790"/>
    <s v="Arjun Patel"/>
    <s v="Corporate"/>
    <s v="India"/>
    <s v="Maharashtra"/>
    <s v="Pune"/>
    <x v="3"/>
    <s v="Amazon Website"/>
    <s v="Android"/>
    <x v="0"/>
    <s v="Women Clothing"/>
    <s v="Casual Top"/>
    <s v="ONLY"/>
    <s v="FAS-WOM-46940"/>
    <s v="FBM"/>
    <x v="1"/>
    <x v="1"/>
    <n v="2"/>
    <n v="374.01"/>
    <n v="0.1"/>
    <n v="74.8"/>
    <n v="748.02"/>
    <n v="673.22"/>
    <n v="134.68"/>
    <n v="427.22"/>
    <n v="111.32"/>
    <n v="0.16539999999999999"/>
    <n v="0"/>
    <s v="Not Applicable"/>
    <s v="No"/>
    <m/>
    <m/>
    <n v="0"/>
    <s v="Yes"/>
    <s v="Prime Deal"/>
    <n v="583.53"/>
    <n v="1.1536999999999999"/>
    <n v="471"/>
    <s v="In Stock"/>
  </r>
  <r>
    <s v="AMZ26-00584"/>
    <d v="2026-09-27T00:00:00"/>
    <x v="1"/>
    <s v="Q3"/>
    <n v="2026"/>
    <s v="CUST-4863"/>
    <s v="Vivek Das"/>
    <s v="Corporate"/>
    <s v="India"/>
    <s v="Rajasthan"/>
    <s v="Jaipur"/>
    <x v="3"/>
    <s v="Amazon App"/>
    <s v="iOS"/>
    <x v="1"/>
    <s v="Laptops"/>
    <s v="IdeaPad"/>
    <s v="Lenovo"/>
    <s v="ELE-LAP-44889"/>
    <s v="FBA"/>
    <x v="3"/>
    <x v="0"/>
    <n v="5"/>
    <n v="2467.5300000000002"/>
    <n v="0.05"/>
    <n v="616.88"/>
    <n v="12337.65"/>
    <n v="11720.77"/>
    <n v="219.92"/>
    <n v="7098.64"/>
    <n v="4402.21"/>
    <n v="0.37559999999999999"/>
    <n v="2"/>
    <s v="On Time"/>
    <s v="No"/>
    <m/>
    <n v="4"/>
    <n v="4"/>
    <s v="Yes"/>
    <s v="Prime Deal"/>
    <n v="13065.36"/>
    <n v="0.89710000000000001"/>
    <n v="397"/>
    <s v="In Stock"/>
  </r>
  <r>
    <s v="AMZ26-00585"/>
    <d v="2026-05-08T00:00:00"/>
    <x v="2"/>
    <s v="Q2"/>
    <n v="2026"/>
    <s v="CUST-4470"/>
    <s v="Arjun Nair"/>
    <s v="Small Business"/>
    <s v="India"/>
    <s v="Kerala"/>
    <s v="Kochi"/>
    <x v="1"/>
    <s v="Amazon App"/>
    <s v="iOS"/>
    <x v="4"/>
    <s v="Cookware"/>
    <s v="Pressure Cooker"/>
    <s v="Hawkins"/>
    <s v="HOM-COO-91645"/>
    <s v="FBA"/>
    <x v="2"/>
    <x v="2"/>
    <n v="2"/>
    <n v="5084.41"/>
    <n v="0.1"/>
    <n v="1016.88"/>
    <n v="10168.82"/>
    <n v="9151.94"/>
    <n v="138.19"/>
    <n v="4428.1499999999996"/>
    <n v="4585.6000000000004"/>
    <n v="0.50109999999999999"/>
    <n v="7"/>
    <s v="In Transit"/>
    <s v="No"/>
    <m/>
    <m/>
    <n v="0"/>
    <s v="Yes"/>
    <s v="None"/>
    <n v="9854.2900000000009"/>
    <n v="0.92869999999999997"/>
    <n v="448"/>
    <s v="In Stock"/>
  </r>
  <r>
    <s v="AMZ26-00586"/>
    <d v="2026-06-17T00:00:00"/>
    <x v="5"/>
    <s v="Q2"/>
    <n v="2026"/>
    <s v="CUST-1034"/>
    <s v="Arjun Sharma"/>
    <s v="Small Business"/>
    <s v="India"/>
    <s v="Karnataka"/>
    <s v="Mysuru"/>
    <x v="1"/>
    <s v="Amazon App"/>
    <s v="iOS"/>
    <x v="3"/>
    <s v="Staples"/>
    <s v="Cooking Oil"/>
    <s v="Fortune"/>
    <s v="GRO-STA-81509"/>
    <s v="FBA"/>
    <x v="1"/>
    <x v="0"/>
    <n v="4"/>
    <n v="87.29"/>
    <n v="0.1"/>
    <n v="34.92"/>
    <n v="349.16"/>
    <n v="314.24"/>
    <n v="229.45"/>
    <n v="195.68"/>
    <n v="-110.89"/>
    <n v="-0.35289999999999999"/>
    <n v="1"/>
    <s v="On Time"/>
    <s v="No"/>
    <m/>
    <n v="4"/>
    <n v="0"/>
    <s v="No"/>
    <s v="Lightning Deal"/>
    <n v="380.98"/>
    <n v="0.82479999999999998"/>
    <n v="189"/>
    <s v="In Stock"/>
  </r>
  <r>
    <s v="AMZ26-00587"/>
    <d v="2026-12-02T00:00:00"/>
    <x v="11"/>
    <s v="Q4"/>
    <n v="2026"/>
    <s v="CUST-4903"/>
    <s v="Aarav Joshi"/>
    <s v="Small Business"/>
    <s v="India"/>
    <s v="Maharashtra"/>
    <s v="Mumbai"/>
    <x v="3"/>
    <s v="Amazon App"/>
    <s v="iOS"/>
    <x v="2"/>
    <s v="Hair Care"/>
    <s v="Hair Serum"/>
    <s v="L'Oreal"/>
    <s v="BEA-HAI-98293"/>
    <s v="FBM"/>
    <x v="3"/>
    <x v="0"/>
    <n v="1"/>
    <n v="1055.72"/>
    <n v="0.3"/>
    <n v="316.72000000000003"/>
    <n v="1055.72"/>
    <n v="739"/>
    <n v="131.35"/>
    <n v="365.29"/>
    <n v="242.36"/>
    <n v="0.32800000000000001"/>
    <n v="3"/>
    <s v="On Time"/>
    <s v="No"/>
    <m/>
    <n v="3"/>
    <n v="0"/>
    <s v="Yes"/>
    <s v="Bank Offer"/>
    <n v="678.56"/>
    <n v="1.0891"/>
    <n v="407"/>
    <s v="In Stock"/>
  </r>
  <r>
    <s v="AMZ26-00588"/>
    <d v="2026-08-27T00:00:00"/>
    <x v="4"/>
    <s v="Q3"/>
    <n v="2026"/>
    <s v="CUST-1724"/>
    <s v="Arjun Singh"/>
    <s v="Corporate"/>
    <s v="India"/>
    <s v="Karnataka"/>
    <s v="Mysuru"/>
    <x v="1"/>
    <s v="Amazon Website"/>
    <s v="iOS"/>
    <x v="1"/>
    <s v="Laptops"/>
    <s v="Vivobook"/>
    <s v="ASUS"/>
    <s v="ELE-LAP-35106"/>
    <s v="FBA"/>
    <x v="1"/>
    <x v="1"/>
    <n v="5"/>
    <n v="5572.27"/>
    <n v="0.25"/>
    <n v="6965.34"/>
    <n v="27861.35"/>
    <n v="20896.009999999998"/>
    <n v="63.22"/>
    <n v="10992.59"/>
    <n v="9840.2000000000007"/>
    <n v="0.47089999999999999"/>
    <n v="0"/>
    <s v="Not Applicable"/>
    <s v="No"/>
    <m/>
    <m/>
    <n v="0"/>
    <s v="Yes"/>
    <s v="Prime Deal"/>
    <n v="22135.82"/>
    <n v="0.94399999999999995"/>
    <n v="432"/>
    <s v="In Stock"/>
  </r>
  <r>
    <s v="AMZ26-00589"/>
    <d v="2026-01-09T00:00:00"/>
    <x v="10"/>
    <s v="Q1"/>
    <n v="2026"/>
    <s v="CUST-2771"/>
    <s v="Rahul Singh"/>
    <s v="Corporate"/>
    <s v="India"/>
    <s v="Maharashtra"/>
    <s v="Pune"/>
    <x v="3"/>
    <s v="Amazon Website"/>
    <s v="Desktop"/>
    <x v="3"/>
    <s v="Staples"/>
    <s v="Atta"/>
    <s v="Aashirvaad"/>
    <s v="GRO-STA-34761"/>
    <s v="FBA"/>
    <x v="4"/>
    <x v="0"/>
    <n v="1"/>
    <n v="1584.73"/>
    <n v="0.25"/>
    <n v="396.18"/>
    <n v="1584.73"/>
    <n v="1188.55"/>
    <n v="16.420000000000002"/>
    <n v="575.02"/>
    <n v="597.11"/>
    <n v="0.50239999999999996"/>
    <n v="7"/>
    <s v="Delayed"/>
    <s v="No"/>
    <m/>
    <n v="4"/>
    <n v="4"/>
    <s v="No"/>
    <s v="Amazon Coupon"/>
    <n v="1373.65"/>
    <n v="0.86519999999999997"/>
    <n v="181"/>
    <s v="In Stock"/>
  </r>
  <r>
    <s v="AMZ26-00590"/>
    <d v="2026-03-07T00:00:00"/>
    <x v="0"/>
    <s v="Q1"/>
    <n v="2026"/>
    <s v="CUST-2708"/>
    <s v="Sai Verma"/>
    <s v="Small Business"/>
    <s v="India"/>
    <s v="Tamil Nadu"/>
    <s v="Chennai"/>
    <x v="1"/>
    <s v="Amazon Website"/>
    <s v="Desktop"/>
    <x v="3"/>
    <s v="Beverages"/>
    <s v="Green Tea"/>
    <s v="Tata Tea"/>
    <s v="GRO-BEV-15881"/>
    <s v="FBA"/>
    <x v="3"/>
    <x v="0"/>
    <n v="4"/>
    <n v="1556.87"/>
    <n v="0"/>
    <n v="0"/>
    <n v="6227.48"/>
    <n v="6227.48"/>
    <n v="47.7"/>
    <n v="4772.96"/>
    <n v="1406.82"/>
    <n v="0.22589999999999999"/>
    <n v="2"/>
    <s v="On Time"/>
    <s v="No"/>
    <m/>
    <n v="3"/>
    <n v="4"/>
    <s v="Yes"/>
    <s v="Bank Offer"/>
    <n v="6379.44"/>
    <n v="0.97619999999999996"/>
    <n v="286"/>
    <s v="In Stock"/>
  </r>
  <r>
    <s v="AMZ26-00591"/>
    <d v="2026-03-08T00:00:00"/>
    <x v="0"/>
    <s v="Q1"/>
    <n v="2026"/>
    <s v="CUST-1070"/>
    <s v="Rahul Joshi"/>
    <s v="Small Business"/>
    <s v="India"/>
    <s v="Delhi"/>
    <s v="New Delhi"/>
    <x v="0"/>
    <s v="Amazon App"/>
    <s v="Tablet"/>
    <x v="0"/>
    <s v="Footwear"/>
    <s v="Casual Sneakers"/>
    <s v="Puma"/>
    <s v="FAS-FOO-38776"/>
    <s v="FBM"/>
    <x v="3"/>
    <x v="2"/>
    <n v="3"/>
    <n v="3616.8"/>
    <n v="0"/>
    <n v="0"/>
    <n v="10850.4"/>
    <n v="10850.4"/>
    <n v="239.84"/>
    <n v="5803.72"/>
    <n v="4806.84"/>
    <n v="0.443"/>
    <n v="1"/>
    <s v="In Transit"/>
    <s v="No"/>
    <m/>
    <m/>
    <n v="0"/>
    <s v="Yes"/>
    <s v="Amazon Coupon"/>
    <n v="9474.0499999999993"/>
    <n v="1.1453"/>
    <n v="201"/>
    <s v="In Stock"/>
  </r>
  <r>
    <s v="AMZ26-00592"/>
    <d v="2026-04-11T00:00:00"/>
    <x v="9"/>
    <s v="Q2"/>
    <n v="2026"/>
    <s v="CUST-1706"/>
    <s v="Sneha Patel"/>
    <s v="Consumer"/>
    <s v="India"/>
    <s v="Rajasthan"/>
    <s v="Jaipur"/>
    <x v="3"/>
    <s v="Amazon App"/>
    <s v="Android"/>
    <x v="4"/>
    <s v="Kitchen Appliances"/>
    <s v="Mixer Grinder"/>
    <s v="Prestige"/>
    <s v="HOM-KIT-91297"/>
    <s v="FBA"/>
    <x v="4"/>
    <x v="0"/>
    <n v="2"/>
    <n v="2958.88"/>
    <n v="0.1"/>
    <n v="591.78"/>
    <n v="5917.76"/>
    <n v="5325.98"/>
    <n v="134.66999999999999"/>
    <n v="2864.61"/>
    <n v="2326.6999999999998"/>
    <n v="0.43690000000000001"/>
    <n v="6"/>
    <s v="Delayed"/>
    <s v="No"/>
    <m/>
    <n v="4"/>
    <n v="3"/>
    <s v="Yes"/>
    <s v="Prime Deal"/>
    <n v="5444.09"/>
    <n v="0.97829999999999995"/>
    <n v="185"/>
    <s v="In Stock"/>
  </r>
  <r>
    <s v="AMZ26-00593"/>
    <d v="2026-04-04T00:00:00"/>
    <x v="9"/>
    <s v="Q2"/>
    <n v="2026"/>
    <s v="CUST-3578"/>
    <s v="Sneha Verma"/>
    <s v="Consumer"/>
    <s v="India"/>
    <s v="Delhi"/>
    <s v="New Delhi"/>
    <x v="0"/>
    <s v="Amazon Website"/>
    <s v="Desktop"/>
    <x v="2"/>
    <s v="Hair Care"/>
    <s v="Hair Mask"/>
    <s v="Tresemme"/>
    <s v="BEA-HAI-70105"/>
    <s v="FBA"/>
    <x v="5"/>
    <x v="0"/>
    <n v="5"/>
    <n v="972.89"/>
    <n v="0.15"/>
    <n v="729.67"/>
    <n v="4864.45"/>
    <n v="4134.78"/>
    <n v="105.83"/>
    <n v="2823.5"/>
    <n v="1205.45"/>
    <n v="0.29149999999999998"/>
    <n v="7"/>
    <s v="Delayed"/>
    <s v="No"/>
    <m/>
    <n v="4"/>
    <n v="0"/>
    <s v="Yes"/>
    <s v="Festival Sale"/>
    <n v="5059.32"/>
    <n v="0.81730000000000003"/>
    <n v="290"/>
    <s v="In Stock"/>
  </r>
  <r>
    <s v="AMZ26-00594"/>
    <d v="2026-02-26T00:00:00"/>
    <x v="7"/>
    <s v="Q1"/>
    <n v="2026"/>
    <s v="CUST-1641"/>
    <s v="Rahul Kumar"/>
    <s v="Small Business"/>
    <s v="India"/>
    <s v="Gujarat"/>
    <s v="Ahmedabad"/>
    <x v="3"/>
    <s v="Amazon App"/>
    <s v="Desktop"/>
    <x v="0"/>
    <s v="Footwear"/>
    <s v="Sandals"/>
    <s v="Bata"/>
    <s v="FAS-FOO-52636"/>
    <s v="FBM"/>
    <x v="5"/>
    <x v="0"/>
    <n v="3"/>
    <n v="3241.86"/>
    <n v="0"/>
    <n v="0"/>
    <n v="9725.58"/>
    <n v="9725.58"/>
    <n v="221.66"/>
    <n v="7029.15"/>
    <n v="2474.77"/>
    <n v="0.2545"/>
    <n v="6"/>
    <s v="Delayed"/>
    <s v="No"/>
    <m/>
    <n v="5"/>
    <n v="2"/>
    <s v="Yes"/>
    <s v="Lightning Deal"/>
    <n v="8780.48"/>
    <n v="1.1075999999999999"/>
    <n v="260"/>
    <s v="In Stock"/>
  </r>
  <r>
    <s v="AMZ26-00595"/>
    <d v="2026-01-15T00:00:00"/>
    <x v="10"/>
    <s v="Q1"/>
    <n v="2026"/>
    <s v="CUST-3559"/>
    <s v="Aditi Shetty"/>
    <s v="Corporate"/>
    <s v="India"/>
    <s v="Odisha"/>
    <s v="Bhubaneswar"/>
    <x v="2"/>
    <s v="Amazon App"/>
    <s v="Desktop"/>
    <x v="1"/>
    <s v="Laptops"/>
    <s v="IdeaPad"/>
    <s v="Lenovo"/>
    <s v="ELE-LAP-52479"/>
    <s v="FBA"/>
    <x v="1"/>
    <x v="1"/>
    <n v="3"/>
    <n v="663.13"/>
    <n v="0.1"/>
    <n v="198.94"/>
    <n v="1989.39"/>
    <n v="1790.45"/>
    <n v="173.55"/>
    <n v="1045.46"/>
    <n v="571.44000000000005"/>
    <n v="0.31919999999999998"/>
    <n v="0"/>
    <s v="Not Applicable"/>
    <s v="No"/>
    <m/>
    <m/>
    <n v="0"/>
    <s v="Yes"/>
    <s v="Bank Offer"/>
    <n v="2155.4699999999998"/>
    <n v="0.83069999999999999"/>
    <n v="443"/>
    <s v="In Stock"/>
  </r>
  <r>
    <s v="AMZ26-00596"/>
    <d v="2026-02-22T00:00:00"/>
    <x v="7"/>
    <s v="Q1"/>
    <n v="2026"/>
    <s v="CUST-2096"/>
    <s v="Rohan Das"/>
    <s v="Corporate"/>
    <s v="India"/>
    <s v="Tamil Nadu"/>
    <s v="Chennai"/>
    <x v="1"/>
    <s v="Amazon App"/>
    <s v="Desktop"/>
    <x v="1"/>
    <s v="Accessories"/>
    <s v="Keyboard"/>
    <s v="HP"/>
    <s v="ELE-ACC-50192"/>
    <s v="FBM"/>
    <x v="5"/>
    <x v="0"/>
    <n v="4"/>
    <n v="2252.19"/>
    <n v="0"/>
    <n v="0"/>
    <n v="9008.76"/>
    <n v="9008.76"/>
    <n v="221.66"/>
    <n v="5024.7"/>
    <n v="3762.4"/>
    <n v="0.41760000000000003"/>
    <n v="4"/>
    <s v="On Time"/>
    <s v="No"/>
    <m/>
    <n v="5"/>
    <n v="0"/>
    <s v="Yes"/>
    <s v="Amazon Coupon"/>
    <n v="9988.66"/>
    <n v="0.90190000000000003"/>
    <n v="184"/>
    <s v="In Stock"/>
  </r>
  <r>
    <s v="AMZ26-00597"/>
    <d v="2026-08-25T00:00:00"/>
    <x v="4"/>
    <s v="Q3"/>
    <n v="2026"/>
    <s v="CUST-4413"/>
    <s v="Rahul Kumar"/>
    <s v="Consumer"/>
    <s v="India"/>
    <s v="Kerala"/>
    <s v="Kochi"/>
    <x v="1"/>
    <s v="Amazon Website"/>
    <s v="iOS"/>
    <x v="4"/>
    <s v="Cookware"/>
    <s v="Pressure Cooker"/>
    <s v="Hawkins"/>
    <s v="HOM-COO-12602"/>
    <s v="FBA"/>
    <x v="2"/>
    <x v="0"/>
    <n v="3"/>
    <n v="5832.41"/>
    <n v="0.1"/>
    <n v="1749.72"/>
    <n v="17497.23"/>
    <n v="15747.51"/>
    <n v="142.04"/>
    <n v="10322.709999999999"/>
    <n v="5282.76"/>
    <n v="0.33550000000000002"/>
    <n v="8"/>
    <s v="Delayed"/>
    <s v="No"/>
    <m/>
    <n v="4"/>
    <n v="2"/>
    <s v="Yes"/>
    <s v="Lightning Deal"/>
    <n v="14740.17"/>
    <n v="1.0683"/>
    <n v="36"/>
    <s v="Low Stock"/>
  </r>
  <r>
    <s v="AMZ26-00598"/>
    <d v="2026-09-01T00:00:00"/>
    <x v="1"/>
    <s v="Q3"/>
    <n v="2026"/>
    <s v="CUST-1922"/>
    <s v="Nikhil Shetty"/>
    <s v="Small Business"/>
    <s v="India"/>
    <s v="Assam"/>
    <s v="Guwahati"/>
    <x v="2"/>
    <s v="Amazon Website"/>
    <s v="Desktop"/>
    <x v="1"/>
    <s v="Mobiles"/>
    <s v="Moto G"/>
    <s v="Motorola"/>
    <s v="ELE-MOB-39913"/>
    <s v="FBM"/>
    <x v="1"/>
    <x v="0"/>
    <n v="1"/>
    <n v="22705.68"/>
    <n v="0.1"/>
    <n v="2270.5700000000002"/>
    <n v="22705.68"/>
    <n v="20435.11"/>
    <n v="65.8"/>
    <n v="13043.8"/>
    <n v="7325.51"/>
    <n v="0.35849999999999999"/>
    <n v="2"/>
    <s v="On Time"/>
    <s v="No"/>
    <m/>
    <n v="4"/>
    <n v="3"/>
    <s v="No"/>
    <s v="Prime Deal"/>
    <n v="24075.64"/>
    <n v="0.8488"/>
    <n v="42"/>
    <s v="In Stock"/>
  </r>
  <r>
    <s v="AMZ26-00599"/>
    <d v="2026-01-22T00:00:00"/>
    <x v="10"/>
    <s v="Q1"/>
    <n v="2026"/>
    <s v="CUST-1698"/>
    <s v="Kiran Sharma"/>
    <s v="Corporate"/>
    <s v="India"/>
    <s v="Maharashtra"/>
    <s v="Pune"/>
    <x v="3"/>
    <s v="Amazon App"/>
    <s v="Tablet"/>
    <x v="3"/>
    <s v="Beverages"/>
    <s v="Green Tea"/>
    <s v="Tata Tea"/>
    <s v="GRO-BEV-79815"/>
    <s v="FBA"/>
    <x v="4"/>
    <x v="0"/>
    <n v="2"/>
    <n v="158.51"/>
    <n v="0.1"/>
    <n v="31.7"/>
    <n v="317.02"/>
    <n v="285.32"/>
    <n v="80.11"/>
    <n v="181.82"/>
    <n v="23.39"/>
    <n v="8.2000000000000003E-2"/>
    <n v="8"/>
    <s v="Delayed"/>
    <s v="No"/>
    <m/>
    <n v="4"/>
    <n v="2"/>
    <s v="Yes"/>
    <s v="Festival Sale"/>
    <n v="271.89"/>
    <n v="1.0494000000000001"/>
    <n v="455"/>
    <s v="In Stock"/>
  </r>
  <r>
    <s v="AMZ26-00600"/>
    <d v="2026-12-17T00:00:00"/>
    <x v="11"/>
    <s v="Q4"/>
    <n v="2026"/>
    <s v="CUST-2594"/>
    <s v="Rahul Sharma"/>
    <s v="Consumer"/>
    <s v="India"/>
    <s v="Gujarat"/>
    <s v="Ahmedabad"/>
    <x v="3"/>
    <s v="Amazon App"/>
    <s v="iOS"/>
    <x v="0"/>
    <s v="Footwear"/>
    <s v="Casual Sneakers"/>
    <s v="Puma"/>
    <s v="FAS-FOO-14670"/>
    <s v="FBA"/>
    <x v="0"/>
    <x v="1"/>
    <n v="5"/>
    <n v="4637.4799999999996"/>
    <n v="0.1"/>
    <n v="2318.7399999999998"/>
    <n v="23187.4"/>
    <n v="20868.66"/>
    <n v="124.95"/>
    <n v="12312.86"/>
    <n v="8430.85"/>
    <n v="0.40400000000000003"/>
    <n v="0"/>
    <s v="Not Applicable"/>
    <s v="No"/>
    <m/>
    <m/>
    <n v="0"/>
    <s v="Yes"/>
    <s v="Festival Sale"/>
    <n v="25669.52"/>
    <n v="0.81299999999999994"/>
    <n v="479"/>
    <s v="In Stock"/>
  </r>
  <r>
    <s v="AMZ26-00601"/>
    <d v="2026-02-27T00:00:00"/>
    <x v="7"/>
    <s v="Q1"/>
    <n v="2026"/>
    <s v="CUST-2323"/>
    <s v="Vivek Sharma"/>
    <s v="Consumer"/>
    <s v="India"/>
    <s v="Maharashtra"/>
    <s v="Mumbai"/>
    <x v="3"/>
    <s v="Amazon Website"/>
    <s v="Tablet"/>
    <x v="0"/>
    <s v="Women Clothing"/>
    <s v="Casual Top"/>
    <s v="ONLY"/>
    <s v="FAS-WOM-44101"/>
    <s v="FBM"/>
    <x v="5"/>
    <x v="0"/>
    <n v="5"/>
    <n v="1346.35"/>
    <n v="0"/>
    <n v="0"/>
    <n v="6731.75"/>
    <n v="6731.75"/>
    <n v="187.91"/>
    <n v="4398.18"/>
    <n v="2145.66"/>
    <n v="0.31869999999999998"/>
    <n v="4"/>
    <s v="On Time"/>
    <s v="No"/>
    <m/>
    <n v="4"/>
    <n v="2"/>
    <s v="Yes"/>
    <s v="None"/>
    <n v="7600.98"/>
    <n v="0.88560000000000005"/>
    <n v="315"/>
    <s v="In Stock"/>
  </r>
  <r>
    <s v="AMZ26-00602"/>
    <d v="2026-02-15T00:00:00"/>
    <x v="7"/>
    <s v="Q1"/>
    <n v="2026"/>
    <s v="CUST-2801"/>
    <s v="Ananya Yadav"/>
    <s v="Consumer"/>
    <s v="India"/>
    <s v="Uttar Pradesh"/>
    <s v="Noida"/>
    <x v="0"/>
    <s v="Amazon App"/>
    <s v="Android"/>
    <x v="4"/>
    <s v="Kitchen Appliances"/>
    <s v="Electric Kettle"/>
    <s v="Pigeon"/>
    <s v="HOM-KIT-60189"/>
    <s v="FBM"/>
    <x v="4"/>
    <x v="2"/>
    <n v="5"/>
    <n v="10377.73"/>
    <n v="0.05"/>
    <n v="2594.4299999999998"/>
    <n v="51888.65"/>
    <n v="49294.22"/>
    <n v="202.57"/>
    <n v="33938.720000000001"/>
    <n v="15152.93"/>
    <n v="0.30740000000000001"/>
    <n v="8"/>
    <s v="In Transit"/>
    <s v="No"/>
    <m/>
    <m/>
    <n v="0"/>
    <s v="Yes"/>
    <s v="Lightning Deal"/>
    <n v="52957.33"/>
    <n v="0.93079999999999996"/>
    <n v="207"/>
    <s v="In Stock"/>
  </r>
  <r>
    <s v="AMZ26-00603"/>
    <d v="2026-02-17T00:00:00"/>
    <x v="7"/>
    <s v="Q1"/>
    <n v="2026"/>
    <s v="CUST-2210"/>
    <s v="Nandini Nair"/>
    <s v="Corporate"/>
    <s v="India"/>
    <s v="Karnataka"/>
    <s v="Bengaluru"/>
    <x v="1"/>
    <s v="Amazon Website"/>
    <s v="Android"/>
    <x v="0"/>
    <s v="Men Clothing"/>
    <s v="Casual T-Shirt"/>
    <s v="Puma"/>
    <s v="FAS-MEN-70575"/>
    <s v="FBM"/>
    <x v="1"/>
    <x v="0"/>
    <n v="2"/>
    <n v="3045.16"/>
    <n v="0"/>
    <n v="0"/>
    <n v="6090.32"/>
    <n v="6090.32"/>
    <n v="136.12"/>
    <n v="4501.8100000000004"/>
    <n v="1452.39"/>
    <n v="0.23849999999999999"/>
    <n v="3"/>
    <s v="On Time"/>
    <s v="No"/>
    <m/>
    <n v="4"/>
    <n v="0"/>
    <s v="No"/>
    <s v="None"/>
    <n v="6015.08"/>
    <n v="1.0125"/>
    <n v="80"/>
    <s v="In Stock"/>
  </r>
  <r>
    <s v="AMZ26-00604"/>
    <d v="2026-05-28T00:00:00"/>
    <x v="2"/>
    <s v="Q2"/>
    <n v="2026"/>
    <s v="CUST-3223"/>
    <s v="Aditi Gupta"/>
    <s v="Small Business"/>
    <s v="India"/>
    <s v="Kerala"/>
    <s v="Kochi"/>
    <x v="1"/>
    <s v="Amazon Website"/>
    <s v="Desktop"/>
    <x v="4"/>
    <s v="Cookware"/>
    <s v="Cookware Set"/>
    <s v="Pigeon"/>
    <s v="HOM-COO-78562"/>
    <s v="FBA"/>
    <x v="5"/>
    <x v="0"/>
    <n v="1"/>
    <n v="8028.69"/>
    <n v="0"/>
    <n v="0"/>
    <n v="8028.69"/>
    <n v="8028.69"/>
    <n v="203.23"/>
    <n v="5656.98"/>
    <n v="2168.48"/>
    <n v="0.27010000000000001"/>
    <n v="5"/>
    <s v="Delayed"/>
    <s v="No"/>
    <m/>
    <n v="5"/>
    <n v="0"/>
    <s v="No"/>
    <s v="Amazon Coupon"/>
    <n v="7713.57"/>
    <n v="1.0408999999999999"/>
    <n v="478"/>
    <s v="In Stock"/>
  </r>
  <r>
    <s v="AMZ26-00605"/>
    <d v="2026-04-11T00:00:00"/>
    <x v="9"/>
    <s v="Q2"/>
    <n v="2026"/>
    <s v="CUST-4911"/>
    <s v="Ananya Joshi"/>
    <s v="Small Business"/>
    <s v="India"/>
    <s v="Telangana"/>
    <s v="Hyderabad"/>
    <x v="1"/>
    <s v="Amazon Website"/>
    <s v="Android"/>
    <x v="4"/>
    <s v="Cookware"/>
    <s v="Cookware Set"/>
    <s v="Pigeon"/>
    <s v="HOM-COO-98348"/>
    <s v="FBA"/>
    <x v="0"/>
    <x v="0"/>
    <n v="2"/>
    <n v="337.97"/>
    <n v="0.3"/>
    <n v="202.78"/>
    <n v="675.94"/>
    <n v="473.16"/>
    <n v="52.33"/>
    <n v="300.64999999999998"/>
    <n v="120.18"/>
    <n v="0.254"/>
    <n v="7"/>
    <s v="Delayed"/>
    <s v="No"/>
    <m/>
    <n v="4"/>
    <n v="1"/>
    <s v="Yes"/>
    <s v="None"/>
    <n v="579.78"/>
    <n v="0.81610000000000005"/>
    <n v="483"/>
    <s v="In Stock"/>
  </r>
  <r>
    <s v="AMZ26-00606"/>
    <d v="2026-07-22T00:00:00"/>
    <x v="3"/>
    <s v="Q3"/>
    <n v="2026"/>
    <s v="CUST-1688"/>
    <s v="Aditya Patel"/>
    <s v="Small Business"/>
    <s v="India"/>
    <s v="Rajasthan"/>
    <s v="Jaipur"/>
    <x v="3"/>
    <s v="Amazon App"/>
    <s v="iOS"/>
    <x v="3"/>
    <s v="Snacks"/>
    <s v="Cookies"/>
    <s v="Britannia"/>
    <s v="GRO-SNA-84600"/>
    <s v="FBM"/>
    <x v="2"/>
    <x v="2"/>
    <n v="4"/>
    <n v="232.75"/>
    <n v="0.1"/>
    <n v="93.1"/>
    <n v="931"/>
    <n v="837.9"/>
    <n v="227.61"/>
    <n v="465.11"/>
    <n v="145.18"/>
    <n v="0.17330000000000001"/>
    <n v="4"/>
    <s v="In Transit"/>
    <s v="No"/>
    <m/>
    <m/>
    <n v="0"/>
    <s v="No"/>
    <s v="Bank Offer"/>
    <n v="796.45"/>
    <n v="1.052"/>
    <n v="468"/>
    <s v="In Stock"/>
  </r>
  <r>
    <s v="AMZ26-00607"/>
    <d v="2026-12-26T00:00:00"/>
    <x v="11"/>
    <s v="Q4"/>
    <n v="2026"/>
    <s v="CUST-2323"/>
    <s v="Aditya Das"/>
    <s v="Corporate"/>
    <s v="India"/>
    <s v="Karnataka"/>
    <s v="Bengaluru"/>
    <x v="1"/>
    <s v="Amazon Website"/>
    <s v="Desktop"/>
    <x v="4"/>
    <s v="Cookware"/>
    <s v="Pressure Cooker"/>
    <s v="Hawkins"/>
    <s v="HOM-COO-87358"/>
    <s v="FBM"/>
    <x v="1"/>
    <x v="0"/>
    <n v="2"/>
    <n v="1866.2"/>
    <n v="0.1"/>
    <n v="373.24"/>
    <n v="3732.4"/>
    <n v="3359.16"/>
    <n v="195.6"/>
    <n v="2113.1"/>
    <n v="1050.46"/>
    <n v="0.31269999999999998"/>
    <n v="6"/>
    <s v="Delayed"/>
    <s v="No"/>
    <m/>
    <n v="5"/>
    <n v="2"/>
    <s v="No"/>
    <s v="Festival Sale"/>
    <n v="3609.27"/>
    <n v="0.93069999999999997"/>
    <n v="403"/>
    <s v="In Stock"/>
  </r>
  <r>
    <s v="AMZ26-00608"/>
    <d v="2026-03-05T00:00:00"/>
    <x v="0"/>
    <s v="Q1"/>
    <n v="2026"/>
    <s v="CUST-1012"/>
    <s v="Kavya Das"/>
    <s v="Consumer"/>
    <s v="India"/>
    <s v="Karnataka"/>
    <s v="Mysuru"/>
    <x v="1"/>
    <s v="Amazon App"/>
    <s v="Desktop"/>
    <x v="1"/>
    <s v="Mobiles"/>
    <s v="Galaxy A Series"/>
    <s v="Samsung"/>
    <s v="ELE-MOB-93256"/>
    <s v="FBA"/>
    <x v="1"/>
    <x v="2"/>
    <n v="4"/>
    <n v="10284.370000000001"/>
    <n v="0"/>
    <n v="0"/>
    <n v="41137.480000000003"/>
    <n v="41137.480000000003"/>
    <n v="196.81"/>
    <n v="23636.01"/>
    <n v="17304.66"/>
    <n v="0.42070000000000002"/>
    <n v="3"/>
    <s v="In Transit"/>
    <s v="No"/>
    <m/>
    <m/>
    <n v="0"/>
    <s v="Yes"/>
    <s v="Bank Offer"/>
    <n v="35629.760000000002"/>
    <n v="1.1546000000000001"/>
    <n v="27"/>
    <s v="Low Stock"/>
  </r>
  <r>
    <s v="AMZ26-00609"/>
    <d v="2026-03-08T00:00:00"/>
    <x v="0"/>
    <s v="Q1"/>
    <n v="2026"/>
    <s v="CUST-3490"/>
    <s v="Sai Reddy"/>
    <s v="Small Business"/>
    <s v="India"/>
    <s v="Uttar Pradesh"/>
    <s v="Noida"/>
    <x v="0"/>
    <s v="Amazon Website"/>
    <s v="iOS"/>
    <x v="0"/>
    <s v="Women Clothing"/>
    <s v="Printed Kurti"/>
    <s v="BIBA"/>
    <s v="FAS-WOM-85841"/>
    <s v="FBA"/>
    <x v="5"/>
    <x v="2"/>
    <n v="3"/>
    <n v="1873.92"/>
    <n v="0.25"/>
    <n v="1405.44"/>
    <n v="5621.76"/>
    <n v="4216.32"/>
    <n v="216.36"/>
    <n v="2789"/>
    <n v="1210.96"/>
    <n v="0.28720000000000001"/>
    <n v="3"/>
    <s v="In Transit"/>
    <s v="No"/>
    <m/>
    <m/>
    <n v="0"/>
    <s v="No"/>
    <s v="None"/>
    <n v="4869.2700000000004"/>
    <n v="0.8659"/>
    <n v="88"/>
    <s v="In Stock"/>
  </r>
  <r>
    <s v="AMZ26-00610"/>
    <d v="2026-12-14T00:00:00"/>
    <x v="11"/>
    <s v="Q4"/>
    <n v="2026"/>
    <s v="CUST-3131"/>
    <s v="Aarav Yadav"/>
    <s v="Small Business"/>
    <s v="India"/>
    <s v="Uttar Pradesh"/>
    <s v="Noida"/>
    <x v="0"/>
    <s v="Amazon App"/>
    <s v="iOS"/>
    <x v="3"/>
    <s v="Beverages"/>
    <s v="Coffee"/>
    <s v="Nescafe"/>
    <s v="GRO-BEV-56536"/>
    <s v="FBA"/>
    <x v="2"/>
    <x v="0"/>
    <n v="1"/>
    <n v="1067.81"/>
    <n v="0.1"/>
    <n v="106.78"/>
    <n v="1067.81"/>
    <n v="961.03"/>
    <n v="202.42"/>
    <n v="604.35"/>
    <n v="154.26"/>
    <n v="0.1605"/>
    <n v="7"/>
    <s v="Delayed"/>
    <s v="No"/>
    <m/>
    <n v="4"/>
    <n v="1"/>
    <s v="No"/>
    <s v="Bank Offer"/>
    <n v="903.93"/>
    <n v="1.0631999999999999"/>
    <n v="468"/>
    <s v="In Stock"/>
  </r>
  <r>
    <s v="AMZ26-00611"/>
    <d v="2026-01-07T00:00:00"/>
    <x v="10"/>
    <s v="Q1"/>
    <n v="2026"/>
    <s v="CUST-2071"/>
    <s v="Meera Singh"/>
    <s v="Corporate"/>
    <s v="India"/>
    <s v="Maharashtra"/>
    <s v="Pune"/>
    <x v="3"/>
    <s v="Amazon Website"/>
    <s v="Tablet"/>
    <x v="3"/>
    <s v="Staples"/>
    <s v="Basmati Rice"/>
    <s v="India Gate"/>
    <s v="GRO-STA-40027"/>
    <s v="FBA"/>
    <x v="1"/>
    <x v="0"/>
    <n v="1"/>
    <n v="1383.74"/>
    <n v="0.2"/>
    <n v="276.75"/>
    <n v="1383.74"/>
    <n v="1106.99"/>
    <n v="100.64"/>
    <n v="702.67"/>
    <n v="303.68"/>
    <n v="0.27429999999999999"/>
    <n v="5"/>
    <s v="Delayed"/>
    <s v="No"/>
    <m/>
    <n v="5"/>
    <n v="1"/>
    <s v="No"/>
    <s v="Bank Offer"/>
    <n v="1299.45"/>
    <n v="0.85189999999999999"/>
    <n v="242"/>
    <s v="In Stock"/>
  </r>
  <r>
    <s v="AMZ26-00612"/>
    <d v="2026-07-30T00:00:00"/>
    <x v="3"/>
    <s v="Q3"/>
    <n v="2026"/>
    <s v="CUST-3085"/>
    <s v="Sai Joshi"/>
    <s v="Small Business"/>
    <s v="India"/>
    <s v="Maharashtra"/>
    <s v="Mumbai"/>
    <x v="3"/>
    <s v="Amazon Website"/>
    <s v="Android"/>
    <x v="3"/>
    <s v="Snacks"/>
    <s v="Cookies"/>
    <s v="Britannia"/>
    <s v="GRO-SNA-51586"/>
    <s v="FBM"/>
    <x v="2"/>
    <x v="1"/>
    <n v="1"/>
    <n v="980.52"/>
    <n v="0.3"/>
    <n v="294.16000000000003"/>
    <n v="980.52"/>
    <n v="686.36"/>
    <n v="202.86"/>
    <n v="363.52"/>
    <n v="119.98"/>
    <n v="0.17480000000000001"/>
    <n v="0"/>
    <s v="Not Applicable"/>
    <s v="No"/>
    <m/>
    <m/>
    <n v="0"/>
    <s v="No"/>
    <s v="Bank Offer"/>
    <n v="632.1"/>
    <n v="1.0858000000000001"/>
    <n v="395"/>
    <s v="In Stock"/>
  </r>
  <r>
    <s v="AMZ26-00613"/>
    <d v="2026-05-29T00:00:00"/>
    <x v="2"/>
    <s v="Q2"/>
    <n v="2026"/>
    <s v="CUST-2478"/>
    <s v="Pooja Iyer"/>
    <s v="Consumer"/>
    <s v="India"/>
    <s v="Gujarat"/>
    <s v="Ahmedabad"/>
    <x v="3"/>
    <s v="Amazon Website"/>
    <s v="Android"/>
    <x v="2"/>
    <s v="Skin Care"/>
    <s v="Moisturizer"/>
    <s v="Cetaphil"/>
    <s v="BEA-SKI-42407"/>
    <s v="FBM"/>
    <x v="1"/>
    <x v="2"/>
    <n v="2"/>
    <n v="1600.64"/>
    <n v="0.05"/>
    <n v="160.06"/>
    <n v="3201.28"/>
    <n v="3041.22"/>
    <n v="209.71"/>
    <n v="2199.7399999999998"/>
    <n v="631.77"/>
    <n v="0.2077"/>
    <n v="5"/>
    <s v="In Transit"/>
    <s v="No"/>
    <m/>
    <m/>
    <n v="0"/>
    <s v="No"/>
    <s v="Bank Offer"/>
    <n v="3584.76"/>
    <n v="0.84840000000000004"/>
    <n v="53"/>
    <s v="In Stock"/>
  </r>
  <r>
    <s v="AMZ26-00614"/>
    <d v="2026-06-06T00:00:00"/>
    <x v="5"/>
    <s v="Q2"/>
    <n v="2026"/>
    <s v="CUST-1985"/>
    <s v="Sai Shetty"/>
    <s v="Consumer"/>
    <s v="India"/>
    <s v="Maharashtra"/>
    <s v="Mumbai"/>
    <x v="3"/>
    <s v="Amazon App"/>
    <s v="Desktop"/>
    <x v="0"/>
    <s v="Footwear"/>
    <s v="Sandals"/>
    <s v="Bata"/>
    <s v="FAS-FOO-95794"/>
    <s v="FBM"/>
    <x v="3"/>
    <x v="2"/>
    <n v="5"/>
    <n v="3678.66"/>
    <n v="0.25"/>
    <n v="4598.32"/>
    <n v="18393.3"/>
    <n v="13794.98"/>
    <n v="68.41"/>
    <n v="10049.02"/>
    <n v="3677.55"/>
    <n v="0.2666"/>
    <n v="8"/>
    <s v="In Transit"/>
    <s v="No"/>
    <m/>
    <m/>
    <n v="0"/>
    <s v="No"/>
    <s v="Lightning Deal"/>
    <n v="13017.38"/>
    <n v="1.0597000000000001"/>
    <n v="78"/>
    <s v="In Stock"/>
  </r>
  <r>
    <s v="AMZ26-00615"/>
    <d v="2026-05-08T00:00:00"/>
    <x v="2"/>
    <s v="Q2"/>
    <n v="2026"/>
    <s v="CUST-4279"/>
    <s v="Ananya Rao"/>
    <s v="Small Business"/>
    <s v="India"/>
    <s v="Karnataka"/>
    <s v="Mysuru"/>
    <x v="1"/>
    <s v="Amazon Website"/>
    <s v="Android"/>
    <x v="1"/>
    <s v="Mobiles"/>
    <s v="Nord CE"/>
    <s v="OnePlus"/>
    <s v="ELE-MOB-64342"/>
    <s v="FBM"/>
    <x v="2"/>
    <x v="0"/>
    <n v="2"/>
    <n v="500.23"/>
    <n v="0.25"/>
    <n v="250.12"/>
    <n v="1000.46"/>
    <n v="750.34"/>
    <n v="30.37"/>
    <n v="533.82000000000005"/>
    <n v="186.15"/>
    <n v="0.24809999999999999"/>
    <n v="7"/>
    <s v="Delayed"/>
    <s v="No"/>
    <m/>
    <n v="4"/>
    <n v="0"/>
    <s v="No"/>
    <s v="None"/>
    <n v="780.32"/>
    <n v="0.96160000000000001"/>
    <n v="257"/>
    <s v="In Stock"/>
  </r>
  <r>
    <s v="AMZ26-00616"/>
    <d v="2026-10-11T00:00:00"/>
    <x v="8"/>
    <s v="Q4"/>
    <n v="2026"/>
    <s v="CUST-4573"/>
    <s v="Aditi Kumar"/>
    <s v="Small Business"/>
    <s v="India"/>
    <s v="Gujarat"/>
    <s v="Ahmedabad"/>
    <x v="3"/>
    <s v="Amazon App"/>
    <s v="Tablet"/>
    <x v="4"/>
    <s v="Home Decor"/>
    <s v="Curtain Set"/>
    <s v="Home Centre"/>
    <s v="HOM-HOM-83058"/>
    <s v="FBA"/>
    <x v="5"/>
    <x v="0"/>
    <n v="1"/>
    <n v="256.98"/>
    <n v="0.1"/>
    <n v="25.7"/>
    <n v="256.98"/>
    <n v="231.28"/>
    <n v="65.58"/>
    <n v="129.13"/>
    <n v="36.57"/>
    <n v="0.15809999999999999"/>
    <n v="1"/>
    <s v="On Time"/>
    <s v="No"/>
    <m/>
    <n v="5"/>
    <n v="0"/>
    <s v="Yes"/>
    <s v="None"/>
    <n v="208.57"/>
    <n v="1.1089"/>
    <n v="497"/>
    <s v="In Stock"/>
  </r>
  <r>
    <s v="AMZ26-00617"/>
    <d v="2026-09-28T00:00:00"/>
    <x v="1"/>
    <s v="Q3"/>
    <n v="2026"/>
    <s v="CUST-4511"/>
    <s v="Ananya Shetty"/>
    <s v="Small Business"/>
    <s v="India"/>
    <s v="Punjab"/>
    <s v="Ludhiana"/>
    <x v="0"/>
    <s v="Amazon Website"/>
    <s v="Desktop"/>
    <x v="4"/>
    <s v="Kitchen Appliances"/>
    <s v="Mixer Grinder"/>
    <s v="Prestige"/>
    <s v="HOM-KIT-86598"/>
    <s v="FBA"/>
    <x v="2"/>
    <x v="0"/>
    <n v="4"/>
    <n v="509.77"/>
    <n v="0.15"/>
    <n v="305.86"/>
    <n v="2039.08"/>
    <n v="1733.22"/>
    <n v="93.85"/>
    <n v="968.83"/>
    <n v="670.54"/>
    <n v="0.38690000000000002"/>
    <n v="2"/>
    <s v="On Time"/>
    <s v="No"/>
    <m/>
    <n v="5"/>
    <n v="0"/>
    <s v="Yes"/>
    <s v="Lightning Deal"/>
    <n v="1780.12"/>
    <n v="0.97370000000000001"/>
    <n v="414"/>
    <s v="In Stock"/>
  </r>
  <r>
    <s v="AMZ26-00618"/>
    <d v="2026-05-13T00:00:00"/>
    <x v="2"/>
    <s v="Q2"/>
    <n v="2026"/>
    <s v="CUST-3038"/>
    <s v="Vihaan Sharma"/>
    <s v="Consumer"/>
    <s v="India"/>
    <s v="Rajasthan"/>
    <s v="Jaipur"/>
    <x v="3"/>
    <s v="Amazon App"/>
    <s v="Tablet"/>
    <x v="0"/>
    <s v="Footwear"/>
    <s v="Sandals"/>
    <s v="Bata"/>
    <s v="FAS-FOO-27233"/>
    <s v="FBA"/>
    <x v="4"/>
    <x v="0"/>
    <n v="5"/>
    <n v="4205.91"/>
    <n v="0.25"/>
    <n v="5257.39"/>
    <n v="21029.55"/>
    <n v="15772.16"/>
    <n v="59.7"/>
    <n v="10299.19"/>
    <n v="5413.27"/>
    <n v="0.34320000000000001"/>
    <n v="6"/>
    <s v="Delayed"/>
    <s v="No"/>
    <m/>
    <n v="5"/>
    <n v="3"/>
    <s v="Yes"/>
    <s v="None"/>
    <n v="17937.990000000002"/>
    <n v="0.87929999999999997"/>
    <n v="17"/>
    <s v="Low Stock"/>
  </r>
  <r>
    <s v="AMZ26-00619"/>
    <d v="2026-04-21T00:00:00"/>
    <x v="9"/>
    <s v="Q2"/>
    <n v="2026"/>
    <s v="CUST-4725"/>
    <s v="Meera Rao"/>
    <s v="Corporate"/>
    <s v="India"/>
    <s v="Punjab"/>
    <s v="Ludhiana"/>
    <x v="0"/>
    <s v="Amazon Website"/>
    <s v="Android"/>
    <x v="4"/>
    <s v="Home Decor"/>
    <s v="LED Lamp"/>
    <s v="Wipro"/>
    <s v="HOM-HOM-45496"/>
    <s v="FBM"/>
    <x v="0"/>
    <x v="0"/>
    <n v="3"/>
    <n v="8343.34"/>
    <n v="0"/>
    <n v="0"/>
    <n v="25030.02"/>
    <n v="25030.02"/>
    <n v="70.290000000000006"/>
    <n v="19108.82"/>
    <n v="5850.91"/>
    <n v="0.23380000000000001"/>
    <n v="2"/>
    <s v="On Time"/>
    <s v="No"/>
    <m/>
    <n v="4"/>
    <n v="2"/>
    <s v="No"/>
    <s v="Amazon Coupon"/>
    <n v="26545.599999999999"/>
    <n v="0.94289999999999996"/>
    <n v="111"/>
    <s v="In Stock"/>
  </r>
  <r>
    <s v="AMZ26-00620"/>
    <d v="2026-08-07T00:00:00"/>
    <x v="4"/>
    <s v="Q3"/>
    <n v="2026"/>
    <s v="CUST-1489"/>
    <s v="Vihaan Joshi"/>
    <s v="Corporate"/>
    <s v="India"/>
    <s v="Rajasthan"/>
    <s v="Jaipur"/>
    <x v="3"/>
    <s v="Amazon Website"/>
    <s v="Desktop"/>
    <x v="2"/>
    <s v="Makeup"/>
    <s v="Foundation"/>
    <s v="Lakme"/>
    <s v="BEA-MAK-40213"/>
    <s v="FBM"/>
    <x v="5"/>
    <x v="2"/>
    <n v="1"/>
    <n v="1366.06"/>
    <n v="0.3"/>
    <n v="409.82"/>
    <n v="1366.06"/>
    <n v="956.24"/>
    <n v="57.64"/>
    <n v="589.01"/>
    <n v="309.58999999999997"/>
    <n v="0.32379999999999998"/>
    <n v="1"/>
    <s v="In Transit"/>
    <s v="No"/>
    <m/>
    <m/>
    <n v="0"/>
    <s v="Yes"/>
    <s v="Amazon Coupon"/>
    <n v="969.97"/>
    <n v="0.98580000000000001"/>
    <n v="414"/>
    <s v="In Stock"/>
  </r>
  <r>
    <s v="AMZ26-00621"/>
    <d v="2026-01-07T00:00:00"/>
    <x v="10"/>
    <s v="Q1"/>
    <n v="2026"/>
    <s v="CUST-1160"/>
    <s v="Vihaan Joshi"/>
    <s v="Corporate"/>
    <s v="India"/>
    <s v="Kerala"/>
    <s v="Kochi"/>
    <x v="1"/>
    <s v="Amazon Website"/>
    <s v="Android"/>
    <x v="2"/>
    <s v="Hair Care"/>
    <s v="Shampoo"/>
    <s v="Dove"/>
    <s v="BEA-HAI-88129"/>
    <s v="FBA"/>
    <x v="2"/>
    <x v="0"/>
    <n v="2"/>
    <n v="151.49"/>
    <n v="0.15"/>
    <n v="45.45"/>
    <n v="302.98"/>
    <n v="257.52999999999997"/>
    <n v="114.57"/>
    <n v="157.63"/>
    <n v="-14.67"/>
    <n v="-5.7000000000000002E-2"/>
    <n v="3"/>
    <s v="On Time"/>
    <s v="No"/>
    <m/>
    <n v="5"/>
    <n v="3"/>
    <s v="Yes"/>
    <s v="Prime Deal"/>
    <n v="223.27"/>
    <n v="1.1534"/>
    <n v="6"/>
    <s v="Low Stock"/>
  </r>
  <r>
    <s v="AMZ26-00622"/>
    <d v="2026-04-05T00:00:00"/>
    <x v="9"/>
    <s v="Q2"/>
    <n v="2026"/>
    <s v="CUST-3575"/>
    <s v="Sai Reddy"/>
    <s v="Small Business"/>
    <s v="India"/>
    <s v="Telangana"/>
    <s v="Hyderabad"/>
    <x v="1"/>
    <s v="Amazon App"/>
    <s v="Tablet"/>
    <x v="4"/>
    <s v="Cookware"/>
    <s v="Nonstick Pan"/>
    <s v="Prestige"/>
    <s v="HOM-COO-43643"/>
    <s v="FBA"/>
    <x v="2"/>
    <x v="0"/>
    <n v="2"/>
    <n v="9962.99"/>
    <n v="0.2"/>
    <n v="3985.2"/>
    <n v="19925.98"/>
    <n v="15940.78"/>
    <n v="191.92"/>
    <n v="8690.32"/>
    <n v="7058.54"/>
    <n v="0.44280000000000003"/>
    <n v="4"/>
    <s v="On Time"/>
    <s v="Yes"/>
    <s v="Changed Mind"/>
    <n v="3"/>
    <n v="1"/>
    <s v="Yes"/>
    <s v="None"/>
    <n v="18878.46"/>
    <n v="0.84440000000000004"/>
    <n v="225"/>
    <s v="In Stock"/>
  </r>
  <r>
    <s v="AMZ26-00623"/>
    <d v="2026-12-12T00:00:00"/>
    <x v="11"/>
    <s v="Q4"/>
    <n v="2026"/>
    <s v="CUST-1123"/>
    <s v="Rahul Rao"/>
    <s v="Corporate"/>
    <s v="India"/>
    <s v="Haryana"/>
    <s v="Gurugram"/>
    <x v="0"/>
    <s v="Amazon Website"/>
    <s v="Tablet"/>
    <x v="3"/>
    <s v="Snacks"/>
    <s v="Mixed Nuts"/>
    <s v="Happilo"/>
    <s v="GRO-SNA-41003"/>
    <s v="FBA"/>
    <x v="4"/>
    <x v="1"/>
    <n v="5"/>
    <n v="423.76"/>
    <n v="0"/>
    <n v="0"/>
    <n v="2118.8000000000002"/>
    <n v="2118.8000000000002"/>
    <n v="204.25"/>
    <n v="1428.45"/>
    <n v="486.1"/>
    <n v="0.22939999999999999"/>
    <n v="0"/>
    <s v="Not Applicable"/>
    <s v="No"/>
    <m/>
    <m/>
    <n v="0"/>
    <s v="Yes"/>
    <s v="None"/>
    <n v="2343.9699999999998"/>
    <n v="0.90390000000000004"/>
    <n v="454"/>
    <s v="In Stock"/>
  </r>
  <r>
    <s v="AMZ26-00624"/>
    <d v="2026-03-29T00:00:00"/>
    <x v="0"/>
    <s v="Q1"/>
    <n v="2026"/>
    <s v="CUST-4038"/>
    <s v="Arjun Sharma"/>
    <s v="Consumer"/>
    <s v="India"/>
    <s v="Maharashtra"/>
    <s v="Mumbai"/>
    <x v="3"/>
    <s v="Amazon App"/>
    <s v="Android"/>
    <x v="2"/>
    <s v="Makeup"/>
    <s v="Foundation"/>
    <s v="Lakme"/>
    <s v="BEA-MAK-36859"/>
    <s v="FBM"/>
    <x v="0"/>
    <x v="0"/>
    <n v="4"/>
    <n v="1843.73"/>
    <n v="0"/>
    <n v="0"/>
    <n v="7374.92"/>
    <n v="7374.92"/>
    <n v="145.07"/>
    <n v="3832.3"/>
    <n v="3397.55"/>
    <n v="0.4607"/>
    <n v="6"/>
    <s v="Delayed"/>
    <s v="Yes"/>
    <s v="Changed Mind"/>
    <n v="4"/>
    <n v="1"/>
    <s v="Yes"/>
    <s v="Amazon Coupon"/>
    <n v="6785.65"/>
    <n v="1.0868"/>
    <n v="357"/>
    <s v="In Stock"/>
  </r>
  <r>
    <s v="AMZ26-00625"/>
    <d v="2026-07-24T00:00:00"/>
    <x v="3"/>
    <s v="Q3"/>
    <n v="2026"/>
    <s v="CUST-3371"/>
    <s v="Kavya Kumar"/>
    <s v="Consumer"/>
    <s v="India"/>
    <s v="Odisha"/>
    <s v="Bhubaneswar"/>
    <x v="2"/>
    <s v="Amazon App"/>
    <s v="Tablet"/>
    <x v="1"/>
    <s v="Accessories"/>
    <s v="Bluetooth Speaker"/>
    <s v="boAt"/>
    <s v="ELE-ACC-32337"/>
    <s v="FBM"/>
    <x v="2"/>
    <x v="0"/>
    <n v="5"/>
    <n v="60509.51"/>
    <n v="0.15"/>
    <n v="45382.13"/>
    <n v="302547.55"/>
    <n v="257165.42"/>
    <n v="153.41999999999999"/>
    <n v="179442.73"/>
    <n v="77569.27"/>
    <n v="0.30159999999999998"/>
    <n v="4"/>
    <s v="On Time"/>
    <s v="No"/>
    <m/>
    <n v="5"/>
    <n v="2"/>
    <s v="No"/>
    <s v="Festival Sale"/>
    <n v="279788.52"/>
    <n v="0.91910000000000003"/>
    <n v="416"/>
    <s v="In Stock"/>
  </r>
  <r>
    <s v="AMZ26-00626"/>
    <d v="2026-04-16T00:00:00"/>
    <x v="9"/>
    <s v="Q2"/>
    <n v="2026"/>
    <s v="CUST-3414"/>
    <s v="Aarav Kumar"/>
    <s v="Corporate"/>
    <s v="India"/>
    <s v="Gujarat"/>
    <s v="Ahmedabad"/>
    <x v="3"/>
    <s v="Amazon Website"/>
    <s v="Tablet"/>
    <x v="3"/>
    <s v="Snacks"/>
    <s v="Mixed Nuts"/>
    <s v="Happilo"/>
    <s v="GRO-SNA-81621"/>
    <s v="FBA"/>
    <x v="2"/>
    <x v="1"/>
    <n v="5"/>
    <n v="204.54"/>
    <n v="0.1"/>
    <n v="102.27"/>
    <n v="1022.7"/>
    <n v="920.43"/>
    <n v="216.44"/>
    <n v="641.53"/>
    <n v="62.46"/>
    <n v="6.7900000000000002E-2"/>
    <n v="0"/>
    <s v="Not Applicable"/>
    <s v="No"/>
    <m/>
    <m/>
    <n v="0"/>
    <s v="Yes"/>
    <s v="Lightning Deal"/>
    <n v="899.17"/>
    <n v="1.0236000000000001"/>
    <n v="178"/>
    <s v="In Stock"/>
  </r>
  <r>
    <s v="AMZ26-00627"/>
    <d v="2026-03-29T00:00:00"/>
    <x v="0"/>
    <s v="Q1"/>
    <n v="2026"/>
    <s v="CUST-2419"/>
    <s v="Rohan Shetty"/>
    <s v="Small Business"/>
    <s v="India"/>
    <s v="Rajasthan"/>
    <s v="Jaipur"/>
    <x v="3"/>
    <s v="Amazon App"/>
    <s v="Tablet"/>
    <x v="0"/>
    <s v="Women Clothing"/>
    <s v="Printed Kurti"/>
    <s v="BIBA"/>
    <s v="FAS-WOM-19214"/>
    <s v="FBM"/>
    <x v="0"/>
    <x v="1"/>
    <n v="1"/>
    <n v="444.36"/>
    <n v="0.2"/>
    <n v="88.87"/>
    <n v="444.36"/>
    <n v="355.49"/>
    <n v="83.16"/>
    <n v="215.17"/>
    <n v="57.16"/>
    <n v="0.1608"/>
    <n v="0"/>
    <s v="Not Applicable"/>
    <s v="No"/>
    <m/>
    <m/>
    <n v="0"/>
    <s v="Yes"/>
    <s v="Bank Offer"/>
    <n v="420.56"/>
    <n v="0.84530000000000005"/>
    <n v="475"/>
    <s v="In Stock"/>
  </r>
  <r>
    <s v="AMZ26-00628"/>
    <d v="2026-08-08T00:00:00"/>
    <x v="4"/>
    <s v="Q3"/>
    <n v="2026"/>
    <s v="CUST-2430"/>
    <s v="Vivek Patel"/>
    <s v="Corporate"/>
    <s v="India"/>
    <s v="Karnataka"/>
    <s v="Bengaluru"/>
    <x v="1"/>
    <s v="Amazon App"/>
    <s v="Desktop"/>
    <x v="1"/>
    <s v="Mobiles"/>
    <s v="Nord CE"/>
    <s v="OnePlus"/>
    <s v="ELE-MOB-95643"/>
    <s v="FBM"/>
    <x v="2"/>
    <x v="0"/>
    <n v="1"/>
    <n v="12941.79"/>
    <n v="0.1"/>
    <n v="1294.18"/>
    <n v="12941.79"/>
    <n v="11647.61"/>
    <n v="37.11"/>
    <n v="8334.1299999999992"/>
    <n v="3276.37"/>
    <n v="0.28129999999999999"/>
    <n v="4"/>
    <s v="On Time"/>
    <s v="No"/>
    <m/>
    <n v="3"/>
    <n v="2"/>
    <s v="Yes"/>
    <s v="Lightning Deal"/>
    <n v="13599.75"/>
    <n v="0.85650000000000004"/>
    <n v="211"/>
    <s v="In Stock"/>
  </r>
  <r>
    <s v="AMZ26-00629"/>
    <d v="2026-11-08T00:00:00"/>
    <x v="6"/>
    <s v="Q4"/>
    <n v="2026"/>
    <s v="CUST-2237"/>
    <s v="Nandini Reddy"/>
    <s v="Small Business"/>
    <s v="India"/>
    <s v="Kerala"/>
    <s v="Kochi"/>
    <x v="1"/>
    <s v="Amazon Website"/>
    <s v="Desktop"/>
    <x v="4"/>
    <s v="Cookware"/>
    <s v="Pressure Cooker"/>
    <s v="Hawkins"/>
    <s v="HOM-COO-46082"/>
    <s v="FBM"/>
    <x v="2"/>
    <x v="2"/>
    <n v="5"/>
    <n v="418.25"/>
    <n v="0.3"/>
    <n v="627.38"/>
    <n v="2091.25"/>
    <n v="1463.87"/>
    <n v="127.03"/>
    <n v="1044.53"/>
    <n v="292.31"/>
    <n v="0.19969999999999999"/>
    <n v="2"/>
    <s v="In Transit"/>
    <s v="No"/>
    <m/>
    <m/>
    <n v="0"/>
    <s v="Yes"/>
    <s v="Festival Sale"/>
    <n v="1755.88"/>
    <n v="0.8337"/>
    <n v="385"/>
    <s v="In Stock"/>
  </r>
  <r>
    <s v="AMZ26-00630"/>
    <d v="2026-02-07T00:00:00"/>
    <x v="7"/>
    <s v="Q1"/>
    <n v="2026"/>
    <s v="CUST-4036"/>
    <s v="Priya Joshi"/>
    <s v="Consumer"/>
    <s v="India"/>
    <s v="Gujarat"/>
    <s v="Ahmedabad"/>
    <x v="3"/>
    <s v="Amazon Website"/>
    <s v="Android"/>
    <x v="0"/>
    <s v="Men Clothing"/>
    <s v="Slim Jeans"/>
    <s v="Levi's"/>
    <s v="FAS-MEN-58919"/>
    <s v="FBA"/>
    <x v="0"/>
    <x v="0"/>
    <n v="2"/>
    <n v="1795.68"/>
    <n v="0"/>
    <n v="0"/>
    <n v="3591.36"/>
    <n v="3591.36"/>
    <n v="32.33"/>
    <n v="2016.97"/>
    <n v="1542.06"/>
    <n v="0.4294"/>
    <n v="8"/>
    <s v="Delayed"/>
    <s v="No"/>
    <m/>
    <n v="3"/>
    <n v="2"/>
    <s v="No"/>
    <s v="Lightning Deal"/>
    <n v="4216.6899999999996"/>
    <n v="0.85170000000000001"/>
    <n v="45"/>
    <s v="In Stock"/>
  </r>
  <r>
    <s v="AMZ26-00631"/>
    <d v="2026-04-11T00:00:00"/>
    <x v="9"/>
    <s v="Q2"/>
    <n v="2026"/>
    <s v="CUST-3622"/>
    <s v="Rahul Sharma"/>
    <s v="Corporate"/>
    <s v="India"/>
    <s v="Maharashtra"/>
    <s v="Mumbai"/>
    <x v="3"/>
    <s v="Amazon Website"/>
    <s v="Android"/>
    <x v="3"/>
    <s v="Staples"/>
    <s v="Atta"/>
    <s v="Aashirvaad"/>
    <s v="GRO-STA-30650"/>
    <s v="FBA"/>
    <x v="4"/>
    <x v="0"/>
    <n v="1"/>
    <n v="1536.02"/>
    <n v="0.25"/>
    <n v="384"/>
    <n v="1536.02"/>
    <n v="1152.02"/>
    <n v="87.07"/>
    <n v="602.25"/>
    <n v="462.7"/>
    <n v="0.40160000000000001"/>
    <n v="3"/>
    <s v="On Time"/>
    <s v="No"/>
    <m/>
    <n v="5"/>
    <n v="2"/>
    <s v="No"/>
    <s v="Amazon Coupon"/>
    <n v="1256.6600000000001"/>
    <n v="0.91669999999999996"/>
    <n v="413"/>
    <s v="In Stock"/>
  </r>
  <r>
    <s v="AMZ26-00632"/>
    <d v="2026-03-08T00:00:00"/>
    <x v="0"/>
    <s v="Q1"/>
    <n v="2026"/>
    <s v="CUST-2131"/>
    <s v="Ananya Yadav"/>
    <s v="Corporate"/>
    <s v="India"/>
    <s v="Bihar"/>
    <s v="Patna"/>
    <x v="2"/>
    <s v="Amazon Website"/>
    <s v="Desktop"/>
    <x v="4"/>
    <s v="Cookware"/>
    <s v="Cookware Set"/>
    <s v="Pigeon"/>
    <s v="HOM-COO-78056"/>
    <s v="FBM"/>
    <x v="3"/>
    <x v="2"/>
    <n v="1"/>
    <n v="495.31"/>
    <n v="0"/>
    <n v="0"/>
    <n v="495.31"/>
    <n v="495.31"/>
    <n v="135.83000000000001"/>
    <n v="326.58999999999997"/>
    <n v="32.89"/>
    <n v="6.6400000000000001E-2"/>
    <n v="8"/>
    <s v="In Transit"/>
    <s v="No"/>
    <m/>
    <m/>
    <n v="0"/>
    <s v="No"/>
    <s v="Lightning Deal"/>
    <n v="511.04"/>
    <n v="0.96919999999999995"/>
    <n v="228"/>
    <s v="In Stock"/>
  </r>
  <r>
    <s v="AMZ26-00633"/>
    <d v="2026-08-08T00:00:00"/>
    <x v="4"/>
    <s v="Q3"/>
    <n v="2026"/>
    <s v="CUST-4049"/>
    <s v="Nandini Patel"/>
    <s v="Small Business"/>
    <s v="India"/>
    <s v="Uttar Pradesh"/>
    <s v="Noida"/>
    <x v="0"/>
    <s v="Amazon App"/>
    <s v="iOS"/>
    <x v="4"/>
    <s v="Home Decor"/>
    <s v="Wall Clock"/>
    <s v="Ajanta"/>
    <s v="HOM-HOM-93946"/>
    <s v="FBA"/>
    <x v="1"/>
    <x v="0"/>
    <n v="1"/>
    <n v="7151.77"/>
    <n v="0"/>
    <n v="0"/>
    <n v="7151.77"/>
    <n v="7151.77"/>
    <n v="83.26"/>
    <n v="4999.99"/>
    <n v="2068.52"/>
    <n v="0.28920000000000001"/>
    <n v="5"/>
    <s v="Delayed"/>
    <s v="No"/>
    <m/>
    <n v="4"/>
    <n v="2"/>
    <s v="Yes"/>
    <s v="Lightning Deal"/>
    <n v="6091.76"/>
    <n v="1.1739999999999999"/>
    <n v="80"/>
    <s v="In Stock"/>
  </r>
  <r>
    <s v="AMZ26-00634"/>
    <d v="2026-01-20T00:00:00"/>
    <x v="10"/>
    <s v="Q1"/>
    <n v="2026"/>
    <s v="CUST-2445"/>
    <s v="Aditya Kumar"/>
    <s v="Corporate"/>
    <s v="India"/>
    <s v="Rajasthan"/>
    <s v="Jaipur"/>
    <x v="3"/>
    <s v="Amazon Website"/>
    <s v="iOS"/>
    <x v="2"/>
    <s v="Hair Care"/>
    <s v="Shampoo"/>
    <s v="Dove"/>
    <s v="BEA-HAI-62290"/>
    <s v="FBM"/>
    <x v="5"/>
    <x v="1"/>
    <n v="5"/>
    <n v="795.29"/>
    <n v="0.05"/>
    <n v="198.82"/>
    <n v="3976.45"/>
    <n v="3777.63"/>
    <n v="30.23"/>
    <n v="2353.69"/>
    <n v="1393.71"/>
    <n v="0.36890000000000001"/>
    <n v="0"/>
    <s v="Not Applicable"/>
    <s v="No"/>
    <m/>
    <m/>
    <n v="0"/>
    <s v="No"/>
    <s v="Festival Sale"/>
    <n v="4034.53"/>
    <n v="0.93630000000000002"/>
    <n v="38"/>
    <s v="Low Stock"/>
  </r>
  <r>
    <s v="AMZ26-00635"/>
    <d v="2026-03-23T00:00:00"/>
    <x v="0"/>
    <s v="Q1"/>
    <n v="2026"/>
    <s v="CUST-4550"/>
    <s v="Aditi Singh"/>
    <s v="Small Business"/>
    <s v="India"/>
    <s v="Gujarat"/>
    <s v="Ahmedabad"/>
    <x v="3"/>
    <s v="Amazon App"/>
    <s v="Desktop"/>
    <x v="0"/>
    <s v="Footwear"/>
    <s v="Casual Sneakers"/>
    <s v="Puma"/>
    <s v="FAS-FOO-73695"/>
    <s v="FBM"/>
    <x v="1"/>
    <x v="0"/>
    <n v="3"/>
    <n v="4608.62"/>
    <n v="0.1"/>
    <n v="1382.59"/>
    <n v="13825.86"/>
    <n v="12443.27"/>
    <n v="134.52000000000001"/>
    <n v="8017.75"/>
    <n v="4291"/>
    <n v="0.3448"/>
    <n v="4"/>
    <s v="On Time"/>
    <s v="No"/>
    <m/>
    <n v="4"/>
    <n v="4"/>
    <s v="Yes"/>
    <s v="Prime Deal"/>
    <n v="12778.85"/>
    <n v="0.97370000000000001"/>
    <n v="16"/>
    <s v="Low Stock"/>
  </r>
  <r>
    <s v="AMZ26-00636"/>
    <d v="2026-03-07T00:00:00"/>
    <x v="0"/>
    <s v="Q1"/>
    <n v="2026"/>
    <s v="CUST-3295"/>
    <s v="Aditi Das"/>
    <s v="Consumer"/>
    <s v="India"/>
    <s v="Odisha"/>
    <s v="Bhubaneswar"/>
    <x v="2"/>
    <s v="Amazon Website"/>
    <s v="Desktop"/>
    <x v="4"/>
    <s v="Kitchen Appliances"/>
    <s v="Air Fryer"/>
    <s v="Philips"/>
    <s v="HOM-KIT-77315"/>
    <s v="FBA"/>
    <x v="5"/>
    <x v="0"/>
    <n v="3"/>
    <n v="8481.09"/>
    <n v="0.3"/>
    <n v="7632.98"/>
    <n v="25443.27"/>
    <n v="17810.29"/>
    <n v="1.82"/>
    <n v="12177.8"/>
    <n v="5630.67"/>
    <n v="0.31609999999999999"/>
    <n v="4"/>
    <s v="On Time"/>
    <s v="No"/>
    <m/>
    <n v="3"/>
    <n v="1"/>
    <s v="Yes"/>
    <s v="Bank Offer"/>
    <n v="21341.65"/>
    <n v="0.83450000000000002"/>
    <n v="25"/>
    <s v="Low Stock"/>
  </r>
  <r>
    <s v="AMZ26-00637"/>
    <d v="2026-08-28T00:00:00"/>
    <x v="4"/>
    <s v="Q3"/>
    <n v="2026"/>
    <s v="CUST-3257"/>
    <s v="Vivek Gupta"/>
    <s v="Corporate"/>
    <s v="India"/>
    <s v="Delhi"/>
    <s v="New Delhi"/>
    <x v="0"/>
    <s v="Amazon Website"/>
    <s v="iOS"/>
    <x v="3"/>
    <s v="Staples"/>
    <s v="Atta"/>
    <s v="Aashirvaad"/>
    <s v="GRO-STA-60781"/>
    <s v="FBA"/>
    <x v="4"/>
    <x v="2"/>
    <n v="3"/>
    <n v="1680.82"/>
    <n v="0.25"/>
    <n v="1260.6199999999999"/>
    <n v="5042.46"/>
    <n v="3781.84"/>
    <n v="245.58"/>
    <n v="1993.34"/>
    <n v="1542.92"/>
    <n v="0.40799999999999997"/>
    <n v="1"/>
    <s v="In Transit"/>
    <s v="No"/>
    <m/>
    <m/>
    <n v="0"/>
    <s v="Yes"/>
    <s v="Lightning Deal"/>
    <n v="3216.56"/>
    <n v="1.1757"/>
    <n v="230"/>
    <s v="In Stock"/>
  </r>
  <r>
    <s v="AMZ26-00638"/>
    <d v="2026-06-07T00:00:00"/>
    <x v="5"/>
    <s v="Q2"/>
    <n v="2026"/>
    <s v="CUST-2489"/>
    <s v="Rahul Nair"/>
    <s v="Corporate"/>
    <s v="India"/>
    <s v="Tamil Nadu"/>
    <s v="Chennai"/>
    <x v="1"/>
    <s v="Amazon App"/>
    <s v="Desktop"/>
    <x v="4"/>
    <s v="Home Decor"/>
    <s v="LED Lamp"/>
    <s v="Wipro"/>
    <s v="HOM-HOM-15437"/>
    <s v="FBA"/>
    <x v="0"/>
    <x v="2"/>
    <n v="4"/>
    <n v="324.67"/>
    <n v="0.1"/>
    <n v="129.87"/>
    <n v="1298.68"/>
    <n v="1168.81"/>
    <n v="78.28"/>
    <n v="633.29999999999995"/>
    <n v="457.23"/>
    <n v="0.39119999999999999"/>
    <n v="1"/>
    <s v="In Transit"/>
    <s v="No"/>
    <m/>
    <m/>
    <n v="0"/>
    <s v="Yes"/>
    <s v="None"/>
    <n v="1006.76"/>
    <n v="1.161"/>
    <n v="437"/>
    <s v="In Stock"/>
  </r>
  <r>
    <s v="AMZ26-00639"/>
    <d v="2026-08-10T00:00:00"/>
    <x v="4"/>
    <s v="Q3"/>
    <n v="2026"/>
    <s v="CUST-1511"/>
    <s v="Isha Nair"/>
    <s v="Corporate"/>
    <s v="India"/>
    <s v="Maharashtra"/>
    <s v="Pune"/>
    <x v="3"/>
    <s v="Amazon App"/>
    <s v="iOS"/>
    <x v="0"/>
    <s v="Women Clothing"/>
    <s v="Denim Jeans"/>
    <s v="Levi's"/>
    <s v="FAS-WOM-21212"/>
    <s v="FBM"/>
    <x v="1"/>
    <x v="2"/>
    <n v="1"/>
    <n v="350.66"/>
    <n v="0.3"/>
    <n v="105.2"/>
    <n v="350.66"/>
    <n v="245.46"/>
    <n v="142.69"/>
    <n v="149.83000000000001"/>
    <n v="-47.06"/>
    <n v="-0.19170000000000001"/>
    <n v="6"/>
    <s v="In Transit"/>
    <s v="No"/>
    <m/>
    <m/>
    <n v="0"/>
    <s v="Yes"/>
    <s v="Bank Offer"/>
    <n v="212.08"/>
    <n v="1.1574"/>
    <n v="4"/>
    <s v="Low Stock"/>
  </r>
  <r>
    <s v="AMZ26-00640"/>
    <d v="2026-07-30T00:00:00"/>
    <x v="3"/>
    <s v="Q3"/>
    <n v="2026"/>
    <s v="CUST-4619"/>
    <s v="Sneha Nair"/>
    <s v="Consumer"/>
    <s v="India"/>
    <s v="Haryana"/>
    <s v="Gurugram"/>
    <x v="0"/>
    <s v="Amazon Website"/>
    <s v="Tablet"/>
    <x v="2"/>
    <s v="Makeup"/>
    <s v="Lipstick"/>
    <s v="Maybelline"/>
    <s v="BEA-MAK-41501"/>
    <s v="FBM"/>
    <x v="3"/>
    <x v="1"/>
    <n v="1"/>
    <n v="408.07"/>
    <n v="0"/>
    <n v="0"/>
    <n v="408.07"/>
    <n v="408.07"/>
    <n v="51.56"/>
    <n v="219.49"/>
    <n v="137.02000000000001"/>
    <n v="0.33579999999999999"/>
    <n v="0"/>
    <s v="Not Applicable"/>
    <s v="No"/>
    <m/>
    <m/>
    <n v="0"/>
    <s v="Yes"/>
    <s v="None"/>
    <n v="479.59"/>
    <n v="0.85089999999999999"/>
    <n v="233"/>
    <s v="In Stock"/>
  </r>
  <r>
    <s v="AMZ26-00641"/>
    <d v="2026-01-31T00:00:00"/>
    <x v="10"/>
    <s v="Q1"/>
    <n v="2026"/>
    <s v="CUST-4059"/>
    <s v="Arjun Yadav"/>
    <s v="Corporate"/>
    <s v="India"/>
    <s v="Telangana"/>
    <s v="Hyderabad"/>
    <x v="1"/>
    <s v="Amazon Website"/>
    <s v="Desktop"/>
    <x v="4"/>
    <s v="Home Decor"/>
    <s v="LED Lamp"/>
    <s v="Wipro"/>
    <s v="HOM-HOM-43224"/>
    <s v="FBA"/>
    <x v="2"/>
    <x v="0"/>
    <n v="5"/>
    <n v="6397.1"/>
    <n v="0.2"/>
    <n v="6397.1"/>
    <n v="31985.5"/>
    <n v="25588.400000000001"/>
    <n v="166.66"/>
    <n v="12431.54"/>
    <n v="12990.2"/>
    <n v="0.50770000000000004"/>
    <n v="1"/>
    <s v="On Time"/>
    <s v="No"/>
    <m/>
    <n v="4"/>
    <n v="2"/>
    <s v="Yes"/>
    <s v="Bank Offer"/>
    <n v="30247.38"/>
    <n v="0.84599999999999997"/>
    <n v="475"/>
    <s v="In Stock"/>
  </r>
  <r>
    <s v="AMZ26-00642"/>
    <d v="2026-12-11T00:00:00"/>
    <x v="11"/>
    <s v="Q4"/>
    <n v="2026"/>
    <s v="CUST-2790"/>
    <s v="Aarav Nair"/>
    <s v="Corporate"/>
    <s v="India"/>
    <s v="Karnataka"/>
    <s v="Bengaluru"/>
    <x v="1"/>
    <s v="Amazon App"/>
    <s v="Android"/>
    <x v="1"/>
    <s v="Mobiles"/>
    <s v="Redmi Note"/>
    <s v="Xiaomi"/>
    <s v="ELE-MOB-62901"/>
    <s v="FBM"/>
    <x v="4"/>
    <x v="1"/>
    <n v="2"/>
    <n v="10828.96"/>
    <n v="0.2"/>
    <n v="4331.58"/>
    <n v="21657.919999999998"/>
    <n v="17326.34"/>
    <n v="34.93"/>
    <n v="11456.52"/>
    <n v="5834.89"/>
    <n v="0.33679999999999999"/>
    <n v="0"/>
    <s v="Not Applicable"/>
    <s v="No"/>
    <m/>
    <m/>
    <n v="0"/>
    <s v="No"/>
    <s v="Lightning Deal"/>
    <n v="20135.46"/>
    <n v="0.86050000000000004"/>
    <n v="113"/>
    <s v="In Stock"/>
  </r>
  <r>
    <s v="AMZ26-00643"/>
    <d v="2026-03-16T00:00:00"/>
    <x v="0"/>
    <s v="Q1"/>
    <n v="2026"/>
    <s v="CUST-3009"/>
    <s v="Kavya Joshi"/>
    <s v="Corporate"/>
    <s v="India"/>
    <s v="Bihar"/>
    <s v="Patna"/>
    <x v="2"/>
    <s v="Amazon Website"/>
    <s v="Tablet"/>
    <x v="2"/>
    <s v="Hair Care"/>
    <s v="Hair Serum"/>
    <s v="L'Oreal"/>
    <s v="BEA-HAI-98286"/>
    <s v="FBA"/>
    <x v="0"/>
    <x v="0"/>
    <n v="1"/>
    <n v="160.83000000000001"/>
    <n v="0.2"/>
    <n v="32.17"/>
    <n v="160.83000000000001"/>
    <n v="128.66"/>
    <n v="129.9"/>
    <n v="86.35"/>
    <n v="-87.59"/>
    <n v="-0.68079999999999996"/>
    <n v="2"/>
    <s v="On Time"/>
    <s v="No"/>
    <m/>
    <n v="4"/>
    <n v="1"/>
    <s v="Yes"/>
    <s v="Lightning Deal"/>
    <n v="149.81"/>
    <n v="0.85880000000000001"/>
    <n v="446"/>
    <s v="In Stock"/>
  </r>
  <r>
    <s v="AMZ26-00644"/>
    <d v="2026-03-05T00:00:00"/>
    <x v="0"/>
    <s v="Q1"/>
    <n v="2026"/>
    <s v="CUST-2163"/>
    <s v="Nandini Verma"/>
    <s v="Consumer"/>
    <s v="India"/>
    <s v="Karnataka"/>
    <s v="Mysuru"/>
    <x v="1"/>
    <s v="Amazon Website"/>
    <s v="Tablet"/>
    <x v="2"/>
    <s v="Hair Care"/>
    <s v="Hair Mask"/>
    <s v="Tresemme"/>
    <s v="BEA-HAI-96193"/>
    <s v="FBA"/>
    <x v="1"/>
    <x v="0"/>
    <n v="1"/>
    <n v="1814.34"/>
    <n v="0.25"/>
    <n v="453.58"/>
    <n v="1814.34"/>
    <n v="1360.76"/>
    <n v="34.369999999999997"/>
    <n v="1002.8"/>
    <n v="323.58999999999997"/>
    <n v="0.23780000000000001"/>
    <n v="1"/>
    <s v="On Time"/>
    <s v="No"/>
    <m/>
    <n v="5"/>
    <n v="0"/>
    <s v="No"/>
    <s v="Lightning Deal"/>
    <n v="1571.29"/>
    <n v="0.86599999999999999"/>
    <n v="258"/>
    <s v="In Stock"/>
  </r>
  <r>
    <s v="AMZ26-00645"/>
    <d v="2026-05-12T00:00:00"/>
    <x v="2"/>
    <s v="Q2"/>
    <n v="2026"/>
    <s v="CUST-1004"/>
    <s v="Priya Iyer"/>
    <s v="Small Business"/>
    <s v="India"/>
    <s v="Kerala"/>
    <s v="Kochi"/>
    <x v="1"/>
    <s v="Amazon Website"/>
    <s v="Android"/>
    <x v="0"/>
    <s v="Women Clothing"/>
    <s v="Denim Jeans"/>
    <s v="Levi's"/>
    <s v="FAS-WOM-77170"/>
    <s v="FBA"/>
    <x v="4"/>
    <x v="2"/>
    <n v="1"/>
    <n v="4731.0200000000004"/>
    <n v="0.25"/>
    <n v="1182.76"/>
    <n v="4731.0200000000004"/>
    <n v="3548.26"/>
    <n v="62.25"/>
    <n v="2271.9499999999998"/>
    <n v="1214.06"/>
    <n v="0.3422"/>
    <n v="5"/>
    <s v="In Transit"/>
    <s v="No"/>
    <m/>
    <m/>
    <n v="0"/>
    <s v="No"/>
    <s v="Bank Offer"/>
    <n v="3119.33"/>
    <n v="1.1375"/>
    <n v="166"/>
    <s v="In Stock"/>
  </r>
  <r>
    <s v="AMZ26-00646"/>
    <d v="2026-04-22T00:00:00"/>
    <x v="9"/>
    <s v="Q2"/>
    <n v="2026"/>
    <s v="CUST-3885"/>
    <s v="Aditya Kumar"/>
    <s v="Consumer"/>
    <s v="India"/>
    <s v="Maharashtra"/>
    <s v="Pune"/>
    <x v="3"/>
    <s v="Amazon Website"/>
    <s v="Desktop"/>
    <x v="0"/>
    <s v="Footwear"/>
    <s v="Casual Sneakers"/>
    <s v="Puma"/>
    <s v="FAS-FOO-80336"/>
    <s v="FBA"/>
    <x v="4"/>
    <x v="2"/>
    <n v="4"/>
    <n v="2500.7800000000002"/>
    <n v="0.1"/>
    <n v="1000.31"/>
    <n v="10003.120000000001"/>
    <n v="9002.81"/>
    <n v="78.59"/>
    <n v="4658.9799999999996"/>
    <n v="4265.24"/>
    <n v="0.4738"/>
    <n v="5"/>
    <s v="In Transit"/>
    <s v="No"/>
    <m/>
    <m/>
    <n v="0"/>
    <s v="Yes"/>
    <s v="Festival Sale"/>
    <n v="11249.15"/>
    <n v="0.80030000000000001"/>
    <n v="402"/>
    <s v="In Stock"/>
  </r>
  <r>
    <s v="AMZ26-00647"/>
    <d v="2026-03-04T00:00:00"/>
    <x v="0"/>
    <s v="Q1"/>
    <n v="2026"/>
    <s v="CUST-3085"/>
    <s v="Nandini Gupta"/>
    <s v="Small Business"/>
    <s v="India"/>
    <s v="Punjab"/>
    <s v="Ludhiana"/>
    <x v="0"/>
    <s v="Amazon App"/>
    <s v="iOS"/>
    <x v="2"/>
    <s v="Hair Care"/>
    <s v="Shampoo"/>
    <s v="Dove"/>
    <s v="BEA-HAI-86412"/>
    <s v="FBA"/>
    <x v="0"/>
    <x v="0"/>
    <n v="1"/>
    <n v="213.69"/>
    <n v="0.15"/>
    <n v="32.049999999999997"/>
    <n v="213.69"/>
    <n v="181.64"/>
    <n v="201.92"/>
    <n v="133.4"/>
    <n v="-153.68"/>
    <n v="-0.84609999999999996"/>
    <n v="1"/>
    <s v="On Time"/>
    <s v="No"/>
    <m/>
    <n v="4"/>
    <n v="0"/>
    <s v="No"/>
    <s v="Amazon Coupon"/>
    <n v="160.9"/>
    <n v="1.1289"/>
    <n v="444"/>
    <s v="In Stock"/>
  </r>
  <r>
    <s v="AMZ26-00648"/>
    <d v="2026-11-29T00:00:00"/>
    <x v="6"/>
    <s v="Q4"/>
    <n v="2026"/>
    <s v="CUST-3395"/>
    <s v="Pooja Nair"/>
    <s v="Corporate"/>
    <s v="India"/>
    <s v="Punjab"/>
    <s v="Ludhiana"/>
    <x v="0"/>
    <s v="Amazon Website"/>
    <s v="Desktop"/>
    <x v="4"/>
    <s v="Home Decor"/>
    <s v="LED Lamp"/>
    <s v="Wipro"/>
    <s v="HOM-HOM-98719"/>
    <s v="FBM"/>
    <x v="2"/>
    <x v="0"/>
    <n v="1"/>
    <n v="6251.43"/>
    <n v="0.2"/>
    <n v="1250.29"/>
    <n v="6251.43"/>
    <n v="5001.1400000000003"/>
    <n v="230.61"/>
    <n v="3725.15"/>
    <n v="1045.3800000000001"/>
    <n v="0.20899999999999999"/>
    <n v="1"/>
    <s v="On Time"/>
    <s v="No"/>
    <m/>
    <n v="4"/>
    <n v="2"/>
    <s v="No"/>
    <s v="Festival Sale"/>
    <n v="6127.6"/>
    <n v="0.81620000000000004"/>
    <n v="309"/>
    <s v="In Stock"/>
  </r>
  <r>
    <s v="AMZ26-00649"/>
    <d v="2026-08-27T00:00:00"/>
    <x v="4"/>
    <s v="Q3"/>
    <n v="2026"/>
    <s v="CUST-4295"/>
    <s v="Vivek Yadav"/>
    <s v="Corporate"/>
    <s v="India"/>
    <s v="Odisha"/>
    <s v="Bhubaneswar"/>
    <x v="2"/>
    <s v="Amazon Website"/>
    <s v="Tablet"/>
    <x v="2"/>
    <s v="Hair Care"/>
    <s v="Hair Mask"/>
    <s v="Tresemme"/>
    <s v="BEA-HAI-60771"/>
    <s v="FBM"/>
    <x v="1"/>
    <x v="2"/>
    <n v="2"/>
    <n v="198.42"/>
    <n v="0.15"/>
    <n v="59.53"/>
    <n v="396.84"/>
    <n v="337.31"/>
    <n v="25.13"/>
    <n v="223.86"/>
    <n v="88.32"/>
    <n v="0.26179999999999998"/>
    <n v="7"/>
    <s v="In Transit"/>
    <s v="No"/>
    <m/>
    <m/>
    <n v="0"/>
    <s v="No"/>
    <s v="Lightning Deal"/>
    <n v="331.13"/>
    <n v="1.0186999999999999"/>
    <n v="162"/>
    <s v="In Stock"/>
  </r>
  <r>
    <s v="AMZ26-00650"/>
    <d v="2026-11-22T00:00:00"/>
    <x v="6"/>
    <s v="Q4"/>
    <n v="2026"/>
    <s v="CUST-3688"/>
    <s v="Vivek Das"/>
    <s v="Corporate"/>
    <s v="India"/>
    <s v="Odisha"/>
    <s v="Bhubaneswar"/>
    <x v="2"/>
    <s v="Amazon App"/>
    <s v="Desktop"/>
    <x v="3"/>
    <s v="Beverages"/>
    <s v="Fruit Juice"/>
    <s v="Real"/>
    <s v="GRO-BEV-83367"/>
    <s v="FBM"/>
    <x v="1"/>
    <x v="0"/>
    <n v="4"/>
    <n v="670.51"/>
    <n v="0.15"/>
    <n v="402.31"/>
    <n v="2682.04"/>
    <n v="2279.73"/>
    <n v="158.6"/>
    <n v="1371.77"/>
    <n v="749.36"/>
    <n v="0.32869999999999999"/>
    <n v="4"/>
    <s v="On Time"/>
    <s v="No"/>
    <m/>
    <n v="5"/>
    <n v="1"/>
    <s v="No"/>
    <s v="Prime Deal"/>
    <n v="2562.38"/>
    <n v="0.88970000000000005"/>
    <n v="221"/>
    <s v="In Stock"/>
  </r>
  <r>
    <s v="AMZ26-00651"/>
    <d v="2026-06-02T00:00:00"/>
    <x v="5"/>
    <s v="Q2"/>
    <n v="2026"/>
    <s v="CUST-3699"/>
    <s v="Priya Singh"/>
    <s v="Corporate"/>
    <s v="India"/>
    <s v="Kerala"/>
    <s v="Kochi"/>
    <x v="1"/>
    <s v="Amazon App"/>
    <s v="iOS"/>
    <x v="2"/>
    <s v="Hair Care"/>
    <s v="Hair Serum"/>
    <s v="L'Oreal"/>
    <s v="BEA-HAI-64362"/>
    <s v="FBA"/>
    <x v="4"/>
    <x v="2"/>
    <n v="1"/>
    <n v="2285.7600000000002"/>
    <n v="0"/>
    <n v="0"/>
    <n v="2285.7600000000002"/>
    <n v="2285.7600000000002"/>
    <n v="169.41"/>
    <n v="1390.23"/>
    <n v="726.12"/>
    <n v="0.31769999999999998"/>
    <n v="4"/>
    <s v="In Transit"/>
    <s v="No"/>
    <m/>
    <m/>
    <n v="0"/>
    <s v="No"/>
    <s v="Bank Offer"/>
    <n v="2180.66"/>
    <n v="1.0482"/>
    <n v="378"/>
    <s v="In Stock"/>
  </r>
  <r>
    <s v="AMZ26-00652"/>
    <d v="2026-01-11T00:00:00"/>
    <x v="10"/>
    <s v="Q1"/>
    <n v="2026"/>
    <s v="CUST-3833"/>
    <s v="Aditya Gupta"/>
    <s v="Small Business"/>
    <s v="India"/>
    <s v="Delhi"/>
    <s v="New Delhi"/>
    <x v="0"/>
    <s v="Amazon Website"/>
    <s v="Desktop"/>
    <x v="3"/>
    <s v="Beverages"/>
    <s v="Fruit Juice"/>
    <s v="Real"/>
    <s v="GRO-BEV-42849"/>
    <s v="FBM"/>
    <x v="5"/>
    <x v="2"/>
    <n v="5"/>
    <n v="1602.57"/>
    <n v="0.15"/>
    <n v="1201.93"/>
    <n v="8012.85"/>
    <n v="6810.92"/>
    <n v="126.03"/>
    <n v="5215.17"/>
    <n v="1469.72"/>
    <n v="0.21579999999999999"/>
    <n v="7"/>
    <s v="In Transit"/>
    <s v="No"/>
    <m/>
    <m/>
    <n v="0"/>
    <s v="Yes"/>
    <s v="Festival Sale"/>
    <n v="6973.55"/>
    <n v="0.97670000000000001"/>
    <n v="116"/>
    <s v="In Stock"/>
  </r>
  <r>
    <s v="AMZ26-00653"/>
    <d v="2026-03-31T00:00:00"/>
    <x v="0"/>
    <s v="Q1"/>
    <n v="2026"/>
    <s v="CUST-2883"/>
    <s v="Kiran Reddy"/>
    <s v="Corporate"/>
    <s v="India"/>
    <s v="Punjab"/>
    <s v="Ludhiana"/>
    <x v="0"/>
    <s v="Amazon Website"/>
    <s v="Desktop"/>
    <x v="3"/>
    <s v="Snacks"/>
    <s v="Potato Chips"/>
    <s v="Lay's"/>
    <s v="GRO-SNA-22963"/>
    <s v="FBM"/>
    <x v="4"/>
    <x v="0"/>
    <n v="3"/>
    <n v="466.46"/>
    <n v="0"/>
    <n v="0"/>
    <n v="1399.38"/>
    <n v="1399.38"/>
    <n v="49.14"/>
    <n v="999.88"/>
    <n v="350.36"/>
    <n v="0.25040000000000001"/>
    <n v="8"/>
    <s v="Delayed"/>
    <s v="No"/>
    <m/>
    <n v="5"/>
    <n v="1"/>
    <s v="Yes"/>
    <s v="Lightning Deal"/>
    <n v="1234.57"/>
    <n v="1.1335"/>
    <n v="390"/>
    <s v="In Stock"/>
  </r>
  <r>
    <s v="AMZ26-00654"/>
    <d v="2026-04-10T00:00:00"/>
    <x v="9"/>
    <s v="Q2"/>
    <n v="2026"/>
    <s v="CUST-1651"/>
    <s v="Aditya Verma"/>
    <s v="Small Business"/>
    <s v="India"/>
    <s v="Karnataka"/>
    <s v="Bengaluru"/>
    <x v="1"/>
    <s v="Amazon Website"/>
    <s v="Desktop"/>
    <x v="4"/>
    <s v="Home Decor"/>
    <s v="Wall Clock"/>
    <s v="Ajanta"/>
    <s v="HOM-HOM-10335"/>
    <s v="FBM"/>
    <x v="4"/>
    <x v="2"/>
    <n v="2"/>
    <n v="6402.66"/>
    <n v="0.2"/>
    <n v="2561.06"/>
    <n v="12805.32"/>
    <n v="10244.26"/>
    <n v="103.47"/>
    <n v="7599.97"/>
    <n v="2540.8200000000002"/>
    <n v="0.248"/>
    <n v="4"/>
    <s v="In Transit"/>
    <s v="No"/>
    <m/>
    <m/>
    <n v="0"/>
    <s v="No"/>
    <s v="None"/>
    <n v="11991.18"/>
    <n v="0.85429999999999995"/>
    <n v="500"/>
    <s v="In Stock"/>
  </r>
  <r>
    <s v="AMZ26-00655"/>
    <d v="2026-06-15T00:00:00"/>
    <x v="5"/>
    <s v="Q2"/>
    <n v="2026"/>
    <s v="CUST-3070"/>
    <s v="Aditi Kumar"/>
    <s v="Corporate"/>
    <s v="India"/>
    <s v="Rajasthan"/>
    <s v="Jaipur"/>
    <x v="3"/>
    <s v="Amazon App"/>
    <s v="Android"/>
    <x v="1"/>
    <s v="Laptops"/>
    <s v="Pavilion"/>
    <s v="HP"/>
    <s v="ELE-LAP-34993"/>
    <s v="FBM"/>
    <x v="4"/>
    <x v="0"/>
    <n v="4"/>
    <n v="2607.59"/>
    <n v="0"/>
    <n v="0"/>
    <n v="10430.36"/>
    <n v="10430.36"/>
    <n v="59.82"/>
    <n v="7503.64"/>
    <n v="2866.9"/>
    <n v="0.27489999999999998"/>
    <n v="6"/>
    <s v="Delayed"/>
    <s v="No"/>
    <m/>
    <n v="4"/>
    <n v="1"/>
    <s v="Yes"/>
    <s v="Amazon Coupon"/>
    <n v="8949.07"/>
    <n v="1.1655"/>
    <n v="263"/>
    <s v="In Stock"/>
  </r>
  <r>
    <s v="AMZ26-00656"/>
    <d v="2026-09-06T00:00:00"/>
    <x v="1"/>
    <s v="Q3"/>
    <n v="2026"/>
    <s v="CUST-2196"/>
    <s v="Pooja Gupta"/>
    <s v="Small Business"/>
    <s v="India"/>
    <s v="Kerala"/>
    <s v="Kochi"/>
    <x v="1"/>
    <s v="Amazon Website"/>
    <s v="iOS"/>
    <x v="3"/>
    <s v="Beverages"/>
    <s v="Coffee"/>
    <s v="Nescafe"/>
    <s v="GRO-BEV-35964"/>
    <s v="FBM"/>
    <x v="1"/>
    <x v="0"/>
    <n v="5"/>
    <n v="247.43"/>
    <n v="0.05"/>
    <n v="61.86"/>
    <n v="1237.1500000000001"/>
    <n v="1175.29"/>
    <n v="178.99"/>
    <n v="794.97"/>
    <n v="201.33"/>
    <n v="0.17130000000000001"/>
    <n v="3"/>
    <s v="On Time"/>
    <s v="No"/>
    <m/>
    <n v="5"/>
    <n v="1"/>
    <s v="No"/>
    <s v="None"/>
    <n v="1211.6099999999999"/>
    <n v="0.97"/>
    <n v="106"/>
    <s v="In Stock"/>
  </r>
  <r>
    <s v="AMZ26-00657"/>
    <d v="2026-08-11T00:00:00"/>
    <x v="4"/>
    <s v="Q3"/>
    <n v="2026"/>
    <s v="CUST-3784"/>
    <s v="Nikhil Das"/>
    <s v="Corporate"/>
    <s v="India"/>
    <s v="Punjab"/>
    <s v="Ludhiana"/>
    <x v="0"/>
    <s v="Amazon App"/>
    <s v="iOS"/>
    <x v="4"/>
    <s v="Home Decor"/>
    <s v="Wall Clock"/>
    <s v="Ajanta"/>
    <s v="HOM-HOM-28733"/>
    <s v="FBA"/>
    <x v="2"/>
    <x v="0"/>
    <n v="5"/>
    <n v="1548.8"/>
    <n v="0.25"/>
    <n v="1936"/>
    <n v="7744"/>
    <n v="5808"/>
    <n v="239.22"/>
    <n v="2938.92"/>
    <n v="2629.86"/>
    <n v="0.45279999999999998"/>
    <n v="2"/>
    <s v="On Time"/>
    <s v="No"/>
    <m/>
    <n v="3"/>
    <n v="0"/>
    <s v="Yes"/>
    <s v="Lightning Deal"/>
    <n v="5802.01"/>
    <n v="1.0009999999999999"/>
    <n v="472"/>
    <s v="In Stock"/>
  </r>
  <r>
    <s v="AMZ26-00658"/>
    <d v="2026-01-02T00:00:00"/>
    <x v="10"/>
    <s v="Q1"/>
    <n v="2026"/>
    <s v="CUST-4618"/>
    <s v="Diya Singh"/>
    <s v="Consumer"/>
    <s v="India"/>
    <s v="Bihar"/>
    <s v="Patna"/>
    <x v="2"/>
    <s v="Amazon Website"/>
    <s v="iOS"/>
    <x v="3"/>
    <s v="Beverages"/>
    <s v="Fruit Juice"/>
    <s v="Real"/>
    <s v="GRO-BEV-47642"/>
    <s v="FBA"/>
    <x v="3"/>
    <x v="2"/>
    <n v="2"/>
    <n v="244.58"/>
    <n v="0.2"/>
    <n v="97.83"/>
    <n v="489.16"/>
    <n v="391.33"/>
    <n v="188.36"/>
    <n v="262.08999999999997"/>
    <n v="-59.12"/>
    <n v="-0.15110000000000001"/>
    <n v="4"/>
    <s v="In Transit"/>
    <s v="No"/>
    <m/>
    <m/>
    <n v="0"/>
    <s v="Yes"/>
    <s v="Festival Sale"/>
    <n v="375.47"/>
    <n v="1.0422"/>
    <n v="33"/>
    <s v="Low Stock"/>
  </r>
  <r>
    <s v="AMZ26-00659"/>
    <d v="2026-07-15T00:00:00"/>
    <x v="3"/>
    <s v="Q3"/>
    <n v="2026"/>
    <s v="CUST-1089"/>
    <s v="Arjun Joshi"/>
    <s v="Consumer"/>
    <s v="India"/>
    <s v="Punjab"/>
    <s v="Ludhiana"/>
    <x v="0"/>
    <s v="Amazon Website"/>
    <s v="Tablet"/>
    <x v="4"/>
    <s v="Kitchen Appliances"/>
    <s v="Air Fryer"/>
    <s v="Philips"/>
    <s v="HOM-KIT-62322"/>
    <s v="FBA"/>
    <x v="4"/>
    <x v="0"/>
    <n v="1"/>
    <n v="9443.07"/>
    <n v="0"/>
    <n v="0"/>
    <n v="9443.07"/>
    <n v="9443.07"/>
    <n v="5.57"/>
    <n v="5789.32"/>
    <n v="3648.18"/>
    <n v="0.38629999999999998"/>
    <n v="1"/>
    <s v="On Time"/>
    <s v="No"/>
    <m/>
    <n v="3"/>
    <n v="2"/>
    <s v="Yes"/>
    <s v="Bank Offer"/>
    <n v="10811.65"/>
    <n v="0.87339999999999995"/>
    <n v="253"/>
    <s v="In Stock"/>
  </r>
  <r>
    <s v="AMZ26-00660"/>
    <d v="2026-08-17T00:00:00"/>
    <x v="4"/>
    <s v="Q3"/>
    <n v="2026"/>
    <s v="CUST-4225"/>
    <s v="Kavya Joshi"/>
    <s v="Consumer"/>
    <s v="India"/>
    <s v="Assam"/>
    <s v="Guwahati"/>
    <x v="2"/>
    <s v="Amazon Website"/>
    <s v="Android"/>
    <x v="2"/>
    <s v="Makeup"/>
    <s v="Lipstick"/>
    <s v="Maybelline"/>
    <s v="BEA-MAK-24900"/>
    <s v="FBA"/>
    <x v="0"/>
    <x v="1"/>
    <n v="3"/>
    <n v="905.09"/>
    <n v="0.3"/>
    <n v="814.58"/>
    <n v="2715.27"/>
    <n v="1900.69"/>
    <n v="178.69"/>
    <n v="992.88"/>
    <n v="729.12"/>
    <n v="0.3836"/>
    <n v="0"/>
    <s v="Not Applicable"/>
    <s v="No"/>
    <m/>
    <m/>
    <n v="0"/>
    <s v="Yes"/>
    <s v="None"/>
    <n v="1929.76"/>
    <n v="0.9849"/>
    <n v="62"/>
    <s v="In Stock"/>
  </r>
  <r>
    <s v="AMZ26-00661"/>
    <d v="2026-09-08T00:00:00"/>
    <x v="1"/>
    <s v="Q3"/>
    <n v="2026"/>
    <s v="CUST-3106"/>
    <s v="Pooja Kumar"/>
    <s v="Consumer"/>
    <s v="India"/>
    <s v="Rajasthan"/>
    <s v="Jaipur"/>
    <x v="3"/>
    <s v="Amazon App"/>
    <s v="Desktop"/>
    <x v="1"/>
    <s v="Laptops"/>
    <s v="Pavilion"/>
    <s v="HP"/>
    <s v="ELE-LAP-68778"/>
    <s v="FBM"/>
    <x v="5"/>
    <x v="0"/>
    <n v="1"/>
    <n v="870.57"/>
    <n v="0.3"/>
    <n v="261.17"/>
    <n v="870.57"/>
    <n v="609.4"/>
    <n v="41.05"/>
    <n v="375.22"/>
    <n v="193.13"/>
    <n v="0.31690000000000002"/>
    <n v="1"/>
    <s v="On Time"/>
    <s v="No"/>
    <m/>
    <n v="5"/>
    <n v="3"/>
    <s v="Yes"/>
    <s v="None"/>
    <n v="551.02"/>
    <n v="1.1059000000000001"/>
    <n v="183"/>
    <s v="In Stock"/>
  </r>
  <r>
    <s v="AMZ26-00662"/>
    <d v="2026-07-10T00:00:00"/>
    <x v="3"/>
    <s v="Q3"/>
    <n v="2026"/>
    <s v="CUST-1848"/>
    <s v="Nandini Sharma"/>
    <s v="Small Business"/>
    <s v="India"/>
    <s v="Tamil Nadu"/>
    <s v="Chennai"/>
    <x v="1"/>
    <s v="Amazon App"/>
    <s v="iOS"/>
    <x v="4"/>
    <s v="Kitchen Appliances"/>
    <s v="Mixer Grinder"/>
    <s v="Prestige"/>
    <s v="HOM-KIT-56312"/>
    <s v="FBA"/>
    <x v="1"/>
    <x v="0"/>
    <n v="5"/>
    <n v="1703.24"/>
    <n v="0.05"/>
    <n v="425.81"/>
    <n v="8516.2000000000007"/>
    <n v="8090.39"/>
    <n v="12.39"/>
    <n v="4975.12"/>
    <n v="3102.88"/>
    <n v="0.38350000000000001"/>
    <n v="6"/>
    <s v="Delayed"/>
    <s v="No"/>
    <m/>
    <n v="4"/>
    <n v="0"/>
    <s v="No"/>
    <s v="Lightning Deal"/>
    <n v="7143.21"/>
    <n v="1.1326000000000001"/>
    <n v="220"/>
    <s v="In Stock"/>
  </r>
  <r>
    <s v="AMZ26-00663"/>
    <d v="2026-02-16T00:00:00"/>
    <x v="7"/>
    <s v="Q1"/>
    <n v="2026"/>
    <s v="CUST-4653"/>
    <s v="Aditi Singh"/>
    <s v="Corporate"/>
    <s v="India"/>
    <s v="Telangana"/>
    <s v="Hyderabad"/>
    <x v="1"/>
    <s v="Amazon Website"/>
    <s v="Desktop"/>
    <x v="1"/>
    <s v="Mobiles"/>
    <s v="Galaxy A Series"/>
    <s v="Samsung"/>
    <s v="ELE-MOB-80872"/>
    <s v="FBM"/>
    <x v="3"/>
    <x v="1"/>
    <n v="3"/>
    <n v="51927.05"/>
    <n v="0.2"/>
    <n v="31156.23"/>
    <n v="155781.15"/>
    <n v="124624.92"/>
    <n v="67.5"/>
    <n v="67924.88"/>
    <n v="56632.54"/>
    <n v="0.45440000000000003"/>
    <n v="0"/>
    <s v="Not Applicable"/>
    <s v="No"/>
    <m/>
    <m/>
    <n v="0"/>
    <s v="Yes"/>
    <s v="Prime Deal"/>
    <n v="126260.94"/>
    <n v="0.98699999999999999"/>
    <n v="390"/>
    <s v="In Stock"/>
  </r>
  <r>
    <s v="AMZ26-00664"/>
    <d v="2026-12-26T00:00:00"/>
    <x v="11"/>
    <s v="Q4"/>
    <n v="2026"/>
    <s v="CUST-2724"/>
    <s v="Sai Yadav"/>
    <s v="Consumer"/>
    <s v="India"/>
    <s v="Bihar"/>
    <s v="Patna"/>
    <x v="2"/>
    <s v="Amazon App"/>
    <s v="Desktop"/>
    <x v="0"/>
    <s v="Footwear"/>
    <s v="Running Shoes"/>
    <s v="Adidas"/>
    <s v="FAS-FOO-60985"/>
    <s v="FBA"/>
    <x v="1"/>
    <x v="0"/>
    <n v="5"/>
    <n v="366.01"/>
    <n v="0.2"/>
    <n v="366.01"/>
    <n v="1830.05"/>
    <n v="1464.04"/>
    <n v="120.43"/>
    <n v="1108.1300000000001"/>
    <n v="235.48"/>
    <n v="0.1608"/>
    <n v="3"/>
    <s v="On Time"/>
    <s v="No"/>
    <m/>
    <n v="5"/>
    <n v="4"/>
    <s v="Yes"/>
    <s v="Lightning Deal"/>
    <n v="1534.46"/>
    <n v="0.95409999999999995"/>
    <n v="409"/>
    <s v="In Stock"/>
  </r>
  <r>
    <s v="AMZ26-00665"/>
    <d v="2026-12-19T00:00:00"/>
    <x v="11"/>
    <s v="Q4"/>
    <n v="2026"/>
    <s v="CUST-4114"/>
    <s v="Rahul Shetty"/>
    <s v="Consumer"/>
    <s v="India"/>
    <s v="Odisha"/>
    <s v="Bhubaneswar"/>
    <x v="2"/>
    <s v="Amazon Website"/>
    <s v="Android"/>
    <x v="1"/>
    <s v="Laptops"/>
    <s v="Pavilion"/>
    <s v="HP"/>
    <s v="ELE-LAP-66430"/>
    <s v="FBA"/>
    <x v="5"/>
    <x v="0"/>
    <n v="2"/>
    <n v="33472.370000000003"/>
    <n v="0.2"/>
    <n v="13388.95"/>
    <n v="66944.740000000005"/>
    <n v="53555.79"/>
    <n v="8.7799999999999994"/>
    <n v="37048.92"/>
    <n v="16498.09"/>
    <n v="0.30809999999999998"/>
    <n v="2"/>
    <s v="On Time"/>
    <s v="Yes"/>
    <s v="Quality Issue"/>
    <n v="5"/>
    <n v="0"/>
    <s v="No"/>
    <s v="Amazon Coupon"/>
    <n v="50308.78"/>
    <n v="1.0645"/>
    <n v="132"/>
    <s v="In Stock"/>
  </r>
  <r>
    <s v="AMZ26-00666"/>
    <d v="2026-06-04T00:00:00"/>
    <x v="5"/>
    <s v="Q2"/>
    <n v="2026"/>
    <s v="CUST-3076"/>
    <s v="Aditya Singh"/>
    <s v="Corporate"/>
    <s v="India"/>
    <s v="West Bengal"/>
    <s v="Kolkata"/>
    <x v="2"/>
    <s v="Amazon App"/>
    <s v="Desktop"/>
    <x v="2"/>
    <s v="Skin Care"/>
    <s v="Moisturizer"/>
    <s v="Cetaphil"/>
    <s v="BEA-SKI-30737"/>
    <s v="FBM"/>
    <x v="5"/>
    <x v="1"/>
    <n v="3"/>
    <n v="2013.85"/>
    <n v="0.2"/>
    <n v="1208.31"/>
    <n v="6041.55"/>
    <n v="4833.24"/>
    <n v="105.37"/>
    <n v="2888.82"/>
    <n v="1839.05"/>
    <n v="0.3805"/>
    <n v="0"/>
    <s v="Not Applicable"/>
    <s v="No"/>
    <m/>
    <m/>
    <n v="0"/>
    <s v="No"/>
    <s v="Prime Deal"/>
    <n v="4793.93"/>
    <n v="1.0082"/>
    <n v="293"/>
    <s v="In Stock"/>
  </r>
  <r>
    <s v="AMZ26-00667"/>
    <d v="2026-07-26T00:00:00"/>
    <x v="3"/>
    <s v="Q3"/>
    <n v="2026"/>
    <s v="CUST-3038"/>
    <s v="Meera Nair"/>
    <s v="Corporate"/>
    <s v="India"/>
    <s v="Kerala"/>
    <s v="Kochi"/>
    <x v="1"/>
    <s v="Amazon Website"/>
    <s v="Android"/>
    <x v="3"/>
    <s v="Staples"/>
    <s v="Basmati Rice"/>
    <s v="India Gate"/>
    <s v="GRO-STA-35767"/>
    <s v="FBA"/>
    <x v="1"/>
    <x v="0"/>
    <n v="4"/>
    <n v="439.78"/>
    <n v="0"/>
    <n v="0"/>
    <n v="1759.12"/>
    <n v="1759.12"/>
    <n v="108.46"/>
    <n v="1163.3599999999999"/>
    <n v="487.3"/>
    <n v="0.27700000000000002"/>
    <n v="2"/>
    <s v="On Time"/>
    <s v="No"/>
    <m/>
    <n v="5"/>
    <n v="4"/>
    <s v="No"/>
    <s v="Prime Deal"/>
    <n v="2153.9699999999998"/>
    <n v="0.81669999999999998"/>
    <n v="253"/>
    <s v="In Stock"/>
  </r>
  <r>
    <s v="AMZ26-00668"/>
    <d v="2026-12-17T00:00:00"/>
    <x v="11"/>
    <s v="Q4"/>
    <n v="2026"/>
    <s v="CUST-2352"/>
    <s v="Rohan Singh"/>
    <s v="Small Business"/>
    <s v="India"/>
    <s v="Telangana"/>
    <s v="Hyderabad"/>
    <x v="1"/>
    <s v="Amazon App"/>
    <s v="Desktop"/>
    <x v="0"/>
    <s v="Men Clothing"/>
    <s v="Slim Jeans"/>
    <s v="Levi's"/>
    <s v="FAS-MEN-31748"/>
    <s v="FBA"/>
    <x v="4"/>
    <x v="0"/>
    <n v="1"/>
    <n v="3294.7"/>
    <n v="0.15"/>
    <n v="494.2"/>
    <n v="3294.7"/>
    <n v="2800.5"/>
    <n v="218.21"/>
    <n v="1660.5"/>
    <n v="921.79"/>
    <n v="0.32919999999999999"/>
    <n v="6"/>
    <s v="Delayed"/>
    <s v="No"/>
    <m/>
    <n v="5"/>
    <n v="3"/>
    <s v="Yes"/>
    <s v="Lightning Deal"/>
    <n v="2543.69"/>
    <n v="1.101"/>
    <n v="51"/>
    <s v="In Stock"/>
  </r>
  <r>
    <s v="AMZ26-00669"/>
    <d v="2026-04-05T00:00:00"/>
    <x v="9"/>
    <s v="Q2"/>
    <n v="2026"/>
    <s v="CUST-2332"/>
    <s v="Sai Gupta"/>
    <s v="Corporate"/>
    <s v="India"/>
    <s v="Haryana"/>
    <s v="Gurugram"/>
    <x v="0"/>
    <s v="Amazon Website"/>
    <s v="Tablet"/>
    <x v="0"/>
    <s v="Women Clothing"/>
    <s v="Denim Jeans"/>
    <s v="Levi's"/>
    <s v="FAS-WOM-86650"/>
    <s v="FBM"/>
    <x v="1"/>
    <x v="0"/>
    <n v="3"/>
    <n v="1936.44"/>
    <n v="0"/>
    <n v="0"/>
    <n v="5809.32"/>
    <n v="5809.32"/>
    <n v="21.2"/>
    <n v="3880.43"/>
    <n v="1907.69"/>
    <n v="0.32840000000000003"/>
    <n v="1"/>
    <s v="On Time"/>
    <s v="No"/>
    <m/>
    <n v="5"/>
    <n v="2"/>
    <s v="Yes"/>
    <s v="Festival Sale"/>
    <n v="5900.44"/>
    <n v="0.98460000000000003"/>
    <n v="125"/>
    <s v="In Stock"/>
  </r>
  <r>
    <s v="AMZ26-00670"/>
    <d v="2026-06-21T00:00:00"/>
    <x v="5"/>
    <s v="Q2"/>
    <n v="2026"/>
    <s v="CUST-2125"/>
    <s v="Pooja Singh"/>
    <s v="Consumer"/>
    <s v="India"/>
    <s v="Telangana"/>
    <s v="Hyderabad"/>
    <x v="1"/>
    <s v="Amazon App"/>
    <s v="Tablet"/>
    <x v="0"/>
    <s v="Men Clothing"/>
    <s v="Cotton Shirt"/>
    <s v="Allen Solly"/>
    <s v="FAS-MEN-12139"/>
    <s v="FBA"/>
    <x v="5"/>
    <x v="0"/>
    <n v="2"/>
    <n v="548.58000000000004"/>
    <n v="0.15"/>
    <n v="164.57"/>
    <n v="1097.1600000000001"/>
    <n v="932.59"/>
    <n v="168.85"/>
    <n v="633.08000000000004"/>
    <n v="130.66"/>
    <n v="0.1401"/>
    <n v="1"/>
    <s v="On Time"/>
    <s v="No"/>
    <m/>
    <n v="4"/>
    <n v="4"/>
    <s v="Yes"/>
    <s v="Bank Offer"/>
    <n v="977.36"/>
    <n v="0.95420000000000005"/>
    <n v="167"/>
    <s v="In Stock"/>
  </r>
  <r>
    <s v="AMZ26-00671"/>
    <d v="2026-03-06T00:00:00"/>
    <x v="0"/>
    <s v="Q1"/>
    <n v="2026"/>
    <s v="CUST-3554"/>
    <s v="Kiran Das"/>
    <s v="Consumer"/>
    <s v="India"/>
    <s v="Uttar Pradesh"/>
    <s v="Noida"/>
    <x v="0"/>
    <s v="Amazon App"/>
    <s v="Desktop"/>
    <x v="3"/>
    <s v="Staples"/>
    <s v="Cooking Oil"/>
    <s v="Fortune"/>
    <s v="GRO-STA-29866"/>
    <s v="FBA"/>
    <x v="3"/>
    <x v="2"/>
    <n v="2"/>
    <n v="733.66"/>
    <n v="0"/>
    <n v="0"/>
    <n v="1467.32"/>
    <n v="1467.32"/>
    <n v="172.28"/>
    <n v="769.97"/>
    <n v="525.07000000000005"/>
    <n v="0.35780000000000001"/>
    <n v="5"/>
    <s v="In Transit"/>
    <s v="No"/>
    <m/>
    <m/>
    <n v="0"/>
    <s v="No"/>
    <s v="Festival Sale"/>
    <n v="1314.01"/>
    <n v="1.1167"/>
    <n v="51"/>
    <s v="In Stock"/>
  </r>
  <r>
    <s v="AMZ26-00672"/>
    <d v="2026-08-01T00:00:00"/>
    <x v="4"/>
    <s v="Q3"/>
    <n v="2026"/>
    <s v="CUST-4984"/>
    <s v="Vivek Yadav"/>
    <s v="Consumer"/>
    <s v="India"/>
    <s v="Maharashtra"/>
    <s v="Mumbai"/>
    <x v="3"/>
    <s v="Amazon App"/>
    <s v="iOS"/>
    <x v="1"/>
    <s v="Accessories"/>
    <s v="Keyboard"/>
    <s v="HP"/>
    <s v="ELE-ACC-90060"/>
    <s v="FBA"/>
    <x v="5"/>
    <x v="0"/>
    <n v="4"/>
    <n v="3569.1"/>
    <n v="0.15"/>
    <n v="2141.46"/>
    <n v="14276.4"/>
    <n v="12134.94"/>
    <n v="231.74"/>
    <n v="7417.08"/>
    <n v="4486.12"/>
    <n v="0.36969999999999997"/>
    <n v="4"/>
    <s v="On Time"/>
    <s v="No"/>
    <m/>
    <n v="3"/>
    <n v="2"/>
    <s v="Yes"/>
    <s v="Lightning Deal"/>
    <n v="11429.98"/>
    <n v="1.0617000000000001"/>
    <n v="390"/>
    <s v="In Stock"/>
  </r>
  <r>
    <s v="AMZ26-00673"/>
    <d v="2026-10-22T00:00:00"/>
    <x v="8"/>
    <s v="Q4"/>
    <n v="2026"/>
    <s v="CUST-1888"/>
    <s v="Priya Kumar"/>
    <s v="Small Business"/>
    <s v="India"/>
    <s v="Punjab"/>
    <s v="Ludhiana"/>
    <x v="0"/>
    <s v="Amazon Website"/>
    <s v="Desktop"/>
    <x v="3"/>
    <s v="Staples"/>
    <s v="Basmati Rice"/>
    <s v="India Gate"/>
    <s v="GRO-STA-85732"/>
    <s v="FBM"/>
    <x v="5"/>
    <x v="0"/>
    <n v="4"/>
    <n v="949.26"/>
    <n v="0.15"/>
    <n v="569.55999999999995"/>
    <n v="3797.04"/>
    <n v="3227.48"/>
    <n v="187"/>
    <n v="2271.77"/>
    <n v="768.71"/>
    <n v="0.2382"/>
    <n v="2"/>
    <s v="On Time"/>
    <s v="No"/>
    <m/>
    <n v="4"/>
    <n v="1"/>
    <s v="Yes"/>
    <s v="Amazon Coupon"/>
    <n v="3777.1"/>
    <n v="0.85450000000000004"/>
    <n v="38"/>
    <s v="Low Stock"/>
  </r>
  <r>
    <s v="AMZ26-00674"/>
    <d v="2026-05-01T00:00:00"/>
    <x v="2"/>
    <s v="Q2"/>
    <n v="2026"/>
    <s v="CUST-2696"/>
    <s v="Diya Joshi"/>
    <s v="Consumer"/>
    <s v="India"/>
    <s v="Delhi"/>
    <s v="New Delhi"/>
    <x v="0"/>
    <s v="Amazon App"/>
    <s v="iOS"/>
    <x v="2"/>
    <s v="Makeup"/>
    <s v="Kajal"/>
    <s v="Lakme"/>
    <s v="BEA-MAK-61055"/>
    <s v="FBA"/>
    <x v="0"/>
    <x v="0"/>
    <n v="2"/>
    <n v="2465.25"/>
    <n v="0.2"/>
    <n v="986.1"/>
    <n v="4930.5"/>
    <n v="3944.4"/>
    <n v="190.82"/>
    <n v="2630.67"/>
    <n v="1122.9100000000001"/>
    <n v="0.28470000000000001"/>
    <n v="2"/>
    <s v="On Time"/>
    <s v="No"/>
    <m/>
    <n v="4"/>
    <n v="2"/>
    <s v="Yes"/>
    <s v="Lightning Deal"/>
    <n v="4202.8"/>
    <n v="0.9385"/>
    <n v="264"/>
    <s v="In Stock"/>
  </r>
  <r>
    <s v="AMZ26-00675"/>
    <d v="2026-05-20T00:00:00"/>
    <x v="2"/>
    <s v="Q2"/>
    <n v="2026"/>
    <s v="CUST-1185"/>
    <s v="Priya Das"/>
    <s v="Consumer"/>
    <s v="India"/>
    <s v="Gujarat"/>
    <s v="Ahmedabad"/>
    <x v="3"/>
    <s v="Amazon App"/>
    <s v="Desktop"/>
    <x v="2"/>
    <s v="Hair Care"/>
    <s v="Shampoo"/>
    <s v="Dove"/>
    <s v="BEA-HAI-24613"/>
    <s v="FBA"/>
    <x v="1"/>
    <x v="1"/>
    <n v="5"/>
    <n v="2264.2600000000002"/>
    <n v="0"/>
    <n v="0"/>
    <n v="11321.3"/>
    <n v="11321.3"/>
    <n v="62.45"/>
    <n v="8430.6200000000008"/>
    <n v="2828.23"/>
    <n v="0.24979999999999999"/>
    <n v="0"/>
    <s v="Not Applicable"/>
    <s v="No"/>
    <m/>
    <m/>
    <n v="0"/>
    <s v="No"/>
    <s v="Bank Offer"/>
    <n v="13752.67"/>
    <n v="0.82320000000000004"/>
    <n v="148"/>
    <s v="In Stock"/>
  </r>
  <r>
    <s v="AMZ26-00676"/>
    <d v="2026-05-04T00:00:00"/>
    <x v="2"/>
    <s v="Q2"/>
    <n v="2026"/>
    <s v="CUST-4448"/>
    <s v="Diya Das"/>
    <s v="Consumer"/>
    <s v="India"/>
    <s v="Gujarat"/>
    <s v="Ahmedabad"/>
    <x v="3"/>
    <s v="Amazon Website"/>
    <s v="Tablet"/>
    <x v="0"/>
    <s v="Footwear"/>
    <s v="Running Shoes"/>
    <s v="Adidas"/>
    <s v="FAS-FOO-54139"/>
    <s v="FBA"/>
    <x v="3"/>
    <x v="0"/>
    <n v="4"/>
    <n v="3140.41"/>
    <n v="0.2"/>
    <n v="2512.33"/>
    <n v="12561.64"/>
    <n v="10049.31"/>
    <n v="94.36"/>
    <n v="6649.27"/>
    <n v="3305.68"/>
    <n v="0.32890000000000003"/>
    <n v="7"/>
    <s v="Delayed"/>
    <s v="No"/>
    <m/>
    <n v="4"/>
    <n v="4"/>
    <s v="Yes"/>
    <s v="None"/>
    <n v="10540.42"/>
    <n v="0.95340000000000003"/>
    <n v="132"/>
    <s v="In Stock"/>
  </r>
  <r>
    <s v="AMZ26-00677"/>
    <d v="2026-11-15T00:00:00"/>
    <x v="6"/>
    <s v="Q4"/>
    <n v="2026"/>
    <s v="CUST-2030"/>
    <s v="Ananya Reddy"/>
    <s v="Consumer"/>
    <s v="India"/>
    <s v="West Bengal"/>
    <s v="Kolkata"/>
    <x v="2"/>
    <s v="Amazon App"/>
    <s v="iOS"/>
    <x v="4"/>
    <s v="Cookware"/>
    <s v="Nonstick Pan"/>
    <s v="Prestige"/>
    <s v="HOM-COO-70950"/>
    <s v="FBA"/>
    <x v="5"/>
    <x v="0"/>
    <n v="5"/>
    <n v="4547.88"/>
    <n v="0.15"/>
    <n v="3410.91"/>
    <n v="22739.4"/>
    <n v="19328.490000000002"/>
    <n v="127.58"/>
    <n v="13232.32"/>
    <n v="5968.59"/>
    <n v="0.30880000000000002"/>
    <n v="6"/>
    <s v="Delayed"/>
    <s v="No"/>
    <m/>
    <n v="4"/>
    <n v="4"/>
    <s v="Yes"/>
    <s v="Prime Deal"/>
    <n v="19896.009999999998"/>
    <n v="0.97150000000000003"/>
    <n v="387"/>
    <s v="In Stock"/>
  </r>
  <r>
    <s v="AMZ26-00678"/>
    <d v="2026-09-11T00:00:00"/>
    <x v="1"/>
    <s v="Q3"/>
    <n v="2026"/>
    <s v="CUST-2602"/>
    <s v="Aditi Gupta"/>
    <s v="Small Business"/>
    <s v="India"/>
    <s v="Odisha"/>
    <s v="Bhubaneswar"/>
    <x v="2"/>
    <s v="Amazon Website"/>
    <s v="Tablet"/>
    <x v="1"/>
    <s v="Accessories"/>
    <s v="Wireless Mouse"/>
    <s v="Logitech"/>
    <s v="ELE-ACC-72586"/>
    <s v="FBM"/>
    <x v="1"/>
    <x v="0"/>
    <n v="2"/>
    <n v="60013.34"/>
    <n v="0"/>
    <n v="0"/>
    <n v="120026.68"/>
    <n v="120026.68"/>
    <n v="142.59"/>
    <n v="70845.34"/>
    <n v="49038.75"/>
    <n v="0.40860000000000002"/>
    <n v="7"/>
    <s v="Delayed"/>
    <s v="No"/>
    <m/>
    <n v="5"/>
    <n v="4"/>
    <s v="No"/>
    <s v="Lightning Deal"/>
    <n v="105284.14"/>
    <n v="1.1399999999999999"/>
    <n v="401"/>
    <s v="In Stock"/>
  </r>
  <r>
    <s v="AMZ26-00679"/>
    <d v="2026-08-10T00:00:00"/>
    <x v="4"/>
    <s v="Q3"/>
    <n v="2026"/>
    <s v="CUST-4611"/>
    <s v="Meera Das"/>
    <s v="Corporate"/>
    <s v="India"/>
    <s v="West Bengal"/>
    <s v="Kolkata"/>
    <x v="2"/>
    <s v="Amazon Website"/>
    <s v="iOS"/>
    <x v="1"/>
    <s v="Accessories"/>
    <s v="Bluetooth Speaker"/>
    <s v="boAt"/>
    <s v="ELE-ACC-16645"/>
    <s v="FBA"/>
    <x v="0"/>
    <x v="0"/>
    <n v="1"/>
    <n v="41329.47"/>
    <n v="0.2"/>
    <n v="8265.89"/>
    <n v="41329.47"/>
    <n v="33063.58"/>
    <n v="46.46"/>
    <n v="23941.37"/>
    <n v="9075.75"/>
    <n v="0.27450000000000002"/>
    <n v="8"/>
    <s v="Delayed"/>
    <s v="No"/>
    <m/>
    <n v="5"/>
    <n v="4"/>
    <s v="Yes"/>
    <s v="None"/>
    <n v="33163.519999999997"/>
    <n v="0.997"/>
    <n v="336"/>
    <s v="In Stock"/>
  </r>
  <r>
    <s v="AMZ26-00680"/>
    <d v="2026-09-14T00:00:00"/>
    <x v="1"/>
    <s v="Q3"/>
    <n v="2026"/>
    <s v="CUST-3178"/>
    <s v="Nikhil Reddy"/>
    <s v="Corporate"/>
    <s v="India"/>
    <s v="Odisha"/>
    <s v="Bhubaneswar"/>
    <x v="2"/>
    <s v="Amazon Website"/>
    <s v="Android"/>
    <x v="4"/>
    <s v="Cookware"/>
    <s v="Nonstick Pan"/>
    <s v="Prestige"/>
    <s v="HOM-COO-36715"/>
    <s v="FBA"/>
    <x v="1"/>
    <x v="0"/>
    <n v="4"/>
    <n v="747.61"/>
    <n v="0.15"/>
    <n v="448.57"/>
    <n v="2990.44"/>
    <n v="2541.87"/>
    <n v="89.98"/>
    <n v="1833.77"/>
    <n v="618.12"/>
    <n v="0.2432"/>
    <n v="2"/>
    <s v="On Time"/>
    <s v="No"/>
    <m/>
    <n v="4"/>
    <n v="1"/>
    <s v="Yes"/>
    <s v="Amazon Coupon"/>
    <n v="2944.57"/>
    <n v="0.86319999999999997"/>
    <n v="161"/>
    <s v="In Stock"/>
  </r>
  <r>
    <s v="AMZ26-00681"/>
    <d v="2026-07-21T00:00:00"/>
    <x v="3"/>
    <s v="Q3"/>
    <n v="2026"/>
    <s v="CUST-4357"/>
    <s v="Sneha Rao"/>
    <s v="Consumer"/>
    <s v="India"/>
    <s v="Maharashtra"/>
    <s v="Mumbai"/>
    <x v="3"/>
    <s v="Amazon Website"/>
    <s v="Desktop"/>
    <x v="4"/>
    <s v="Kitchen Appliances"/>
    <s v="Electric Kettle"/>
    <s v="Pigeon"/>
    <s v="HOM-KIT-93198"/>
    <s v="FBA"/>
    <x v="3"/>
    <x v="0"/>
    <n v="2"/>
    <n v="737.81"/>
    <n v="0.25"/>
    <n v="368.9"/>
    <n v="1475.62"/>
    <n v="1106.72"/>
    <n v="73.58"/>
    <n v="779.73"/>
    <n v="253.41"/>
    <n v="0.22900000000000001"/>
    <n v="2"/>
    <s v="On Time"/>
    <s v="No"/>
    <m/>
    <n v="4"/>
    <n v="1"/>
    <s v="Yes"/>
    <s v="Festival Sale"/>
    <n v="1258.33"/>
    <n v="0.87949999999999995"/>
    <n v="124"/>
    <s v="In Stock"/>
  </r>
  <r>
    <s v="AMZ26-00682"/>
    <d v="2026-08-20T00:00:00"/>
    <x v="4"/>
    <s v="Q3"/>
    <n v="2026"/>
    <s v="CUST-1816"/>
    <s v="Rohan Nair"/>
    <s v="Corporate"/>
    <s v="India"/>
    <s v="Karnataka"/>
    <s v="Mysuru"/>
    <x v="1"/>
    <s v="Amazon App"/>
    <s v="Desktop"/>
    <x v="1"/>
    <s v="Mobiles"/>
    <s v="Redmi Note"/>
    <s v="Xiaomi"/>
    <s v="ELE-MOB-74240"/>
    <s v="FBA"/>
    <x v="2"/>
    <x v="0"/>
    <n v="2"/>
    <n v="34338.839999999997"/>
    <n v="0.3"/>
    <n v="20603.3"/>
    <n v="68677.679999999993"/>
    <n v="48074.38"/>
    <n v="247.99"/>
    <n v="29774.53"/>
    <n v="18051.86"/>
    <n v="0.3755"/>
    <n v="8"/>
    <s v="Delayed"/>
    <s v="No"/>
    <m/>
    <n v="5"/>
    <n v="3"/>
    <s v="Yes"/>
    <s v="Festival Sale"/>
    <n v="56986.25"/>
    <n v="0.84360000000000002"/>
    <n v="95"/>
    <s v="In Stock"/>
  </r>
  <r>
    <s v="AMZ26-00683"/>
    <d v="2026-12-12T00:00:00"/>
    <x v="11"/>
    <s v="Q4"/>
    <n v="2026"/>
    <s v="CUST-3376"/>
    <s v="Nandini Gupta"/>
    <s v="Consumer"/>
    <s v="India"/>
    <s v="Telangana"/>
    <s v="Hyderabad"/>
    <x v="1"/>
    <s v="Amazon App"/>
    <s v="Desktop"/>
    <x v="4"/>
    <s v="Home Decor"/>
    <s v="LED Lamp"/>
    <s v="Wipro"/>
    <s v="HOM-HOM-60849"/>
    <s v="FBA"/>
    <x v="5"/>
    <x v="2"/>
    <n v="1"/>
    <n v="8109.28"/>
    <n v="0"/>
    <n v="0"/>
    <n v="8109.28"/>
    <n v="8109.28"/>
    <n v="214.68"/>
    <n v="5059.79"/>
    <n v="2834.81"/>
    <n v="0.34960000000000002"/>
    <n v="2"/>
    <s v="In Transit"/>
    <s v="No"/>
    <m/>
    <m/>
    <n v="0"/>
    <s v="No"/>
    <s v="Prime Deal"/>
    <n v="8616.32"/>
    <n v="0.94120000000000004"/>
    <n v="68"/>
    <s v="In Stock"/>
  </r>
  <r>
    <s v="AMZ26-00684"/>
    <d v="2026-03-19T00:00:00"/>
    <x v="0"/>
    <s v="Q1"/>
    <n v="2026"/>
    <s v="CUST-4335"/>
    <s v="Sneha Singh"/>
    <s v="Small Business"/>
    <s v="India"/>
    <s v="Maharashtra"/>
    <s v="Mumbai"/>
    <x v="3"/>
    <s v="Amazon App"/>
    <s v="iOS"/>
    <x v="4"/>
    <s v="Cookware"/>
    <s v="Cookware Set"/>
    <s v="Pigeon"/>
    <s v="HOM-COO-32789"/>
    <s v="FBM"/>
    <x v="4"/>
    <x v="2"/>
    <n v="5"/>
    <n v="2569.25"/>
    <n v="0.25"/>
    <n v="3211.56"/>
    <n v="12846.25"/>
    <n v="9634.69"/>
    <n v="91.55"/>
    <n v="6974.71"/>
    <n v="2568.4299999999998"/>
    <n v="0.2666"/>
    <n v="5"/>
    <s v="In Transit"/>
    <s v="No"/>
    <m/>
    <m/>
    <n v="0"/>
    <s v="No"/>
    <s v="Prime Deal"/>
    <n v="9843.16"/>
    <n v="0.9788"/>
    <n v="196"/>
    <s v="In Stock"/>
  </r>
  <r>
    <s v="AMZ26-00685"/>
    <d v="2026-12-07T00:00:00"/>
    <x v="11"/>
    <s v="Q4"/>
    <n v="2026"/>
    <s v="CUST-3621"/>
    <s v="Sai Jain"/>
    <s v="Consumer"/>
    <s v="India"/>
    <s v="Gujarat"/>
    <s v="Ahmedabad"/>
    <x v="3"/>
    <s v="Amazon App"/>
    <s v="Desktop"/>
    <x v="4"/>
    <s v="Home Decor"/>
    <s v="Curtain Set"/>
    <s v="Home Centre"/>
    <s v="HOM-HOM-53441"/>
    <s v="FBM"/>
    <x v="1"/>
    <x v="0"/>
    <n v="3"/>
    <n v="4083.73"/>
    <n v="0"/>
    <n v="0"/>
    <n v="12251.19"/>
    <n v="12251.19"/>
    <n v="12.51"/>
    <n v="9088.1200000000008"/>
    <n v="3150.56"/>
    <n v="0.25719999999999998"/>
    <n v="7"/>
    <s v="Delayed"/>
    <s v="No"/>
    <m/>
    <n v="4"/>
    <n v="0"/>
    <s v="No"/>
    <s v="Amazon Coupon"/>
    <n v="12174.75"/>
    <n v="1.0063"/>
    <n v="309"/>
    <s v="In Stock"/>
  </r>
  <r>
    <s v="AMZ26-00686"/>
    <d v="2026-02-20T00:00:00"/>
    <x v="7"/>
    <s v="Q1"/>
    <n v="2026"/>
    <s v="CUST-1524"/>
    <s v="Pooja Jain"/>
    <s v="Corporate"/>
    <s v="India"/>
    <s v="Assam"/>
    <s v="Guwahati"/>
    <x v="2"/>
    <s v="Amazon Website"/>
    <s v="Tablet"/>
    <x v="1"/>
    <s v="Laptops"/>
    <s v="Vivobook"/>
    <s v="ASUS"/>
    <s v="ELE-LAP-85004"/>
    <s v="FBA"/>
    <x v="2"/>
    <x v="0"/>
    <n v="3"/>
    <n v="11972.13"/>
    <n v="0.15"/>
    <n v="5387.46"/>
    <n v="35916.39"/>
    <n v="30528.93"/>
    <n v="112.2"/>
    <n v="16056.33"/>
    <n v="14360.4"/>
    <n v="0.47039999999999998"/>
    <n v="6"/>
    <s v="Delayed"/>
    <s v="No"/>
    <m/>
    <n v="4"/>
    <n v="4"/>
    <s v="No"/>
    <s v="None"/>
    <n v="34773.85"/>
    <n v="0.87790000000000001"/>
    <n v="141"/>
    <s v="In Stock"/>
  </r>
  <r>
    <s v="AMZ26-00687"/>
    <d v="2026-12-19T00:00:00"/>
    <x v="11"/>
    <s v="Q4"/>
    <n v="2026"/>
    <s v="CUST-3302"/>
    <s v="Nikhil Iyer"/>
    <s v="Small Business"/>
    <s v="India"/>
    <s v="Kerala"/>
    <s v="Kochi"/>
    <x v="1"/>
    <s v="Amazon App"/>
    <s v="Android"/>
    <x v="3"/>
    <s v="Beverages"/>
    <s v="Green Tea"/>
    <s v="Tata Tea"/>
    <s v="GRO-BEV-77493"/>
    <s v="FBM"/>
    <x v="0"/>
    <x v="0"/>
    <n v="2"/>
    <n v="300.23"/>
    <n v="0.3"/>
    <n v="180.14"/>
    <n v="600.46"/>
    <n v="420.32"/>
    <n v="191.48"/>
    <n v="267.91000000000003"/>
    <n v="-39.07"/>
    <n v="-9.2999999999999999E-2"/>
    <n v="1"/>
    <s v="On Time"/>
    <s v="No"/>
    <m/>
    <n v="5"/>
    <n v="0"/>
    <s v="Yes"/>
    <s v="Amazon Coupon"/>
    <n v="489.13"/>
    <n v="0.85929999999999995"/>
    <n v="104"/>
    <s v="In Stock"/>
  </r>
  <r>
    <s v="AMZ26-00688"/>
    <d v="2026-09-08T00:00:00"/>
    <x v="1"/>
    <s v="Q3"/>
    <n v="2026"/>
    <s v="CUST-2213"/>
    <s v="Kavya Sharma"/>
    <s v="Small Business"/>
    <s v="India"/>
    <s v="Haryana"/>
    <s v="Gurugram"/>
    <x v="0"/>
    <s v="Amazon Website"/>
    <s v="Android"/>
    <x v="1"/>
    <s v="Laptops"/>
    <s v="Pavilion"/>
    <s v="HP"/>
    <s v="ELE-LAP-58868"/>
    <s v="FBA"/>
    <x v="4"/>
    <x v="0"/>
    <n v="3"/>
    <n v="16785.23"/>
    <n v="0"/>
    <n v="0"/>
    <n v="50355.69"/>
    <n v="50355.69"/>
    <n v="55.36"/>
    <n v="27362.68"/>
    <n v="22937.65"/>
    <n v="0.45550000000000002"/>
    <n v="7"/>
    <s v="Delayed"/>
    <s v="No"/>
    <m/>
    <n v="5"/>
    <n v="1"/>
    <s v="Yes"/>
    <s v="None"/>
    <n v="53767.51"/>
    <n v="0.9365"/>
    <n v="468"/>
    <s v="In Stock"/>
  </r>
  <r>
    <s v="AMZ26-00689"/>
    <d v="2026-02-17T00:00:00"/>
    <x v="7"/>
    <s v="Q1"/>
    <n v="2026"/>
    <s v="CUST-2654"/>
    <s v="Pooja Verma"/>
    <s v="Small Business"/>
    <s v="India"/>
    <s v="Maharashtra"/>
    <s v="Mumbai"/>
    <x v="3"/>
    <s v="Amazon Website"/>
    <s v="Android"/>
    <x v="0"/>
    <s v="Men Clothing"/>
    <s v="Slim Jeans"/>
    <s v="Levi's"/>
    <s v="FAS-MEN-80338"/>
    <s v="FBM"/>
    <x v="5"/>
    <x v="0"/>
    <n v="4"/>
    <n v="1187.45"/>
    <n v="0.25"/>
    <n v="1187.45"/>
    <n v="4749.8"/>
    <n v="3562.35"/>
    <n v="162.68"/>
    <n v="1836.57"/>
    <n v="1563.1"/>
    <n v="0.43880000000000002"/>
    <n v="7"/>
    <s v="Delayed"/>
    <s v="No"/>
    <m/>
    <n v="4"/>
    <n v="3"/>
    <s v="Yes"/>
    <s v="Prime Deal"/>
    <n v="4143.28"/>
    <n v="0.85980000000000001"/>
    <n v="208"/>
    <s v="In Stock"/>
  </r>
  <r>
    <s v="AMZ26-00690"/>
    <d v="2026-09-30T00:00:00"/>
    <x v="1"/>
    <s v="Q3"/>
    <n v="2026"/>
    <s v="CUST-2313"/>
    <s v="Pooja Gupta"/>
    <s v="Small Business"/>
    <s v="India"/>
    <s v="Delhi"/>
    <s v="New Delhi"/>
    <x v="0"/>
    <s v="Amazon App"/>
    <s v="Android"/>
    <x v="1"/>
    <s v="Accessories"/>
    <s v="Wireless Mouse"/>
    <s v="Logitech"/>
    <s v="ELE-ACC-28649"/>
    <s v="FBA"/>
    <x v="4"/>
    <x v="0"/>
    <n v="2"/>
    <n v="48764.33"/>
    <n v="0.2"/>
    <n v="19505.73"/>
    <n v="97528.66"/>
    <n v="78022.929999999993"/>
    <n v="171.63"/>
    <n v="58729.17"/>
    <n v="19122.13"/>
    <n v="0.24510000000000001"/>
    <n v="1"/>
    <s v="On Time"/>
    <s v="No"/>
    <m/>
    <n v="4"/>
    <n v="4"/>
    <s v="Yes"/>
    <s v="Amazon Coupon"/>
    <n v="79735.58"/>
    <n v="0.97850000000000004"/>
    <n v="342"/>
    <s v="In Stock"/>
  </r>
  <r>
    <s v="AMZ26-00691"/>
    <d v="2026-07-24T00:00:00"/>
    <x v="3"/>
    <s v="Q3"/>
    <n v="2026"/>
    <s v="CUST-1578"/>
    <s v="Pooja Nair"/>
    <s v="Small Business"/>
    <s v="India"/>
    <s v="Maharashtra"/>
    <s v="Pune"/>
    <x v="3"/>
    <s v="Amazon Website"/>
    <s v="Desktop"/>
    <x v="0"/>
    <s v="Footwear"/>
    <s v="Running Shoes"/>
    <s v="Adidas"/>
    <s v="FAS-FOO-14666"/>
    <s v="FBM"/>
    <x v="4"/>
    <x v="1"/>
    <n v="3"/>
    <n v="641.08000000000004"/>
    <n v="0.1"/>
    <n v="192.32"/>
    <n v="1923.24"/>
    <n v="1730.92"/>
    <n v="204.12"/>
    <n v="1146.26"/>
    <n v="380.54"/>
    <n v="0.2198"/>
    <n v="0"/>
    <s v="Not Applicable"/>
    <s v="No"/>
    <m/>
    <m/>
    <n v="0"/>
    <s v="No"/>
    <s v="Lightning Deal"/>
    <n v="1719.93"/>
    <n v="1.0064"/>
    <n v="375"/>
    <s v="In Stock"/>
  </r>
  <r>
    <s v="AMZ26-00692"/>
    <d v="2026-07-29T00:00:00"/>
    <x v="3"/>
    <s v="Q3"/>
    <n v="2026"/>
    <s v="CUST-4911"/>
    <s v="Aditya Patel"/>
    <s v="Small Business"/>
    <s v="India"/>
    <s v="Karnataka"/>
    <s v="Mysuru"/>
    <x v="1"/>
    <s v="Amazon Website"/>
    <s v="Desktop"/>
    <x v="0"/>
    <s v="Footwear"/>
    <s v="Casual Sneakers"/>
    <s v="Puma"/>
    <s v="FAS-FOO-54344"/>
    <s v="FBM"/>
    <x v="5"/>
    <x v="0"/>
    <n v="4"/>
    <n v="714.64"/>
    <n v="0.3"/>
    <n v="857.57"/>
    <n v="2858.56"/>
    <n v="2000.99"/>
    <n v="20.010000000000002"/>
    <n v="1512.94"/>
    <n v="468.04"/>
    <n v="0.2339"/>
    <n v="3"/>
    <s v="On Time"/>
    <s v="No"/>
    <m/>
    <n v="5"/>
    <n v="3"/>
    <s v="Yes"/>
    <s v="None"/>
    <n v="1843.76"/>
    <n v="1.0852999999999999"/>
    <n v="86"/>
    <s v="In Stock"/>
  </r>
  <r>
    <s v="AMZ26-00693"/>
    <d v="2026-02-10T00:00:00"/>
    <x v="7"/>
    <s v="Q1"/>
    <n v="2026"/>
    <s v="CUST-2604"/>
    <s v="Diya Jain"/>
    <s v="Small Business"/>
    <s v="India"/>
    <s v="Bihar"/>
    <s v="Patna"/>
    <x v="2"/>
    <s v="Amazon Website"/>
    <s v="iOS"/>
    <x v="0"/>
    <s v="Footwear"/>
    <s v="Running Shoes"/>
    <s v="Adidas"/>
    <s v="FAS-FOO-67654"/>
    <s v="FBA"/>
    <x v="4"/>
    <x v="1"/>
    <n v="1"/>
    <n v="4768.63"/>
    <n v="0.05"/>
    <n v="238.43"/>
    <n v="4768.63"/>
    <n v="4530.2"/>
    <n v="90.82"/>
    <n v="3389.89"/>
    <n v="1049.49"/>
    <n v="0.23169999999999999"/>
    <n v="0"/>
    <s v="Not Applicable"/>
    <s v="No"/>
    <m/>
    <m/>
    <n v="0"/>
    <s v="No"/>
    <s v="Bank Offer"/>
    <n v="4698.79"/>
    <n v="0.96409999999999996"/>
    <n v="43"/>
    <s v="In Stock"/>
  </r>
  <r>
    <s v="AMZ26-00694"/>
    <d v="2026-06-27T00:00:00"/>
    <x v="5"/>
    <s v="Q2"/>
    <n v="2026"/>
    <s v="CUST-3260"/>
    <s v="Nikhil Reddy"/>
    <s v="Small Business"/>
    <s v="India"/>
    <s v="Karnataka"/>
    <s v="Bengaluru"/>
    <x v="1"/>
    <s v="Amazon Website"/>
    <s v="Desktop"/>
    <x v="3"/>
    <s v="Staples"/>
    <s v="Atta"/>
    <s v="Aashirvaad"/>
    <s v="GRO-STA-62017"/>
    <s v="FBM"/>
    <x v="3"/>
    <x v="0"/>
    <n v="2"/>
    <n v="93.17"/>
    <n v="0.05"/>
    <n v="9.32"/>
    <n v="186.34"/>
    <n v="177.02"/>
    <n v="70.010000000000005"/>
    <n v="130.04"/>
    <n v="-23.03"/>
    <n v="-0.13009999999999999"/>
    <n v="6"/>
    <s v="Delayed"/>
    <s v="No"/>
    <m/>
    <n v="4"/>
    <n v="4"/>
    <s v="Yes"/>
    <s v="Amazon Coupon"/>
    <n v="162.4"/>
    <n v="1.0900000000000001"/>
    <n v="87"/>
    <s v="In Stock"/>
  </r>
  <r>
    <s v="AMZ26-00695"/>
    <d v="2026-04-27T00:00:00"/>
    <x v="9"/>
    <s v="Q2"/>
    <n v="2026"/>
    <s v="CUST-3056"/>
    <s v="Kiran Das"/>
    <s v="Consumer"/>
    <s v="India"/>
    <s v="Karnataka"/>
    <s v="Bengaluru"/>
    <x v="1"/>
    <s v="Amazon Website"/>
    <s v="iOS"/>
    <x v="2"/>
    <s v="Makeup"/>
    <s v="Kajal"/>
    <s v="Lakme"/>
    <s v="BEA-MAK-19505"/>
    <s v="FBA"/>
    <x v="4"/>
    <x v="2"/>
    <n v="3"/>
    <n v="1693.86"/>
    <n v="0"/>
    <n v="0"/>
    <n v="5081.58"/>
    <n v="5081.58"/>
    <n v="70.790000000000006"/>
    <n v="3261.76"/>
    <n v="1749.03"/>
    <n v="0.34420000000000001"/>
    <n v="4"/>
    <s v="In Transit"/>
    <s v="No"/>
    <m/>
    <m/>
    <n v="0"/>
    <s v="No"/>
    <s v="Festival Sale"/>
    <n v="4740.05"/>
    <n v="1.0721000000000001"/>
    <n v="106"/>
    <s v="In Stock"/>
  </r>
  <r>
    <s v="AMZ26-00696"/>
    <d v="2026-09-08T00:00:00"/>
    <x v="1"/>
    <s v="Q3"/>
    <n v="2026"/>
    <s v="CUST-1008"/>
    <s v="Priya Reddy"/>
    <s v="Consumer"/>
    <s v="India"/>
    <s v="Delhi"/>
    <s v="New Delhi"/>
    <x v="0"/>
    <s v="Amazon App"/>
    <s v="Android"/>
    <x v="1"/>
    <s v="Laptops"/>
    <s v="Inspiron Laptop"/>
    <s v="Dell"/>
    <s v="ELE-LAP-51867"/>
    <s v="FBM"/>
    <x v="4"/>
    <x v="0"/>
    <n v="5"/>
    <n v="62951.16"/>
    <n v="0.3"/>
    <n v="94426.74"/>
    <n v="314755.8"/>
    <n v="220329.06"/>
    <n v="210.41"/>
    <n v="124861.45"/>
    <n v="95257.2"/>
    <n v="0.43230000000000002"/>
    <n v="5"/>
    <s v="Delayed"/>
    <s v="Yes"/>
    <s v="Size/Fit Issue"/>
    <n v="4"/>
    <n v="4"/>
    <s v="Yes"/>
    <s v="Festival Sale"/>
    <n v="248388.53"/>
    <n v="0.88700000000000001"/>
    <n v="160"/>
    <s v="In Stock"/>
  </r>
  <r>
    <s v="AMZ26-00697"/>
    <d v="2026-03-28T00:00:00"/>
    <x v="0"/>
    <s v="Q1"/>
    <n v="2026"/>
    <s v="CUST-2012"/>
    <s v="Sneha Jain"/>
    <s v="Corporate"/>
    <s v="India"/>
    <s v="Maharashtra"/>
    <s v="Pune"/>
    <x v="3"/>
    <s v="Amazon Website"/>
    <s v="Desktop"/>
    <x v="4"/>
    <s v="Cookware"/>
    <s v="Pressure Cooker"/>
    <s v="Hawkins"/>
    <s v="HOM-COO-54734"/>
    <s v="FBA"/>
    <x v="5"/>
    <x v="0"/>
    <n v="3"/>
    <n v="4698.8900000000003"/>
    <n v="0.1"/>
    <n v="1409.67"/>
    <n v="14096.67"/>
    <n v="12687"/>
    <n v="109.82"/>
    <n v="7738.57"/>
    <n v="4838.6099999999997"/>
    <n v="0.38140000000000002"/>
    <n v="3"/>
    <s v="On Time"/>
    <s v="No"/>
    <m/>
    <n v="5"/>
    <n v="2"/>
    <s v="No"/>
    <s v="None"/>
    <n v="15300.59"/>
    <n v="0.82920000000000005"/>
    <n v="301"/>
    <s v="In Stock"/>
  </r>
  <r>
    <s v="AMZ26-00698"/>
    <d v="2026-12-06T00:00:00"/>
    <x v="11"/>
    <s v="Q4"/>
    <n v="2026"/>
    <s v="CUST-2143"/>
    <s v="Priya Singh"/>
    <s v="Consumer"/>
    <s v="India"/>
    <s v="Odisha"/>
    <s v="Bhubaneswar"/>
    <x v="2"/>
    <s v="Amazon App"/>
    <s v="Desktop"/>
    <x v="0"/>
    <s v="Footwear"/>
    <s v="Casual Sneakers"/>
    <s v="Puma"/>
    <s v="FAS-FOO-51407"/>
    <s v="FBM"/>
    <x v="5"/>
    <x v="0"/>
    <n v="5"/>
    <n v="3055.84"/>
    <n v="0.25"/>
    <n v="3819.8"/>
    <n v="15279.2"/>
    <n v="11459.4"/>
    <n v="204.29"/>
    <n v="5776.62"/>
    <n v="5478.49"/>
    <n v="0.47810000000000002"/>
    <n v="8"/>
    <s v="Delayed"/>
    <s v="No"/>
    <m/>
    <n v="5"/>
    <n v="0"/>
    <s v="No"/>
    <s v="Bank Offer"/>
    <n v="10881.02"/>
    <n v="1.0531999999999999"/>
    <n v="197"/>
    <s v="In Stock"/>
  </r>
  <r>
    <s v="AMZ26-00699"/>
    <d v="2026-01-04T00:00:00"/>
    <x v="10"/>
    <s v="Q1"/>
    <n v="2026"/>
    <s v="CUST-3282"/>
    <s v="Meera Iyer"/>
    <s v="Consumer"/>
    <s v="India"/>
    <s v="Bihar"/>
    <s v="Patna"/>
    <x v="2"/>
    <s v="Amazon App"/>
    <s v="Android"/>
    <x v="3"/>
    <s v="Beverages"/>
    <s v="Coffee"/>
    <s v="Nescafe"/>
    <s v="GRO-BEV-38311"/>
    <s v="FBM"/>
    <x v="3"/>
    <x v="1"/>
    <n v="2"/>
    <n v="153.54"/>
    <n v="0.05"/>
    <n v="15.35"/>
    <n v="307.08"/>
    <n v="291.73"/>
    <n v="125.01"/>
    <n v="153.85"/>
    <n v="12.87"/>
    <n v="4.41E-2"/>
    <n v="0"/>
    <s v="Not Applicable"/>
    <s v="No"/>
    <m/>
    <m/>
    <n v="0"/>
    <s v="No"/>
    <s v="Festival Sale"/>
    <n v="340.61"/>
    <n v="0.85650000000000004"/>
    <n v="94"/>
    <s v="In Stock"/>
  </r>
  <r>
    <s v="AMZ26-00700"/>
    <d v="2026-10-07T00:00:00"/>
    <x v="8"/>
    <s v="Q4"/>
    <n v="2026"/>
    <s v="CUST-2557"/>
    <s v="Sai Patel"/>
    <s v="Corporate"/>
    <s v="India"/>
    <s v="Punjab"/>
    <s v="Ludhiana"/>
    <x v="0"/>
    <s v="Amazon App"/>
    <s v="Android"/>
    <x v="2"/>
    <s v="Skin Care"/>
    <s v="Sunscreen"/>
    <s v="Neutrogena"/>
    <s v="BEA-SKI-64103"/>
    <s v="FBM"/>
    <x v="4"/>
    <x v="0"/>
    <n v="2"/>
    <n v="2307.48"/>
    <n v="0.25"/>
    <n v="1153.74"/>
    <n v="4614.96"/>
    <n v="3461.22"/>
    <n v="14.07"/>
    <n v="2133.59"/>
    <n v="1313.56"/>
    <n v="0.3795"/>
    <n v="1"/>
    <s v="On Time"/>
    <s v="Yes"/>
    <s v="Changed Mind"/>
    <n v="4"/>
    <n v="4"/>
    <s v="No"/>
    <s v="Lightning Deal"/>
    <n v="4302.42"/>
    <n v="0.80449999999999999"/>
    <n v="263"/>
    <s v="In Stock"/>
  </r>
  <r>
    <s v="AMZ26-00701"/>
    <d v="2026-01-08T00:00:00"/>
    <x v="10"/>
    <s v="Q1"/>
    <n v="2026"/>
    <s v="CUST-1575"/>
    <s v="Meera Sharma"/>
    <s v="Small Business"/>
    <s v="India"/>
    <s v="Kerala"/>
    <s v="Kochi"/>
    <x v="1"/>
    <s v="Amazon Website"/>
    <s v="iOS"/>
    <x v="3"/>
    <s v="Beverages"/>
    <s v="Green Tea"/>
    <s v="Tata Tea"/>
    <s v="GRO-BEV-55383"/>
    <s v="FBM"/>
    <x v="4"/>
    <x v="0"/>
    <n v="4"/>
    <n v="88.61"/>
    <n v="0.1"/>
    <n v="35.44"/>
    <n v="354.44"/>
    <n v="319"/>
    <n v="211.94"/>
    <n v="195.37"/>
    <n v="-88.31"/>
    <n v="-0.27679999999999999"/>
    <n v="5"/>
    <s v="Delayed"/>
    <s v="No"/>
    <m/>
    <n v="4"/>
    <n v="3"/>
    <s v="Yes"/>
    <s v="Bank Offer"/>
    <n v="367.8"/>
    <n v="0.86729999999999996"/>
    <n v="452"/>
    <s v="In Stock"/>
  </r>
  <r>
    <s v="AMZ26-00702"/>
    <d v="2026-04-21T00:00:00"/>
    <x v="9"/>
    <s v="Q2"/>
    <n v="2026"/>
    <s v="CUST-1029"/>
    <s v="Rohan Iyer"/>
    <s v="Corporate"/>
    <s v="India"/>
    <s v="Kerala"/>
    <s v="Kochi"/>
    <x v="1"/>
    <s v="Amazon Website"/>
    <s v="iOS"/>
    <x v="1"/>
    <s v="Laptops"/>
    <s v="Vivobook"/>
    <s v="ASUS"/>
    <s v="ELE-LAP-20971"/>
    <s v="FBM"/>
    <x v="4"/>
    <x v="0"/>
    <n v="3"/>
    <n v="11370.35"/>
    <n v="0.25"/>
    <n v="8527.76"/>
    <n v="34111.050000000003"/>
    <n v="25583.29"/>
    <n v="182.45"/>
    <n v="15516.27"/>
    <n v="9884.57"/>
    <n v="0.38640000000000002"/>
    <n v="6"/>
    <s v="Delayed"/>
    <s v="No"/>
    <m/>
    <n v="4"/>
    <n v="0"/>
    <s v="Yes"/>
    <s v="Festival Sale"/>
    <n v="25406.67"/>
    <n v="1.0069999999999999"/>
    <n v="263"/>
    <s v="In Stock"/>
  </r>
  <r>
    <s v="AMZ26-00703"/>
    <d v="2026-09-20T00:00:00"/>
    <x v="1"/>
    <s v="Q3"/>
    <n v="2026"/>
    <s v="CUST-1206"/>
    <s v="Sneha Singh"/>
    <s v="Consumer"/>
    <s v="India"/>
    <s v="Maharashtra"/>
    <s v="Mumbai"/>
    <x v="3"/>
    <s v="Amazon App"/>
    <s v="iOS"/>
    <x v="0"/>
    <s v="Men Clothing"/>
    <s v="Casual T-Shirt"/>
    <s v="Puma"/>
    <s v="FAS-MEN-65920"/>
    <s v="FBM"/>
    <x v="2"/>
    <x v="2"/>
    <n v="5"/>
    <n v="1062.43"/>
    <n v="0.25"/>
    <n v="1328.04"/>
    <n v="5312.15"/>
    <n v="3984.11"/>
    <n v="49.19"/>
    <n v="2252.31"/>
    <n v="1682.61"/>
    <n v="0.42230000000000001"/>
    <n v="4"/>
    <s v="In Transit"/>
    <s v="No"/>
    <m/>
    <m/>
    <n v="0"/>
    <s v="No"/>
    <s v="None"/>
    <n v="4930.1400000000003"/>
    <n v="0.80810000000000004"/>
    <n v="83"/>
    <s v="In Stock"/>
  </r>
  <r>
    <s v="AMZ26-00704"/>
    <d v="2026-12-19T00:00:00"/>
    <x v="11"/>
    <s v="Q4"/>
    <n v="2026"/>
    <s v="CUST-4604"/>
    <s v="Aarav Patel"/>
    <s v="Consumer"/>
    <s v="India"/>
    <s v="Bihar"/>
    <s v="Patna"/>
    <x v="2"/>
    <s v="Amazon Website"/>
    <s v="Desktop"/>
    <x v="3"/>
    <s v="Snacks"/>
    <s v="Cookies"/>
    <s v="Britannia"/>
    <s v="GRO-SNA-64752"/>
    <s v="FBA"/>
    <x v="2"/>
    <x v="2"/>
    <n v="5"/>
    <n v="265.93"/>
    <n v="0.25"/>
    <n v="332.41"/>
    <n v="1329.65"/>
    <n v="997.24"/>
    <n v="140.49"/>
    <n v="766.89"/>
    <n v="89.86"/>
    <n v="9.01E-2"/>
    <n v="3"/>
    <s v="In Transit"/>
    <s v="No"/>
    <m/>
    <m/>
    <n v="0"/>
    <s v="No"/>
    <s v="Festival Sale"/>
    <n v="975.93"/>
    <n v="1.0218"/>
    <n v="3"/>
    <s v="Low Stock"/>
  </r>
  <r>
    <s v="AMZ26-00705"/>
    <d v="2026-06-13T00:00:00"/>
    <x v="5"/>
    <s v="Q2"/>
    <n v="2026"/>
    <s v="CUST-4734"/>
    <s v="Vivek Kumar"/>
    <s v="Consumer"/>
    <s v="India"/>
    <s v="Tamil Nadu"/>
    <s v="Chennai"/>
    <x v="1"/>
    <s v="Amazon App"/>
    <s v="Android"/>
    <x v="1"/>
    <s v="Mobiles"/>
    <s v="Redmi Note"/>
    <s v="Xiaomi"/>
    <s v="ELE-MOB-82385"/>
    <s v="FBA"/>
    <x v="4"/>
    <x v="0"/>
    <n v="2"/>
    <n v="29618.7"/>
    <n v="0.1"/>
    <n v="5923.74"/>
    <n v="59237.4"/>
    <n v="53313.66"/>
    <n v="43.01"/>
    <n v="32218.3"/>
    <n v="21052.35"/>
    <n v="0.39489999999999997"/>
    <n v="7"/>
    <s v="Delayed"/>
    <s v="No"/>
    <m/>
    <n v="5"/>
    <n v="4"/>
    <s v="Yes"/>
    <s v="None"/>
    <n v="59454.97"/>
    <n v="0.89670000000000005"/>
    <n v="133"/>
    <s v="In Stock"/>
  </r>
  <r>
    <s v="AMZ26-00706"/>
    <d v="2026-04-21T00:00:00"/>
    <x v="9"/>
    <s v="Q2"/>
    <n v="2026"/>
    <s v="CUST-1465"/>
    <s v="Sai Iyer"/>
    <s v="Small Business"/>
    <s v="India"/>
    <s v="Rajasthan"/>
    <s v="Jaipur"/>
    <x v="3"/>
    <s v="Amazon App"/>
    <s v="Tablet"/>
    <x v="4"/>
    <s v="Kitchen Appliances"/>
    <s v="Electric Kettle"/>
    <s v="Pigeon"/>
    <s v="HOM-KIT-45701"/>
    <s v="FBA"/>
    <x v="1"/>
    <x v="0"/>
    <n v="1"/>
    <n v="2058.62"/>
    <n v="0.25"/>
    <n v="514.65"/>
    <n v="2058.62"/>
    <n v="1543.97"/>
    <n v="249.42"/>
    <n v="799.98"/>
    <n v="494.57"/>
    <n v="0.32029999999999997"/>
    <n v="3"/>
    <s v="On Time"/>
    <s v="Yes"/>
    <s v="Wrong Item"/>
    <n v="4"/>
    <n v="2"/>
    <s v="Yes"/>
    <s v="None"/>
    <n v="1865.27"/>
    <n v="0.82769999999999999"/>
    <n v="324"/>
    <s v="In Stock"/>
  </r>
  <r>
    <s v="AMZ26-00707"/>
    <d v="2026-06-29T00:00:00"/>
    <x v="5"/>
    <s v="Q2"/>
    <n v="2026"/>
    <s v="CUST-1847"/>
    <s v="Arjun Nair"/>
    <s v="Small Business"/>
    <s v="India"/>
    <s v="Karnataka"/>
    <s v="Bengaluru"/>
    <x v="1"/>
    <s v="Amazon Website"/>
    <s v="Tablet"/>
    <x v="0"/>
    <s v="Men Clothing"/>
    <s v="Cotton Shirt"/>
    <s v="Allen Solly"/>
    <s v="FAS-MEN-34790"/>
    <s v="FBA"/>
    <x v="3"/>
    <x v="0"/>
    <n v="1"/>
    <n v="4097.8900000000003"/>
    <n v="0.15"/>
    <n v="614.67999999999995"/>
    <n v="4097.8900000000003"/>
    <n v="3483.21"/>
    <n v="42.88"/>
    <n v="2054.19"/>
    <n v="1386.14"/>
    <n v="0.39789999999999998"/>
    <n v="5"/>
    <s v="Delayed"/>
    <s v="No"/>
    <m/>
    <n v="5"/>
    <n v="4"/>
    <s v="Yes"/>
    <s v="Amazon Coupon"/>
    <n v="3752.51"/>
    <n v="0.92820000000000003"/>
    <n v="51"/>
    <s v="In Stock"/>
  </r>
  <r>
    <s v="AMZ26-00708"/>
    <d v="2026-09-22T00:00:00"/>
    <x v="1"/>
    <s v="Q3"/>
    <n v="2026"/>
    <s v="CUST-3785"/>
    <s v="Aditya Rao"/>
    <s v="Consumer"/>
    <s v="India"/>
    <s v="Uttar Pradesh"/>
    <s v="Noida"/>
    <x v="0"/>
    <s v="Amazon App"/>
    <s v="Desktop"/>
    <x v="4"/>
    <s v="Cookware"/>
    <s v="Nonstick Pan"/>
    <s v="Prestige"/>
    <s v="HOM-COO-15114"/>
    <s v="FBA"/>
    <x v="3"/>
    <x v="2"/>
    <n v="3"/>
    <n v="255.12"/>
    <n v="0"/>
    <n v="0"/>
    <n v="765.36"/>
    <n v="765.36"/>
    <n v="3.02"/>
    <n v="418.36"/>
    <n v="343.98"/>
    <n v="0.44940000000000002"/>
    <n v="3"/>
    <s v="In Transit"/>
    <s v="No"/>
    <m/>
    <m/>
    <n v="0"/>
    <s v="No"/>
    <s v="Prime Deal"/>
    <n v="912.24"/>
    <n v="0.83899999999999997"/>
    <n v="213"/>
    <s v="In Stock"/>
  </r>
  <r>
    <s v="AMZ26-00709"/>
    <d v="2026-07-21T00:00:00"/>
    <x v="3"/>
    <s v="Q3"/>
    <n v="2026"/>
    <s v="CUST-1560"/>
    <s v="Aarav Das"/>
    <s v="Small Business"/>
    <s v="India"/>
    <s v="Punjab"/>
    <s v="Ludhiana"/>
    <x v="0"/>
    <s v="Amazon Website"/>
    <s v="iOS"/>
    <x v="1"/>
    <s v="Mobiles"/>
    <s v="Moto G"/>
    <s v="Motorola"/>
    <s v="ELE-MOB-18562"/>
    <s v="FBM"/>
    <x v="2"/>
    <x v="0"/>
    <n v="2"/>
    <n v="777.95"/>
    <n v="0"/>
    <n v="0"/>
    <n v="1555.9"/>
    <n v="1555.9"/>
    <n v="191.29"/>
    <n v="1004.5"/>
    <n v="360.11"/>
    <n v="0.23139999999999999"/>
    <n v="1"/>
    <s v="On Time"/>
    <s v="No"/>
    <m/>
    <n v="3"/>
    <n v="4"/>
    <s v="Yes"/>
    <s v="None"/>
    <n v="1799.56"/>
    <n v="0.86460000000000004"/>
    <n v="4"/>
    <s v="Low Stock"/>
  </r>
  <r>
    <s v="AMZ26-00710"/>
    <d v="2026-03-05T00:00:00"/>
    <x v="0"/>
    <s v="Q1"/>
    <n v="2026"/>
    <s v="CUST-2250"/>
    <s v="Arjun Sharma"/>
    <s v="Corporate"/>
    <s v="India"/>
    <s v="Kerala"/>
    <s v="Kochi"/>
    <x v="1"/>
    <s v="Amazon Website"/>
    <s v="Tablet"/>
    <x v="1"/>
    <s v="Accessories"/>
    <s v="Wireless Mouse"/>
    <s v="Logitech"/>
    <s v="ELE-ACC-16249"/>
    <s v="FBM"/>
    <x v="5"/>
    <x v="0"/>
    <n v="5"/>
    <n v="21547.62"/>
    <n v="0"/>
    <n v="0"/>
    <n v="107738.1"/>
    <n v="107738.1"/>
    <n v="218.42"/>
    <n v="79642.929999999993"/>
    <n v="27876.75"/>
    <n v="0.25869999999999999"/>
    <n v="8"/>
    <s v="Delayed"/>
    <s v="No"/>
    <m/>
    <n v="4"/>
    <n v="0"/>
    <s v="Yes"/>
    <s v="Prime Deal"/>
    <n v="116229.49"/>
    <n v="0.92689999999999995"/>
    <n v="446"/>
    <s v="In Stock"/>
  </r>
  <r>
    <s v="AMZ26-00711"/>
    <d v="2026-08-25T00:00:00"/>
    <x v="4"/>
    <s v="Q3"/>
    <n v="2026"/>
    <s v="CUST-2143"/>
    <s v="Meera Rao"/>
    <s v="Corporate"/>
    <s v="India"/>
    <s v="Maharashtra"/>
    <s v="Mumbai"/>
    <x v="3"/>
    <s v="Amazon Website"/>
    <s v="iOS"/>
    <x v="4"/>
    <s v="Cookware"/>
    <s v="Cookware Set"/>
    <s v="Pigeon"/>
    <s v="HOM-COO-84750"/>
    <s v="FBA"/>
    <x v="2"/>
    <x v="2"/>
    <n v="2"/>
    <n v="259.27"/>
    <n v="0.25"/>
    <n v="129.63"/>
    <n v="518.54"/>
    <n v="388.91"/>
    <n v="137.03"/>
    <n v="244.07"/>
    <n v="7.81"/>
    <n v="2.01E-2"/>
    <n v="8"/>
    <s v="In Transit"/>
    <s v="No"/>
    <m/>
    <m/>
    <n v="0"/>
    <s v="Yes"/>
    <s v="Bank Offer"/>
    <n v="354.08"/>
    <n v="1.0984"/>
    <n v="349"/>
    <s v="In Stock"/>
  </r>
  <r>
    <s v="AMZ26-00712"/>
    <d v="2026-10-15T00:00:00"/>
    <x v="8"/>
    <s v="Q4"/>
    <n v="2026"/>
    <s v="CUST-2671"/>
    <s v="Priya Das"/>
    <s v="Consumer"/>
    <s v="India"/>
    <s v="Maharashtra"/>
    <s v="Mumbai"/>
    <x v="3"/>
    <s v="Amazon App"/>
    <s v="Tablet"/>
    <x v="4"/>
    <s v="Cookware"/>
    <s v="Pressure Cooker"/>
    <s v="Hawkins"/>
    <s v="HOM-COO-29758"/>
    <s v="FBA"/>
    <x v="5"/>
    <x v="0"/>
    <n v="2"/>
    <n v="11136.13"/>
    <n v="0.3"/>
    <n v="6681.68"/>
    <n v="22272.26"/>
    <n v="15590.58"/>
    <n v="18.93"/>
    <n v="10132.120000000001"/>
    <n v="5439.53"/>
    <n v="0.34889999999999999"/>
    <n v="5"/>
    <s v="Delayed"/>
    <s v="No"/>
    <m/>
    <n v="3"/>
    <n v="1"/>
    <s v="Yes"/>
    <s v="Bank Offer"/>
    <n v="17294.25"/>
    <n v="0.90149999999999997"/>
    <n v="496"/>
    <s v="In Stock"/>
  </r>
  <r>
    <s v="AMZ26-00713"/>
    <d v="2026-04-24T00:00:00"/>
    <x v="9"/>
    <s v="Q2"/>
    <n v="2026"/>
    <s v="CUST-1306"/>
    <s v="Meera Iyer"/>
    <s v="Corporate"/>
    <s v="India"/>
    <s v="Delhi"/>
    <s v="New Delhi"/>
    <x v="0"/>
    <s v="Amazon Website"/>
    <s v="iOS"/>
    <x v="2"/>
    <s v="Skin Care"/>
    <s v="Face Serum"/>
    <s v="Minimalist"/>
    <s v="BEA-SKI-15361"/>
    <s v="FBA"/>
    <x v="2"/>
    <x v="2"/>
    <n v="2"/>
    <n v="1057.51"/>
    <n v="0.3"/>
    <n v="634.51"/>
    <n v="2115.02"/>
    <n v="1480.51"/>
    <n v="198.94"/>
    <n v="792.54"/>
    <n v="489.03"/>
    <n v="0.33029999999999998"/>
    <n v="8"/>
    <s v="In Transit"/>
    <s v="No"/>
    <m/>
    <m/>
    <n v="0"/>
    <s v="Yes"/>
    <s v="Festival Sale"/>
    <n v="1588.07"/>
    <n v="0.93230000000000002"/>
    <n v="45"/>
    <s v="In Stock"/>
  </r>
  <r>
    <s v="AMZ26-00714"/>
    <d v="2026-11-09T00:00:00"/>
    <x v="6"/>
    <s v="Q4"/>
    <n v="2026"/>
    <s v="CUST-3293"/>
    <s v="Aditi Das"/>
    <s v="Small Business"/>
    <s v="India"/>
    <s v="Gujarat"/>
    <s v="Ahmedabad"/>
    <x v="3"/>
    <s v="Amazon Website"/>
    <s v="Tablet"/>
    <x v="1"/>
    <s v="Accessories"/>
    <s v="Bluetooth Speaker"/>
    <s v="boAt"/>
    <s v="ELE-ACC-32190"/>
    <s v="FBM"/>
    <x v="2"/>
    <x v="0"/>
    <n v="5"/>
    <n v="43640.3"/>
    <n v="0"/>
    <n v="0"/>
    <n v="218201.5"/>
    <n v="218201.5"/>
    <n v="206.01"/>
    <n v="166113.98000000001"/>
    <n v="51881.51"/>
    <n v="0.23780000000000001"/>
    <n v="4"/>
    <s v="On Time"/>
    <s v="No"/>
    <m/>
    <n v="3"/>
    <n v="1"/>
    <s v="No"/>
    <s v="Amazon Coupon"/>
    <n v="242160.57"/>
    <n v="0.90110000000000001"/>
    <n v="36"/>
    <s v="Low Stock"/>
  </r>
  <r>
    <s v="AMZ26-00715"/>
    <d v="2026-04-17T00:00:00"/>
    <x v="9"/>
    <s v="Q2"/>
    <n v="2026"/>
    <s v="CUST-1700"/>
    <s v="Priya Kumar"/>
    <s v="Corporate"/>
    <s v="India"/>
    <s v="Delhi"/>
    <s v="New Delhi"/>
    <x v="0"/>
    <s v="Amazon App"/>
    <s v="Desktop"/>
    <x v="1"/>
    <s v="Mobiles"/>
    <s v="Redmi Note"/>
    <s v="Xiaomi"/>
    <s v="ELE-MOB-30022"/>
    <s v="FBM"/>
    <x v="5"/>
    <x v="0"/>
    <n v="5"/>
    <n v="18349.64"/>
    <n v="0.05"/>
    <n v="4587.41"/>
    <n v="91748.2"/>
    <n v="87160.79"/>
    <n v="145.13"/>
    <n v="61610.3"/>
    <n v="25405.360000000001"/>
    <n v="0.29149999999999998"/>
    <n v="2"/>
    <s v="On Time"/>
    <s v="No"/>
    <m/>
    <n v="4"/>
    <n v="3"/>
    <s v="Yes"/>
    <s v="Bank Offer"/>
    <n v="93380.64"/>
    <n v="0.93340000000000001"/>
    <n v="183"/>
    <s v="In Stock"/>
  </r>
  <r>
    <s v="AMZ26-00716"/>
    <d v="2026-04-09T00:00:00"/>
    <x v="9"/>
    <s v="Q2"/>
    <n v="2026"/>
    <s v="CUST-1303"/>
    <s v="Arjun Jain"/>
    <s v="Small Business"/>
    <s v="India"/>
    <s v="Punjab"/>
    <s v="Ludhiana"/>
    <x v="0"/>
    <s v="Amazon Website"/>
    <s v="iOS"/>
    <x v="4"/>
    <s v="Home Decor"/>
    <s v="LED Lamp"/>
    <s v="Wipro"/>
    <s v="HOM-HOM-83782"/>
    <s v="FBA"/>
    <x v="3"/>
    <x v="0"/>
    <n v="3"/>
    <n v="4168.3599999999997"/>
    <n v="0"/>
    <n v="0"/>
    <n v="12505.08"/>
    <n v="12505.08"/>
    <n v="161.81"/>
    <n v="8009.66"/>
    <n v="4333.6099999999997"/>
    <n v="0.34649999999999997"/>
    <n v="8"/>
    <s v="Delayed"/>
    <s v="No"/>
    <m/>
    <n v="4"/>
    <n v="0"/>
    <s v="Yes"/>
    <s v="None"/>
    <n v="14496.3"/>
    <n v="0.86260000000000003"/>
    <n v="472"/>
    <s v="In Stock"/>
  </r>
  <r>
    <s v="AMZ26-00717"/>
    <d v="2026-12-21T00:00:00"/>
    <x v="11"/>
    <s v="Q4"/>
    <n v="2026"/>
    <s v="CUST-2032"/>
    <s v="Isha Iyer"/>
    <s v="Consumer"/>
    <s v="India"/>
    <s v="Uttar Pradesh"/>
    <s v="Noida"/>
    <x v="0"/>
    <s v="Amazon Website"/>
    <s v="Desktop"/>
    <x v="2"/>
    <s v="Makeup"/>
    <s v="Lipstick"/>
    <s v="Maybelline"/>
    <s v="BEA-MAK-46546"/>
    <s v="FBA"/>
    <x v="0"/>
    <x v="0"/>
    <n v="2"/>
    <n v="2136.33"/>
    <n v="0.15"/>
    <n v="640.9"/>
    <n v="4272.66"/>
    <n v="3631.76"/>
    <n v="191.36"/>
    <n v="1919.2"/>
    <n v="1521.2"/>
    <n v="0.41889999999999999"/>
    <n v="7"/>
    <s v="Delayed"/>
    <s v="No"/>
    <m/>
    <n v="5"/>
    <n v="0"/>
    <s v="No"/>
    <s v="Prime Deal"/>
    <n v="3944.31"/>
    <n v="0.92079999999999995"/>
    <n v="27"/>
    <s v="Low Stock"/>
  </r>
  <r>
    <s v="AMZ26-00718"/>
    <d v="2026-03-19T00:00:00"/>
    <x v="0"/>
    <s v="Q1"/>
    <n v="2026"/>
    <s v="CUST-2686"/>
    <s v="Kavya Jain"/>
    <s v="Small Business"/>
    <s v="India"/>
    <s v="West Bengal"/>
    <s v="Kolkata"/>
    <x v="2"/>
    <s v="Amazon Website"/>
    <s v="Desktop"/>
    <x v="0"/>
    <s v="Footwear"/>
    <s v="Sandals"/>
    <s v="Bata"/>
    <s v="FAS-FOO-16772"/>
    <s v="FBM"/>
    <x v="5"/>
    <x v="0"/>
    <n v="5"/>
    <n v="3013.09"/>
    <n v="0"/>
    <n v="0"/>
    <n v="15065.45"/>
    <n v="15065.45"/>
    <n v="27.36"/>
    <n v="10962.06"/>
    <n v="4076.03"/>
    <n v="0.27060000000000001"/>
    <n v="5"/>
    <s v="Delayed"/>
    <s v="Yes"/>
    <s v="Changed Mind"/>
    <n v="5"/>
    <n v="0"/>
    <s v="Yes"/>
    <s v="Festival Sale"/>
    <n v="13046.04"/>
    <n v="1.1548"/>
    <n v="340"/>
    <s v="In Stock"/>
  </r>
  <r>
    <s v="AMZ26-00719"/>
    <d v="2026-08-21T00:00:00"/>
    <x v="4"/>
    <s v="Q3"/>
    <n v="2026"/>
    <s v="CUST-3648"/>
    <s v="Nandini Shetty"/>
    <s v="Consumer"/>
    <s v="India"/>
    <s v="Assam"/>
    <s v="Guwahati"/>
    <x v="2"/>
    <s v="Amazon App"/>
    <s v="Tablet"/>
    <x v="2"/>
    <s v="Hair Care"/>
    <s v="Hair Mask"/>
    <s v="Tresemme"/>
    <s v="BEA-HAI-43098"/>
    <s v="FBA"/>
    <x v="0"/>
    <x v="2"/>
    <n v="1"/>
    <n v="2001.35"/>
    <n v="0.25"/>
    <n v="500.34"/>
    <n v="2001.35"/>
    <n v="1501.01"/>
    <n v="215.93"/>
    <n v="804.79"/>
    <n v="480.29"/>
    <n v="0.32"/>
    <n v="6"/>
    <s v="In Transit"/>
    <s v="No"/>
    <m/>
    <m/>
    <n v="0"/>
    <s v="Yes"/>
    <s v="Bank Offer"/>
    <n v="1762.02"/>
    <n v="0.85189999999999999"/>
    <n v="479"/>
    <s v="In Stock"/>
  </r>
  <r>
    <s v="AMZ26-00720"/>
    <d v="2026-10-22T00:00:00"/>
    <x v="8"/>
    <s v="Q4"/>
    <n v="2026"/>
    <s v="CUST-4637"/>
    <s v="Rahul Jain"/>
    <s v="Small Business"/>
    <s v="India"/>
    <s v="Bihar"/>
    <s v="Patna"/>
    <x v="2"/>
    <s v="Amazon Website"/>
    <s v="Tablet"/>
    <x v="2"/>
    <s v="Makeup"/>
    <s v="Lipstick"/>
    <s v="Maybelline"/>
    <s v="BEA-MAK-36514"/>
    <s v="FBA"/>
    <x v="3"/>
    <x v="0"/>
    <n v="4"/>
    <n v="933.56"/>
    <n v="0.25"/>
    <n v="933.56"/>
    <n v="3734.24"/>
    <n v="2800.68"/>
    <n v="169.88"/>
    <n v="1930.41"/>
    <n v="700.39"/>
    <n v="0.25009999999999999"/>
    <n v="8"/>
    <s v="Delayed"/>
    <s v="No"/>
    <m/>
    <n v="5"/>
    <n v="4"/>
    <s v="Yes"/>
    <s v="Amazon Coupon"/>
    <n v="2496.5300000000002"/>
    <n v="1.1217999999999999"/>
    <n v="255"/>
    <s v="In Stock"/>
  </r>
  <r>
    <s v="AMZ26-00721"/>
    <d v="2026-05-13T00:00:00"/>
    <x v="2"/>
    <s v="Q2"/>
    <n v="2026"/>
    <s v="CUST-3102"/>
    <s v="Sneha Patel"/>
    <s v="Small Business"/>
    <s v="India"/>
    <s v="Delhi"/>
    <s v="New Delhi"/>
    <x v="0"/>
    <s v="Amazon App"/>
    <s v="Tablet"/>
    <x v="1"/>
    <s v="Mobiles"/>
    <s v="Galaxy A Series"/>
    <s v="Samsung"/>
    <s v="ELE-MOB-25280"/>
    <s v="FBA"/>
    <x v="4"/>
    <x v="0"/>
    <n v="4"/>
    <n v="10104.67"/>
    <n v="0"/>
    <n v="0"/>
    <n v="40418.68"/>
    <n v="40418.68"/>
    <n v="229.8"/>
    <n v="21189.48"/>
    <n v="18999.400000000001"/>
    <n v="0.47010000000000002"/>
    <n v="1"/>
    <s v="On Time"/>
    <s v="No"/>
    <m/>
    <n v="4"/>
    <n v="4"/>
    <s v="Yes"/>
    <s v="Prime Deal"/>
    <n v="49491.74"/>
    <n v="0.81669999999999998"/>
    <n v="220"/>
    <s v="In Stock"/>
  </r>
  <r>
    <s v="AMZ26-00722"/>
    <d v="2026-03-19T00:00:00"/>
    <x v="0"/>
    <s v="Q1"/>
    <n v="2026"/>
    <s v="CUST-3795"/>
    <s v="Rohan Yadav"/>
    <s v="Corporate"/>
    <s v="India"/>
    <s v="Uttar Pradesh"/>
    <s v="Noida"/>
    <x v="0"/>
    <s v="Amazon App"/>
    <s v="Tablet"/>
    <x v="3"/>
    <s v="Staples"/>
    <s v="Atta"/>
    <s v="Aashirvaad"/>
    <s v="GRO-STA-31807"/>
    <s v="FBA"/>
    <x v="0"/>
    <x v="0"/>
    <n v="5"/>
    <n v="676.34"/>
    <n v="0.15"/>
    <n v="507.25"/>
    <n v="3381.7"/>
    <n v="2874.45"/>
    <n v="165.77"/>
    <n v="1393.49"/>
    <n v="1315.19"/>
    <n v="0.45750000000000002"/>
    <n v="3"/>
    <s v="On Time"/>
    <s v="No"/>
    <m/>
    <n v="4"/>
    <n v="0"/>
    <s v="Yes"/>
    <s v="Amazon Coupon"/>
    <n v="2505.35"/>
    <n v="1.1473"/>
    <n v="377"/>
    <s v="In Stock"/>
  </r>
  <r>
    <s v="AMZ26-00723"/>
    <d v="2026-05-03T00:00:00"/>
    <x v="2"/>
    <s v="Q2"/>
    <n v="2026"/>
    <s v="CUST-4414"/>
    <s v="Rohan Shetty"/>
    <s v="Corporate"/>
    <s v="India"/>
    <s v="Bihar"/>
    <s v="Patna"/>
    <x v="2"/>
    <s v="Amazon Website"/>
    <s v="Tablet"/>
    <x v="4"/>
    <s v="Home Decor"/>
    <s v="LED Lamp"/>
    <s v="Wipro"/>
    <s v="HOM-HOM-15993"/>
    <s v="FBM"/>
    <x v="0"/>
    <x v="0"/>
    <n v="4"/>
    <n v="7080.92"/>
    <n v="0.2"/>
    <n v="5664.74"/>
    <n v="28323.68"/>
    <n v="22658.94"/>
    <n v="117.6"/>
    <n v="11632.6"/>
    <n v="10908.74"/>
    <n v="0.48139999999999999"/>
    <n v="4"/>
    <s v="On Time"/>
    <s v="No"/>
    <m/>
    <n v="4"/>
    <n v="2"/>
    <s v="Yes"/>
    <s v="Bank Offer"/>
    <n v="23709.08"/>
    <n v="0.95569999999999999"/>
    <n v="114"/>
    <s v="In Stock"/>
  </r>
  <r>
    <s v="AMZ26-00724"/>
    <d v="2026-02-24T00:00:00"/>
    <x v="7"/>
    <s v="Q1"/>
    <n v="2026"/>
    <s v="CUST-4732"/>
    <s v="Kiran Reddy"/>
    <s v="Small Business"/>
    <s v="India"/>
    <s v="Maharashtra"/>
    <s v="Mumbai"/>
    <x v="3"/>
    <s v="Amazon Website"/>
    <s v="Android"/>
    <x v="4"/>
    <s v="Kitchen Appliances"/>
    <s v="Mixer Grinder"/>
    <s v="Prestige"/>
    <s v="HOM-KIT-58396"/>
    <s v="FBM"/>
    <x v="3"/>
    <x v="2"/>
    <n v="2"/>
    <n v="4094.71"/>
    <n v="0.3"/>
    <n v="2456.83"/>
    <n v="8189.42"/>
    <n v="5732.59"/>
    <n v="9.0500000000000007"/>
    <n v="3186.41"/>
    <n v="2537.13"/>
    <n v="0.44259999999999999"/>
    <n v="2"/>
    <s v="In Transit"/>
    <s v="No"/>
    <m/>
    <m/>
    <n v="0"/>
    <s v="Yes"/>
    <s v="Bank Offer"/>
    <n v="5121.32"/>
    <n v="1.1194"/>
    <n v="166"/>
    <s v="In Stock"/>
  </r>
  <r>
    <s v="AMZ26-00725"/>
    <d v="2026-09-07T00:00:00"/>
    <x v="1"/>
    <s v="Q3"/>
    <n v="2026"/>
    <s v="CUST-4563"/>
    <s v="Vivek Jain"/>
    <s v="Small Business"/>
    <s v="India"/>
    <s v="West Bengal"/>
    <s v="Kolkata"/>
    <x v="2"/>
    <s v="Amazon App"/>
    <s v="Android"/>
    <x v="4"/>
    <s v="Home Decor"/>
    <s v="Wall Clock"/>
    <s v="Ajanta"/>
    <s v="HOM-HOM-92240"/>
    <s v="FBA"/>
    <x v="2"/>
    <x v="0"/>
    <n v="2"/>
    <n v="3927.92"/>
    <n v="0"/>
    <n v="0"/>
    <n v="7855.84"/>
    <n v="7855.84"/>
    <n v="193.31"/>
    <n v="4927.87"/>
    <n v="2734.66"/>
    <n v="0.34810000000000002"/>
    <n v="2"/>
    <s v="On Time"/>
    <s v="No"/>
    <m/>
    <n v="5"/>
    <n v="3"/>
    <s v="Yes"/>
    <s v="Bank Offer"/>
    <n v="8231.65"/>
    <n v="0.95430000000000004"/>
    <n v="407"/>
    <s v="In Stock"/>
  </r>
  <r>
    <s v="AMZ26-00726"/>
    <d v="2026-01-01T00:00:00"/>
    <x v="10"/>
    <s v="Q1"/>
    <n v="2026"/>
    <s v="CUST-3436"/>
    <s v="Vivek Iyer"/>
    <s v="Corporate"/>
    <s v="India"/>
    <s v="Tamil Nadu"/>
    <s v="Chennai"/>
    <x v="1"/>
    <s v="Amazon Website"/>
    <s v="Tablet"/>
    <x v="3"/>
    <s v="Beverages"/>
    <s v="Fruit Juice"/>
    <s v="Real"/>
    <s v="GRO-BEV-96473"/>
    <s v="FBA"/>
    <x v="2"/>
    <x v="0"/>
    <n v="5"/>
    <n v="1492.8"/>
    <n v="0.1"/>
    <n v="746.4"/>
    <n v="7464"/>
    <n v="6717.6"/>
    <n v="77.17"/>
    <n v="4505.59"/>
    <n v="2134.84"/>
    <n v="0.31780000000000003"/>
    <n v="2"/>
    <s v="On Time"/>
    <s v="No"/>
    <m/>
    <n v="5"/>
    <n v="4"/>
    <s v="Yes"/>
    <s v="None"/>
    <n v="8344.56"/>
    <n v="0.80500000000000005"/>
    <n v="177"/>
    <s v="In Stock"/>
  </r>
  <r>
    <s v="AMZ26-00727"/>
    <d v="2026-03-14T00:00:00"/>
    <x v="0"/>
    <s v="Q1"/>
    <n v="2026"/>
    <s v="CUST-2526"/>
    <s v="Nikhil Kumar"/>
    <s v="Small Business"/>
    <s v="India"/>
    <s v="Maharashtra"/>
    <s v="Mumbai"/>
    <x v="3"/>
    <s v="Amazon Website"/>
    <s v="Android"/>
    <x v="1"/>
    <s v="Laptops"/>
    <s v="IdeaPad"/>
    <s v="Lenovo"/>
    <s v="ELE-LAP-64410"/>
    <s v="FBM"/>
    <x v="3"/>
    <x v="0"/>
    <n v="2"/>
    <n v="38150.86"/>
    <n v="0.1"/>
    <n v="7630.17"/>
    <n v="76301.72"/>
    <n v="68671.55"/>
    <n v="147.94"/>
    <n v="52808.05"/>
    <n v="15715.56"/>
    <n v="0.22889999999999999"/>
    <n v="2"/>
    <s v="On Time"/>
    <s v="No"/>
    <m/>
    <n v="4"/>
    <n v="3"/>
    <s v="Yes"/>
    <s v="Amazon Coupon"/>
    <n v="59763.82"/>
    <n v="1.149"/>
    <n v="210"/>
    <s v="In Stock"/>
  </r>
  <r>
    <s v="AMZ26-00728"/>
    <d v="2026-12-28T00:00:00"/>
    <x v="11"/>
    <s v="Q4"/>
    <n v="2026"/>
    <s v="CUST-1747"/>
    <s v="Aarav Yadav"/>
    <s v="Small Business"/>
    <s v="India"/>
    <s v="Uttar Pradesh"/>
    <s v="Noida"/>
    <x v="0"/>
    <s v="Amazon App"/>
    <s v="iOS"/>
    <x v="1"/>
    <s v="Accessories"/>
    <s v="Bluetooth Speaker"/>
    <s v="boAt"/>
    <s v="ELE-ACC-60725"/>
    <s v="FBA"/>
    <x v="5"/>
    <x v="0"/>
    <n v="3"/>
    <n v="3845.67"/>
    <n v="0.05"/>
    <n v="576.85"/>
    <n v="11537.01"/>
    <n v="10960.16"/>
    <n v="52.86"/>
    <n v="8144.37"/>
    <n v="2762.93"/>
    <n v="0.25209999999999999"/>
    <n v="6"/>
    <s v="Delayed"/>
    <s v="No"/>
    <m/>
    <n v="4"/>
    <n v="4"/>
    <s v="Yes"/>
    <s v="Bank Offer"/>
    <n v="11757.42"/>
    <n v="0.93220000000000003"/>
    <n v="49"/>
    <s v="In Stock"/>
  </r>
  <r>
    <s v="AMZ26-00729"/>
    <d v="2026-06-14T00:00:00"/>
    <x v="5"/>
    <s v="Q2"/>
    <n v="2026"/>
    <s v="CUST-4145"/>
    <s v="Sneha Reddy"/>
    <s v="Consumer"/>
    <s v="India"/>
    <s v="Uttar Pradesh"/>
    <s v="Noida"/>
    <x v="0"/>
    <s v="Amazon Website"/>
    <s v="Android"/>
    <x v="0"/>
    <s v="Footwear"/>
    <s v="Casual Sneakers"/>
    <s v="Puma"/>
    <s v="FAS-FOO-48543"/>
    <s v="FBM"/>
    <x v="4"/>
    <x v="0"/>
    <n v="3"/>
    <n v="4546.34"/>
    <n v="0"/>
    <n v="0"/>
    <n v="13639.02"/>
    <n v="13639.02"/>
    <n v="36.07"/>
    <n v="9635.5499999999993"/>
    <n v="3967.4"/>
    <n v="0.29089999999999999"/>
    <n v="4"/>
    <s v="On Time"/>
    <s v="No"/>
    <m/>
    <n v="4"/>
    <n v="3"/>
    <s v="Yes"/>
    <s v="Bank Offer"/>
    <n v="12380.69"/>
    <n v="1.1015999999999999"/>
    <n v="182"/>
    <s v="In Stock"/>
  </r>
  <r>
    <s v="AMZ26-00730"/>
    <d v="2026-07-11T00:00:00"/>
    <x v="3"/>
    <s v="Q3"/>
    <n v="2026"/>
    <s v="CUST-1468"/>
    <s v="Rohan Patel"/>
    <s v="Small Business"/>
    <s v="India"/>
    <s v="Telangana"/>
    <s v="Hyderabad"/>
    <x v="1"/>
    <s v="Amazon Website"/>
    <s v="Android"/>
    <x v="0"/>
    <s v="Men Clothing"/>
    <s v="Cotton Shirt"/>
    <s v="Allen Solly"/>
    <s v="FAS-MEN-81437"/>
    <s v="FBM"/>
    <x v="3"/>
    <x v="2"/>
    <n v="5"/>
    <n v="4520.91"/>
    <n v="0.3"/>
    <n v="6781.36"/>
    <n v="22604.55"/>
    <n v="15823.19"/>
    <n v="195.48"/>
    <n v="7912.6"/>
    <n v="7715.11"/>
    <n v="0.48759999999999998"/>
    <n v="7"/>
    <s v="In Transit"/>
    <s v="No"/>
    <m/>
    <m/>
    <n v="0"/>
    <s v="No"/>
    <s v="Festival Sale"/>
    <n v="18390.7"/>
    <n v="0.86040000000000005"/>
    <n v="139"/>
    <s v="In Stock"/>
  </r>
  <r>
    <s v="AMZ26-00731"/>
    <d v="2026-08-25T00:00:00"/>
    <x v="4"/>
    <s v="Q3"/>
    <n v="2026"/>
    <s v="CUST-1321"/>
    <s v="Kavya Nair"/>
    <s v="Consumer"/>
    <s v="India"/>
    <s v="Karnataka"/>
    <s v="Mysuru"/>
    <x v="1"/>
    <s v="Amazon Website"/>
    <s v="Android"/>
    <x v="3"/>
    <s v="Snacks"/>
    <s v="Cookies"/>
    <s v="Britannia"/>
    <s v="GRO-SNA-77348"/>
    <s v="FBM"/>
    <x v="1"/>
    <x v="0"/>
    <n v="3"/>
    <n v="1641.88"/>
    <n v="0"/>
    <n v="0"/>
    <n v="4925.6400000000003"/>
    <n v="4925.6400000000003"/>
    <n v="245.75"/>
    <n v="3134.25"/>
    <n v="1545.64"/>
    <n v="0.31380000000000002"/>
    <n v="2"/>
    <s v="On Time"/>
    <s v="No"/>
    <m/>
    <n v="3"/>
    <n v="0"/>
    <s v="Yes"/>
    <s v="None"/>
    <n v="6004.11"/>
    <n v="0.82040000000000002"/>
    <n v="11"/>
    <s v="Low Stock"/>
  </r>
  <r>
    <s v="AMZ26-00732"/>
    <d v="2026-01-04T00:00:00"/>
    <x v="10"/>
    <s v="Q1"/>
    <n v="2026"/>
    <s v="CUST-2390"/>
    <s v="Aditya Gupta"/>
    <s v="Corporate"/>
    <s v="India"/>
    <s v="Delhi"/>
    <s v="New Delhi"/>
    <x v="0"/>
    <s v="Amazon App"/>
    <s v="Android"/>
    <x v="1"/>
    <s v="Accessories"/>
    <s v="Keyboard"/>
    <s v="HP"/>
    <s v="ELE-ACC-35314"/>
    <s v="FBM"/>
    <x v="5"/>
    <x v="2"/>
    <n v="3"/>
    <n v="6834.14"/>
    <n v="0.05"/>
    <n v="1025.1199999999999"/>
    <n v="20502.419999999998"/>
    <n v="19477.3"/>
    <n v="30.88"/>
    <n v="12278.94"/>
    <n v="7167.48"/>
    <n v="0.36799999999999999"/>
    <n v="4"/>
    <s v="In Transit"/>
    <s v="No"/>
    <m/>
    <m/>
    <n v="0"/>
    <s v="Yes"/>
    <s v="Festival Sale"/>
    <n v="21462.39"/>
    <n v="0.90749999999999997"/>
    <n v="428"/>
    <s v="In Stock"/>
  </r>
  <r>
    <s v="AMZ26-00733"/>
    <d v="2026-09-06T00:00:00"/>
    <x v="1"/>
    <s v="Q3"/>
    <n v="2026"/>
    <s v="CUST-3737"/>
    <s v="Arjun Joshi"/>
    <s v="Consumer"/>
    <s v="India"/>
    <s v="Maharashtra"/>
    <s v="Mumbai"/>
    <x v="3"/>
    <s v="Amazon App"/>
    <s v="Android"/>
    <x v="1"/>
    <s v="Mobiles"/>
    <s v="Moto G"/>
    <s v="Motorola"/>
    <s v="ELE-MOB-62481"/>
    <s v="FBA"/>
    <x v="5"/>
    <x v="1"/>
    <n v="2"/>
    <n v="42179.08"/>
    <n v="0.05"/>
    <n v="4217.91"/>
    <n v="84358.16"/>
    <n v="80140.25"/>
    <n v="166.22"/>
    <n v="50740.36"/>
    <n v="29233.67"/>
    <n v="0.36480000000000001"/>
    <n v="0"/>
    <s v="Not Applicable"/>
    <s v="No"/>
    <m/>
    <m/>
    <n v="0"/>
    <s v="Yes"/>
    <s v="Festival Sale"/>
    <n v="71914.69"/>
    <n v="1.1144000000000001"/>
    <n v="295"/>
    <s v="In Stock"/>
  </r>
  <r>
    <s v="AMZ26-00734"/>
    <d v="2026-07-12T00:00:00"/>
    <x v="3"/>
    <s v="Q3"/>
    <n v="2026"/>
    <s v="CUST-3180"/>
    <s v="Nandini Joshi"/>
    <s v="Consumer"/>
    <s v="India"/>
    <s v="Haryana"/>
    <s v="Gurugram"/>
    <x v="0"/>
    <s v="Amazon Website"/>
    <s v="iOS"/>
    <x v="0"/>
    <s v="Footwear"/>
    <s v="Casual Sneakers"/>
    <s v="Puma"/>
    <s v="FAS-FOO-68182"/>
    <s v="FBM"/>
    <x v="2"/>
    <x v="0"/>
    <n v="3"/>
    <n v="1063.8499999999999"/>
    <n v="0"/>
    <n v="0"/>
    <n v="3191.55"/>
    <n v="3191.55"/>
    <n v="242.49"/>
    <n v="1900.55"/>
    <n v="1048.51"/>
    <n v="0.32850000000000001"/>
    <n v="1"/>
    <s v="On Time"/>
    <s v="No"/>
    <m/>
    <n v="5"/>
    <n v="4"/>
    <s v="No"/>
    <s v="Festival Sale"/>
    <n v="3812.66"/>
    <n v="0.83709999999999996"/>
    <n v="407"/>
    <s v="In Stock"/>
  </r>
  <r>
    <s v="AMZ26-00735"/>
    <d v="2026-03-19T00:00:00"/>
    <x v="0"/>
    <s v="Q1"/>
    <n v="2026"/>
    <s v="CUST-4093"/>
    <s v="Isha Rao"/>
    <s v="Consumer"/>
    <s v="India"/>
    <s v="Bihar"/>
    <s v="Patna"/>
    <x v="2"/>
    <s v="Amazon App"/>
    <s v="Android"/>
    <x v="2"/>
    <s v="Hair Care"/>
    <s v="Hair Mask"/>
    <s v="Tresemme"/>
    <s v="BEA-HAI-79006"/>
    <s v="FBM"/>
    <x v="0"/>
    <x v="0"/>
    <n v="5"/>
    <n v="1451.62"/>
    <n v="0.1"/>
    <n v="725.81"/>
    <n v="7258.1"/>
    <n v="6532.29"/>
    <n v="23.88"/>
    <n v="5040.34"/>
    <n v="1468.07"/>
    <n v="0.22470000000000001"/>
    <n v="6"/>
    <s v="Delayed"/>
    <s v="No"/>
    <m/>
    <n v="5"/>
    <n v="4"/>
    <s v="Yes"/>
    <s v="Amazon Coupon"/>
    <n v="8046.42"/>
    <n v="0.81179999999999997"/>
    <n v="225"/>
    <s v="In Stock"/>
  </r>
  <r>
    <s v="AMZ26-00736"/>
    <d v="2026-03-07T00:00:00"/>
    <x v="0"/>
    <s v="Q1"/>
    <n v="2026"/>
    <s v="CUST-3474"/>
    <s v="Vihaan Iyer"/>
    <s v="Consumer"/>
    <s v="India"/>
    <s v="Karnataka"/>
    <s v="Mysuru"/>
    <x v="1"/>
    <s v="Amazon Website"/>
    <s v="iOS"/>
    <x v="2"/>
    <s v="Skin Care"/>
    <s v="Face Serum"/>
    <s v="Minimalist"/>
    <s v="BEA-SKI-73754"/>
    <s v="FBM"/>
    <x v="1"/>
    <x v="1"/>
    <n v="2"/>
    <n v="323.66000000000003"/>
    <n v="0.25"/>
    <n v="161.83000000000001"/>
    <n v="647.32000000000005"/>
    <n v="485.49"/>
    <n v="150.91999999999999"/>
    <n v="261.64999999999998"/>
    <n v="72.92"/>
    <n v="0.1502"/>
    <n v="0"/>
    <s v="Not Applicable"/>
    <s v="No"/>
    <m/>
    <m/>
    <n v="0"/>
    <s v="Yes"/>
    <s v="Lightning Deal"/>
    <n v="423.93"/>
    <n v="1.1452"/>
    <n v="445"/>
    <s v="In Stock"/>
  </r>
  <r>
    <s v="AMZ26-00737"/>
    <d v="2026-03-10T00:00:00"/>
    <x v="0"/>
    <s v="Q1"/>
    <n v="2026"/>
    <s v="CUST-4109"/>
    <s v="Vihaan Iyer"/>
    <s v="Consumer"/>
    <s v="India"/>
    <s v="Karnataka"/>
    <s v="Mysuru"/>
    <x v="1"/>
    <s v="Amazon App"/>
    <s v="Tablet"/>
    <x v="1"/>
    <s v="Accessories"/>
    <s v="Bluetooth Speaker"/>
    <s v="boAt"/>
    <s v="ELE-ACC-61718"/>
    <s v="FBM"/>
    <x v="2"/>
    <x v="0"/>
    <n v="4"/>
    <n v="14485.67"/>
    <n v="0.05"/>
    <n v="2897.13"/>
    <n v="57942.68"/>
    <n v="55045.55"/>
    <n v="195.42"/>
    <n v="35185.519999999997"/>
    <n v="19664.61"/>
    <n v="0.35720000000000002"/>
    <n v="6"/>
    <s v="Delayed"/>
    <s v="No"/>
    <m/>
    <n v="4"/>
    <n v="0"/>
    <s v="Yes"/>
    <s v="None"/>
    <n v="58124.35"/>
    <n v="0.94699999999999995"/>
    <n v="314"/>
    <s v="In Stock"/>
  </r>
  <r>
    <s v="AMZ26-00738"/>
    <d v="2026-10-14T00:00:00"/>
    <x v="8"/>
    <s v="Q4"/>
    <n v="2026"/>
    <s v="CUST-2437"/>
    <s v="Aarav Nair"/>
    <s v="Consumer"/>
    <s v="India"/>
    <s v="Delhi"/>
    <s v="New Delhi"/>
    <x v="0"/>
    <s v="Amazon App"/>
    <s v="iOS"/>
    <x v="3"/>
    <s v="Snacks"/>
    <s v="Mixed Nuts"/>
    <s v="Happilo"/>
    <s v="GRO-SNA-10328"/>
    <s v="FBA"/>
    <x v="5"/>
    <x v="0"/>
    <n v="4"/>
    <n v="309.82"/>
    <n v="0.05"/>
    <n v="61.96"/>
    <n v="1239.28"/>
    <n v="1177.32"/>
    <n v="242.58"/>
    <n v="648.25"/>
    <n v="286.49"/>
    <n v="0.24329999999999999"/>
    <n v="2"/>
    <s v="On Time"/>
    <s v="No"/>
    <m/>
    <n v="5"/>
    <n v="1"/>
    <s v="Yes"/>
    <s v="Amazon Coupon"/>
    <n v="1307.68"/>
    <n v="0.90029999999999999"/>
    <n v="125"/>
    <s v="In Stock"/>
  </r>
  <r>
    <s v="AMZ26-00739"/>
    <d v="2026-02-11T00:00:00"/>
    <x v="7"/>
    <s v="Q1"/>
    <n v="2026"/>
    <s v="CUST-2369"/>
    <s v="Kavya Patel"/>
    <s v="Consumer"/>
    <s v="India"/>
    <s v="Punjab"/>
    <s v="Ludhiana"/>
    <x v="0"/>
    <s v="Amazon Website"/>
    <s v="Tablet"/>
    <x v="2"/>
    <s v="Makeup"/>
    <s v="Kajal"/>
    <s v="Lakme"/>
    <s v="BEA-MAK-76382"/>
    <s v="FBM"/>
    <x v="2"/>
    <x v="1"/>
    <n v="4"/>
    <n v="237.56"/>
    <n v="0"/>
    <n v="0"/>
    <n v="950.24"/>
    <n v="950.24"/>
    <n v="37.340000000000003"/>
    <n v="675.92"/>
    <n v="236.98"/>
    <n v="0.24940000000000001"/>
    <n v="0"/>
    <s v="Not Applicable"/>
    <s v="No"/>
    <m/>
    <m/>
    <n v="0"/>
    <s v="No"/>
    <s v="Amazon Coupon"/>
    <n v="1103.6199999999999"/>
    <n v="0.86099999999999999"/>
    <n v="440"/>
    <s v="In Stock"/>
  </r>
  <r>
    <s v="AMZ26-00740"/>
    <d v="2026-12-06T00:00:00"/>
    <x v="11"/>
    <s v="Q4"/>
    <n v="2026"/>
    <s v="CUST-3035"/>
    <s v="Ananya Jain"/>
    <s v="Consumer"/>
    <s v="India"/>
    <s v="West Bengal"/>
    <s v="Kolkata"/>
    <x v="2"/>
    <s v="Amazon Website"/>
    <s v="Tablet"/>
    <x v="2"/>
    <s v="Skin Care"/>
    <s v="Sunscreen"/>
    <s v="Neutrogena"/>
    <s v="BEA-SKI-60819"/>
    <s v="FBM"/>
    <x v="3"/>
    <x v="2"/>
    <n v="2"/>
    <n v="1090.07"/>
    <n v="0.3"/>
    <n v="654.04"/>
    <n v="2180.14"/>
    <n v="1526.1"/>
    <n v="52.96"/>
    <n v="794.86"/>
    <n v="678.28"/>
    <n v="0.44450000000000001"/>
    <n v="8"/>
    <s v="In Transit"/>
    <s v="No"/>
    <m/>
    <m/>
    <n v="0"/>
    <s v="Yes"/>
    <s v="Festival Sale"/>
    <n v="1885.21"/>
    <n v="0.8095"/>
    <n v="55"/>
    <s v="In Stock"/>
  </r>
  <r>
    <s v="AMZ26-00741"/>
    <d v="2026-01-28T00:00:00"/>
    <x v="10"/>
    <s v="Q1"/>
    <n v="2026"/>
    <s v="CUST-2574"/>
    <s v="Aditya Yadav"/>
    <s v="Consumer"/>
    <s v="India"/>
    <s v="Haryana"/>
    <s v="Gurugram"/>
    <x v="0"/>
    <s v="Amazon Website"/>
    <s v="iOS"/>
    <x v="0"/>
    <s v="Men Clothing"/>
    <s v="Slim Jeans"/>
    <s v="Levi's"/>
    <s v="FAS-MEN-49639"/>
    <s v="FBA"/>
    <x v="0"/>
    <x v="0"/>
    <n v="2"/>
    <n v="368.56"/>
    <n v="0.2"/>
    <n v="147.41999999999999"/>
    <n v="737.12"/>
    <n v="589.70000000000005"/>
    <n v="235.12"/>
    <n v="315.56"/>
    <n v="39.020000000000003"/>
    <n v="6.6199999999999995E-2"/>
    <n v="6"/>
    <s v="Delayed"/>
    <s v="No"/>
    <m/>
    <n v="3"/>
    <n v="0"/>
    <s v="Yes"/>
    <s v="Bank Offer"/>
    <n v="697.7"/>
    <n v="0.84519999999999995"/>
    <n v="24"/>
    <s v="Low Stock"/>
  </r>
  <r>
    <s v="AMZ26-00742"/>
    <d v="2026-04-01T00:00:00"/>
    <x v="9"/>
    <s v="Q2"/>
    <n v="2026"/>
    <s v="CUST-3411"/>
    <s v="Priya Reddy"/>
    <s v="Corporate"/>
    <s v="India"/>
    <s v="Kerala"/>
    <s v="Kochi"/>
    <x v="1"/>
    <s v="Amazon Website"/>
    <s v="iOS"/>
    <x v="0"/>
    <s v="Footwear"/>
    <s v="Sandals"/>
    <s v="Bata"/>
    <s v="FAS-FOO-81266"/>
    <s v="FBA"/>
    <x v="4"/>
    <x v="1"/>
    <n v="5"/>
    <n v="4089.77"/>
    <n v="0.2"/>
    <n v="4089.77"/>
    <n v="20448.849999999999"/>
    <n v="16359.08"/>
    <n v="51.8"/>
    <n v="9654.5300000000007"/>
    <n v="6652.75"/>
    <n v="0.40670000000000001"/>
    <n v="0"/>
    <s v="Not Applicable"/>
    <s v="No"/>
    <m/>
    <m/>
    <n v="0"/>
    <s v="No"/>
    <s v="Lightning Deal"/>
    <n v="15233.17"/>
    <n v="1.0739000000000001"/>
    <n v="74"/>
    <s v="In Stock"/>
  </r>
  <r>
    <s v="AMZ26-00743"/>
    <d v="2026-06-16T00:00:00"/>
    <x v="5"/>
    <s v="Q2"/>
    <n v="2026"/>
    <s v="CUST-3816"/>
    <s v="Ananya Yadav"/>
    <s v="Corporate"/>
    <s v="India"/>
    <s v="Odisha"/>
    <s v="Bhubaneswar"/>
    <x v="2"/>
    <s v="Amazon Website"/>
    <s v="Tablet"/>
    <x v="1"/>
    <s v="Accessories"/>
    <s v="Keyboard"/>
    <s v="HP"/>
    <s v="ELE-ACC-66777"/>
    <s v="FBM"/>
    <x v="3"/>
    <x v="1"/>
    <n v="4"/>
    <n v="36486.980000000003"/>
    <n v="0.2"/>
    <n v="29189.58"/>
    <n v="145947.92000000001"/>
    <n v="116758.34"/>
    <n v="33.51"/>
    <n v="83434.59"/>
    <n v="33290.239999999998"/>
    <n v="0.28510000000000002"/>
    <n v="0"/>
    <s v="Not Applicable"/>
    <s v="No"/>
    <m/>
    <m/>
    <n v="0"/>
    <s v="Yes"/>
    <s v="Prime Deal"/>
    <n v="123927.71"/>
    <n v="0.94210000000000005"/>
    <n v="157"/>
    <s v="In Stock"/>
  </r>
  <r>
    <s v="AMZ26-00744"/>
    <d v="2026-08-06T00:00:00"/>
    <x v="4"/>
    <s v="Q3"/>
    <n v="2026"/>
    <s v="CUST-4047"/>
    <s v="Arjun Iyer"/>
    <s v="Consumer"/>
    <s v="India"/>
    <s v="Uttar Pradesh"/>
    <s v="Noida"/>
    <x v="0"/>
    <s v="Amazon Website"/>
    <s v="Desktop"/>
    <x v="0"/>
    <s v="Footwear"/>
    <s v="Casual Sneakers"/>
    <s v="Puma"/>
    <s v="FAS-FOO-12246"/>
    <s v="FBA"/>
    <x v="3"/>
    <x v="0"/>
    <n v="3"/>
    <n v="391.26"/>
    <n v="0.2"/>
    <n v="234.76"/>
    <n v="1173.78"/>
    <n v="939.02"/>
    <n v="184.38"/>
    <n v="550.14"/>
    <n v="204.5"/>
    <n v="0.21779999999999999"/>
    <n v="5"/>
    <s v="Delayed"/>
    <s v="No"/>
    <m/>
    <n v="4"/>
    <n v="4"/>
    <s v="No"/>
    <s v="Lightning Deal"/>
    <n v="1090.53"/>
    <n v="0.86109999999999998"/>
    <n v="196"/>
    <s v="In Stock"/>
  </r>
  <r>
    <s v="AMZ26-00745"/>
    <d v="2026-09-14T00:00:00"/>
    <x v="1"/>
    <s v="Q3"/>
    <n v="2026"/>
    <s v="CUST-1359"/>
    <s v="Priya Das"/>
    <s v="Corporate"/>
    <s v="India"/>
    <s v="Punjab"/>
    <s v="Ludhiana"/>
    <x v="0"/>
    <s v="Amazon App"/>
    <s v="Desktop"/>
    <x v="1"/>
    <s v="Mobiles"/>
    <s v="Moto G"/>
    <s v="Motorola"/>
    <s v="ELE-MOB-67190"/>
    <s v="FBM"/>
    <x v="5"/>
    <x v="2"/>
    <n v="4"/>
    <n v="17528.439999999999"/>
    <n v="0.05"/>
    <n v="3505.69"/>
    <n v="70113.759999999995"/>
    <n v="66608.070000000007"/>
    <n v="200.37"/>
    <n v="37473.74"/>
    <n v="28933.96"/>
    <n v="0.43440000000000001"/>
    <n v="4"/>
    <s v="In Transit"/>
    <s v="No"/>
    <m/>
    <m/>
    <n v="0"/>
    <s v="No"/>
    <s v="Lightning Deal"/>
    <n v="78823.66"/>
    <n v="0.84499999999999997"/>
    <n v="112"/>
    <s v="In Stock"/>
  </r>
  <r>
    <s v="AMZ26-00746"/>
    <d v="2026-01-16T00:00:00"/>
    <x v="10"/>
    <s v="Q1"/>
    <n v="2026"/>
    <s v="CUST-1966"/>
    <s v="Kavya Rao"/>
    <s v="Small Business"/>
    <s v="India"/>
    <s v="Bihar"/>
    <s v="Patna"/>
    <x v="2"/>
    <s v="Amazon Website"/>
    <s v="Desktop"/>
    <x v="2"/>
    <s v="Skin Care"/>
    <s v="Moisturizer"/>
    <s v="Cetaphil"/>
    <s v="BEA-SKI-58268"/>
    <s v="FBM"/>
    <x v="3"/>
    <x v="2"/>
    <n v="1"/>
    <n v="1887.94"/>
    <n v="0.05"/>
    <n v="94.4"/>
    <n v="1887.94"/>
    <n v="1793.54"/>
    <n v="145.6"/>
    <n v="1351.17"/>
    <n v="296.77"/>
    <n v="0.16550000000000001"/>
    <n v="6"/>
    <s v="In Transit"/>
    <s v="No"/>
    <m/>
    <m/>
    <n v="0"/>
    <s v="No"/>
    <s v="Festival Sale"/>
    <n v="1604.72"/>
    <n v="1.1176999999999999"/>
    <n v="92"/>
    <s v="In Stock"/>
  </r>
  <r>
    <s v="AMZ26-00747"/>
    <d v="2026-12-13T00:00:00"/>
    <x v="11"/>
    <s v="Q4"/>
    <n v="2026"/>
    <s v="CUST-3871"/>
    <s v="Kiran Joshi"/>
    <s v="Consumer"/>
    <s v="India"/>
    <s v="Odisha"/>
    <s v="Bhubaneswar"/>
    <x v="2"/>
    <s v="Amazon App"/>
    <s v="iOS"/>
    <x v="0"/>
    <s v="Men Clothing"/>
    <s v="Slim Jeans"/>
    <s v="Levi's"/>
    <s v="FAS-MEN-72439"/>
    <s v="FBA"/>
    <x v="2"/>
    <x v="0"/>
    <n v="1"/>
    <n v="986.94"/>
    <n v="0.05"/>
    <n v="49.35"/>
    <n v="986.94"/>
    <n v="937.59"/>
    <n v="39.93"/>
    <n v="643.64"/>
    <n v="254.02"/>
    <n v="0.27089999999999997"/>
    <n v="8"/>
    <s v="Delayed"/>
    <s v="No"/>
    <m/>
    <n v="3"/>
    <n v="0"/>
    <s v="Yes"/>
    <s v="Festival Sale"/>
    <n v="801.68"/>
    <n v="1.1695"/>
    <n v="249"/>
    <s v="In Stock"/>
  </r>
  <r>
    <s v="AMZ26-00748"/>
    <d v="2026-09-07T00:00:00"/>
    <x v="1"/>
    <s v="Q3"/>
    <n v="2026"/>
    <s v="CUST-3725"/>
    <s v="Aditya Kumar"/>
    <s v="Small Business"/>
    <s v="India"/>
    <s v="Delhi"/>
    <s v="New Delhi"/>
    <x v="0"/>
    <s v="Amazon App"/>
    <s v="Android"/>
    <x v="4"/>
    <s v="Kitchen Appliances"/>
    <s v="Air Fryer"/>
    <s v="Philips"/>
    <s v="HOM-KIT-10348"/>
    <s v="FBA"/>
    <x v="4"/>
    <x v="2"/>
    <n v="1"/>
    <n v="5388.43"/>
    <n v="0.3"/>
    <n v="1616.53"/>
    <n v="5388.43"/>
    <n v="3771.9"/>
    <n v="177.32"/>
    <n v="2610.2199999999998"/>
    <n v="984.36"/>
    <n v="0.26100000000000001"/>
    <n v="8"/>
    <s v="In Transit"/>
    <s v="No"/>
    <m/>
    <m/>
    <n v="0"/>
    <s v="No"/>
    <s v="Festival Sale"/>
    <n v="4673.78"/>
    <n v="0.80700000000000005"/>
    <n v="382"/>
    <s v="In Stock"/>
  </r>
  <r>
    <s v="AMZ26-00749"/>
    <d v="2026-07-09T00:00:00"/>
    <x v="3"/>
    <s v="Q3"/>
    <n v="2026"/>
    <s v="CUST-2480"/>
    <s v="Aditi Das"/>
    <s v="Corporate"/>
    <s v="India"/>
    <s v="Tamil Nadu"/>
    <s v="Chennai"/>
    <x v="1"/>
    <s v="Amazon Website"/>
    <s v="Desktop"/>
    <x v="4"/>
    <s v="Cookware"/>
    <s v="Nonstick Pan"/>
    <s v="Prestige"/>
    <s v="HOM-COO-77797"/>
    <s v="FBA"/>
    <x v="0"/>
    <x v="2"/>
    <n v="2"/>
    <n v="5638.04"/>
    <n v="0.1"/>
    <n v="1127.6099999999999"/>
    <n v="11276.08"/>
    <n v="10148.469999999999"/>
    <n v="147.78"/>
    <n v="6332"/>
    <n v="3668.69"/>
    <n v="0.36149999999999999"/>
    <n v="2"/>
    <s v="In Transit"/>
    <s v="No"/>
    <m/>
    <m/>
    <n v="0"/>
    <s v="Yes"/>
    <s v="Festival Sale"/>
    <n v="10593.17"/>
    <n v="0.95799999999999996"/>
    <n v="164"/>
    <s v="In Stock"/>
  </r>
  <r>
    <s v="AMZ26-00750"/>
    <d v="2026-05-21T00:00:00"/>
    <x v="2"/>
    <s v="Q2"/>
    <n v="2026"/>
    <s v="CUST-4062"/>
    <s v="Meera Nair"/>
    <s v="Small Business"/>
    <s v="India"/>
    <s v="West Bengal"/>
    <s v="Kolkata"/>
    <x v="2"/>
    <s v="Amazon Website"/>
    <s v="iOS"/>
    <x v="4"/>
    <s v="Home Decor"/>
    <s v="LED Lamp"/>
    <s v="Wipro"/>
    <s v="HOM-HOM-89832"/>
    <s v="FBA"/>
    <x v="3"/>
    <x v="0"/>
    <n v="2"/>
    <n v="5800.78"/>
    <n v="0"/>
    <n v="0"/>
    <n v="11601.56"/>
    <n v="11601.56"/>
    <n v="220.1"/>
    <n v="7130.61"/>
    <n v="4250.8500000000004"/>
    <n v="0.3664"/>
    <n v="1"/>
    <s v="On Time"/>
    <s v="No"/>
    <m/>
    <n v="4"/>
    <n v="1"/>
    <s v="Yes"/>
    <s v="Bank Offer"/>
    <n v="10990.54"/>
    <n v="1.0556000000000001"/>
    <n v="247"/>
    <s v="In Stock"/>
  </r>
  <r>
    <s v="AMZ26-00751"/>
    <d v="2026-01-28T00:00:00"/>
    <x v="10"/>
    <s v="Q1"/>
    <n v="2026"/>
    <s v="CUST-3671"/>
    <s v="Meera Yadav"/>
    <s v="Small Business"/>
    <s v="India"/>
    <s v="Uttar Pradesh"/>
    <s v="Noida"/>
    <x v="0"/>
    <s v="Amazon Website"/>
    <s v="Desktop"/>
    <x v="3"/>
    <s v="Snacks"/>
    <s v="Mixed Nuts"/>
    <s v="Happilo"/>
    <s v="GRO-SNA-38078"/>
    <s v="FBM"/>
    <x v="1"/>
    <x v="1"/>
    <n v="1"/>
    <n v="1631.97"/>
    <n v="0.3"/>
    <n v="489.59"/>
    <n v="1631.97"/>
    <n v="1142.3800000000001"/>
    <n v="49.63"/>
    <n v="684.16"/>
    <n v="408.59"/>
    <n v="0.35770000000000002"/>
    <n v="0"/>
    <s v="Not Applicable"/>
    <s v="No"/>
    <m/>
    <m/>
    <n v="0"/>
    <s v="Yes"/>
    <s v="Lightning Deal"/>
    <n v="995.82"/>
    <n v="1.1472"/>
    <n v="314"/>
    <s v="In Stock"/>
  </r>
  <r>
    <s v="AMZ26-00752"/>
    <d v="2026-09-10T00:00:00"/>
    <x v="1"/>
    <s v="Q3"/>
    <n v="2026"/>
    <s v="CUST-1223"/>
    <s v="Ananya Joshi"/>
    <s v="Corporate"/>
    <s v="India"/>
    <s v="Delhi"/>
    <s v="New Delhi"/>
    <x v="0"/>
    <s v="Amazon Website"/>
    <s v="iOS"/>
    <x v="3"/>
    <s v="Staples"/>
    <s v="Atta"/>
    <s v="Aashirvaad"/>
    <s v="GRO-STA-72964"/>
    <s v="FBM"/>
    <x v="1"/>
    <x v="2"/>
    <n v="2"/>
    <n v="1257.18"/>
    <n v="0.25"/>
    <n v="628.59"/>
    <n v="2514.36"/>
    <n v="1885.77"/>
    <n v="105.77"/>
    <n v="1470"/>
    <n v="310"/>
    <n v="0.16439999999999999"/>
    <n v="1"/>
    <s v="In Transit"/>
    <s v="No"/>
    <m/>
    <m/>
    <n v="0"/>
    <s v="Yes"/>
    <s v="Prime Deal"/>
    <n v="1655.67"/>
    <n v="1.139"/>
    <n v="321"/>
    <s v="In Stock"/>
  </r>
  <r>
    <s v="AMZ26-00753"/>
    <d v="2026-06-10T00:00:00"/>
    <x v="5"/>
    <s v="Q2"/>
    <n v="2026"/>
    <s v="CUST-4735"/>
    <s v="Nikhil Singh"/>
    <s v="Corporate"/>
    <s v="India"/>
    <s v="Punjab"/>
    <s v="Ludhiana"/>
    <x v="0"/>
    <s v="Amazon App"/>
    <s v="Desktop"/>
    <x v="0"/>
    <s v="Footwear"/>
    <s v="Sandals"/>
    <s v="Bata"/>
    <s v="FAS-FOO-43834"/>
    <s v="FBM"/>
    <x v="2"/>
    <x v="0"/>
    <n v="3"/>
    <n v="3154.23"/>
    <n v="0.25"/>
    <n v="2365.67"/>
    <n v="9462.69"/>
    <n v="7097.02"/>
    <n v="26.41"/>
    <n v="4884.3599999999997"/>
    <n v="2186.25"/>
    <n v="0.30809999999999998"/>
    <n v="3"/>
    <s v="On Time"/>
    <s v="No"/>
    <m/>
    <n v="4"/>
    <n v="4"/>
    <s v="Yes"/>
    <s v="Amazon Coupon"/>
    <n v="6668.61"/>
    <n v="1.0642"/>
    <n v="341"/>
    <s v="In Stock"/>
  </r>
  <r>
    <s v="AMZ26-00754"/>
    <d v="2026-09-28T00:00:00"/>
    <x v="1"/>
    <s v="Q3"/>
    <n v="2026"/>
    <s v="CUST-3126"/>
    <s v="Kavya Kumar"/>
    <s v="Corporate"/>
    <s v="India"/>
    <s v="Karnataka"/>
    <s v="Mysuru"/>
    <x v="1"/>
    <s v="Amazon App"/>
    <s v="Android"/>
    <x v="4"/>
    <s v="Cookware"/>
    <s v="Pressure Cooker"/>
    <s v="Hawkins"/>
    <s v="HOM-COO-35911"/>
    <s v="FBA"/>
    <x v="5"/>
    <x v="0"/>
    <n v="4"/>
    <n v="11131.54"/>
    <n v="0.3"/>
    <n v="13357.85"/>
    <n v="44526.16"/>
    <n v="31168.31"/>
    <n v="204.55"/>
    <n v="18081.45"/>
    <n v="12882.31"/>
    <n v="0.4133"/>
    <n v="7"/>
    <s v="Delayed"/>
    <s v="No"/>
    <m/>
    <n v="4"/>
    <n v="0"/>
    <s v="No"/>
    <s v="Festival Sale"/>
    <n v="32703.5"/>
    <n v="0.95309999999999995"/>
    <n v="37"/>
    <s v="Low Stock"/>
  </r>
  <r>
    <s v="AMZ26-00755"/>
    <d v="2026-10-16T00:00:00"/>
    <x v="8"/>
    <s v="Q4"/>
    <n v="2026"/>
    <s v="CUST-2042"/>
    <s v="Isha Joshi"/>
    <s v="Small Business"/>
    <s v="India"/>
    <s v="Karnataka"/>
    <s v="Mysuru"/>
    <x v="1"/>
    <s v="Amazon App"/>
    <s v="Desktop"/>
    <x v="1"/>
    <s v="Laptops"/>
    <s v="IdeaPad"/>
    <s v="Lenovo"/>
    <s v="ELE-LAP-31646"/>
    <s v="FBA"/>
    <x v="3"/>
    <x v="0"/>
    <n v="5"/>
    <n v="5160.78"/>
    <n v="0.25"/>
    <n v="6450.98"/>
    <n v="25803.9"/>
    <n v="19352.919999999998"/>
    <n v="119.94"/>
    <n v="11624.2"/>
    <n v="7608.78"/>
    <n v="0.39319999999999999"/>
    <n v="4"/>
    <s v="On Time"/>
    <s v="No"/>
    <m/>
    <n v="4"/>
    <n v="1"/>
    <s v="No"/>
    <s v="Lightning Deal"/>
    <n v="19715.3"/>
    <n v="0.98160000000000003"/>
    <n v="44"/>
    <s v="In Stock"/>
  </r>
  <r>
    <s v="AMZ26-00756"/>
    <d v="2026-12-17T00:00:00"/>
    <x v="11"/>
    <s v="Q4"/>
    <n v="2026"/>
    <s v="CUST-4092"/>
    <s v="Rohan Sharma"/>
    <s v="Consumer"/>
    <s v="India"/>
    <s v="Karnataka"/>
    <s v="Mysuru"/>
    <x v="1"/>
    <s v="Amazon Website"/>
    <s v="Tablet"/>
    <x v="3"/>
    <s v="Staples"/>
    <s v="Cooking Oil"/>
    <s v="Fortune"/>
    <s v="GRO-STA-73289"/>
    <s v="FBA"/>
    <x v="3"/>
    <x v="1"/>
    <n v="4"/>
    <n v="157.94999999999999"/>
    <n v="0"/>
    <n v="0"/>
    <n v="631.79999999999995"/>
    <n v="631.79999999999995"/>
    <n v="231.32"/>
    <n v="363.35"/>
    <n v="37.130000000000003"/>
    <n v="5.8799999999999998E-2"/>
    <n v="0"/>
    <s v="Not Applicable"/>
    <s v="No"/>
    <m/>
    <m/>
    <n v="0"/>
    <s v="Yes"/>
    <s v="Amazon Coupon"/>
    <n v="730"/>
    <n v="0.86550000000000005"/>
    <n v="477"/>
    <s v="In Stock"/>
  </r>
  <r>
    <s v="AMZ26-00757"/>
    <d v="2026-11-05T00:00:00"/>
    <x v="6"/>
    <s v="Q4"/>
    <n v="2026"/>
    <s v="CUST-1385"/>
    <s v="Nikhil Rao"/>
    <s v="Corporate"/>
    <s v="India"/>
    <s v="Gujarat"/>
    <s v="Ahmedabad"/>
    <x v="3"/>
    <s v="Amazon App"/>
    <s v="Tablet"/>
    <x v="1"/>
    <s v="Accessories"/>
    <s v="Keyboard"/>
    <s v="HP"/>
    <s v="ELE-ACC-72844"/>
    <s v="FBA"/>
    <x v="3"/>
    <x v="2"/>
    <n v="3"/>
    <n v="13293.51"/>
    <n v="0.05"/>
    <n v="1994.03"/>
    <n v="39880.53"/>
    <n v="37886.5"/>
    <n v="175.76"/>
    <n v="23970.99"/>
    <n v="13739.75"/>
    <n v="0.36270000000000002"/>
    <n v="8"/>
    <s v="In Transit"/>
    <s v="No"/>
    <m/>
    <m/>
    <n v="0"/>
    <s v="No"/>
    <s v="Lightning Deal"/>
    <n v="34094.230000000003"/>
    <n v="1.1112"/>
    <n v="19"/>
    <s v="Low Stock"/>
  </r>
  <r>
    <s v="AMZ26-00758"/>
    <d v="2026-05-03T00:00:00"/>
    <x v="2"/>
    <s v="Q2"/>
    <n v="2026"/>
    <s v="CUST-1357"/>
    <s v="Rahul Iyer"/>
    <s v="Corporate"/>
    <s v="India"/>
    <s v="Maharashtra"/>
    <s v="Pune"/>
    <x v="3"/>
    <s v="Amazon App"/>
    <s v="iOS"/>
    <x v="1"/>
    <s v="Accessories"/>
    <s v="Wireless Mouse"/>
    <s v="Logitech"/>
    <s v="ELE-ACC-40899"/>
    <s v="FBA"/>
    <x v="5"/>
    <x v="0"/>
    <n v="1"/>
    <n v="21555.19"/>
    <n v="0.15"/>
    <n v="3233.28"/>
    <n v="21555.19"/>
    <n v="18321.91"/>
    <n v="127.42"/>
    <n v="11389.23"/>
    <n v="6805.26"/>
    <n v="0.37140000000000001"/>
    <n v="6"/>
    <s v="Delayed"/>
    <s v="No"/>
    <m/>
    <n v="4"/>
    <n v="4"/>
    <s v="Yes"/>
    <s v="Prime Deal"/>
    <n v="22185.79"/>
    <n v="0.82579999999999998"/>
    <n v="24"/>
    <s v="Low Stock"/>
  </r>
  <r>
    <s v="AMZ26-00759"/>
    <d v="2026-02-03T00:00:00"/>
    <x v="7"/>
    <s v="Q1"/>
    <n v="2026"/>
    <s v="CUST-3744"/>
    <s v="Priya Nair"/>
    <s v="Corporate"/>
    <s v="India"/>
    <s v="Kerala"/>
    <s v="Kochi"/>
    <x v="1"/>
    <s v="Amazon App"/>
    <s v="Tablet"/>
    <x v="0"/>
    <s v="Footwear"/>
    <s v="Casual Sneakers"/>
    <s v="Puma"/>
    <s v="FAS-FOO-26370"/>
    <s v="FBM"/>
    <x v="4"/>
    <x v="0"/>
    <n v="2"/>
    <n v="3787.27"/>
    <n v="0.3"/>
    <n v="2272.36"/>
    <n v="7574.54"/>
    <n v="5302.18"/>
    <n v="209.37"/>
    <n v="3767.53"/>
    <n v="1325.28"/>
    <n v="0.25"/>
    <n v="2"/>
    <s v="On Time"/>
    <s v="No"/>
    <m/>
    <n v="3"/>
    <n v="2"/>
    <s v="Yes"/>
    <s v="Prime Deal"/>
    <n v="4708.51"/>
    <n v="1.1261000000000001"/>
    <n v="360"/>
    <s v="In Stock"/>
  </r>
  <r>
    <s v="AMZ26-00760"/>
    <d v="2026-12-05T00:00:00"/>
    <x v="11"/>
    <s v="Q4"/>
    <n v="2026"/>
    <s v="CUST-1660"/>
    <s v="Ananya Jain"/>
    <s v="Small Business"/>
    <s v="India"/>
    <s v="Odisha"/>
    <s v="Bhubaneswar"/>
    <x v="2"/>
    <s v="Amazon App"/>
    <s v="Tablet"/>
    <x v="1"/>
    <s v="Mobiles"/>
    <s v="Galaxy A Series"/>
    <s v="Samsung"/>
    <s v="ELE-MOB-58245"/>
    <s v="FBM"/>
    <x v="2"/>
    <x v="0"/>
    <n v="3"/>
    <n v="8784.73"/>
    <n v="0.25"/>
    <n v="6588.55"/>
    <n v="26354.19"/>
    <n v="19765.64"/>
    <n v="50.45"/>
    <n v="10221.58"/>
    <n v="9493.61"/>
    <n v="0.4803"/>
    <n v="7"/>
    <s v="Delayed"/>
    <s v="Yes"/>
    <s v="Changed Mind"/>
    <n v="4"/>
    <n v="3"/>
    <s v="Yes"/>
    <s v="Prime Deal"/>
    <n v="17993.39"/>
    <n v="1.0985"/>
    <n v="448"/>
    <s v="In Stock"/>
  </r>
  <r>
    <s v="AMZ26-00761"/>
    <d v="2026-05-18T00:00:00"/>
    <x v="2"/>
    <s v="Q2"/>
    <n v="2026"/>
    <s v="CUST-3060"/>
    <s v="Rohan Sharma"/>
    <s v="Corporate"/>
    <s v="India"/>
    <s v="Gujarat"/>
    <s v="Ahmedabad"/>
    <x v="3"/>
    <s v="Amazon App"/>
    <s v="iOS"/>
    <x v="4"/>
    <s v="Kitchen Appliances"/>
    <s v="Mixer Grinder"/>
    <s v="Prestige"/>
    <s v="HOM-KIT-73648"/>
    <s v="FBA"/>
    <x v="3"/>
    <x v="0"/>
    <n v="3"/>
    <n v="10100.07"/>
    <n v="0.1"/>
    <n v="3030.02"/>
    <n v="30300.21"/>
    <n v="27270.19"/>
    <n v="188.13"/>
    <n v="14296.75"/>
    <n v="12785.31"/>
    <n v="0.46879999999999999"/>
    <n v="2"/>
    <s v="On Time"/>
    <s v="No"/>
    <m/>
    <n v="4"/>
    <n v="1"/>
    <s v="No"/>
    <s v="None"/>
    <n v="24167.32"/>
    <n v="1.1284000000000001"/>
    <n v="154"/>
    <s v="In Stock"/>
  </r>
  <r>
    <s v="AMZ26-00762"/>
    <d v="2026-10-27T00:00:00"/>
    <x v="8"/>
    <s v="Q4"/>
    <n v="2026"/>
    <s v="CUST-2041"/>
    <s v="Kiran Joshi"/>
    <s v="Consumer"/>
    <s v="India"/>
    <s v="Kerala"/>
    <s v="Kochi"/>
    <x v="1"/>
    <s v="Amazon App"/>
    <s v="Android"/>
    <x v="4"/>
    <s v="Home Decor"/>
    <s v="Wall Clock"/>
    <s v="Ajanta"/>
    <s v="HOM-HOM-67408"/>
    <s v="FBM"/>
    <x v="1"/>
    <x v="0"/>
    <n v="2"/>
    <n v="3324.57"/>
    <n v="0.25"/>
    <n v="1662.29"/>
    <n v="6649.14"/>
    <n v="4986.8500000000004"/>
    <n v="76.88"/>
    <n v="3388.81"/>
    <n v="1521.16"/>
    <n v="0.30499999999999999"/>
    <n v="3"/>
    <s v="On Time"/>
    <s v="Yes"/>
    <s v="Size/Fit Issue"/>
    <n v="4"/>
    <n v="0"/>
    <s v="Yes"/>
    <s v="None"/>
    <n v="4872.4399999999996"/>
    <n v="1.0235000000000001"/>
    <n v="87"/>
    <s v="In Stock"/>
  </r>
  <r>
    <s v="AMZ26-00763"/>
    <d v="2026-03-01T00:00:00"/>
    <x v="0"/>
    <s v="Q1"/>
    <n v="2026"/>
    <s v="CUST-2764"/>
    <s v="Diya Singh"/>
    <s v="Corporate"/>
    <s v="India"/>
    <s v="Telangana"/>
    <s v="Hyderabad"/>
    <x v="1"/>
    <s v="Amazon Website"/>
    <s v="Tablet"/>
    <x v="1"/>
    <s v="Mobiles"/>
    <s v="Redmi Note"/>
    <s v="Xiaomi"/>
    <s v="ELE-MOB-87763"/>
    <s v="FBM"/>
    <x v="3"/>
    <x v="0"/>
    <n v="3"/>
    <n v="28987.93"/>
    <n v="0.3"/>
    <n v="26089.14"/>
    <n v="86963.79"/>
    <n v="60874.65"/>
    <n v="128.82"/>
    <n v="35066.620000000003"/>
    <n v="25679.21"/>
    <n v="0.42180000000000001"/>
    <n v="7"/>
    <s v="Delayed"/>
    <s v="No"/>
    <m/>
    <n v="4"/>
    <n v="3"/>
    <s v="No"/>
    <s v="Prime Deal"/>
    <n v="72524.160000000003"/>
    <n v="0.83940000000000003"/>
    <n v="147"/>
    <s v="In Stock"/>
  </r>
  <r>
    <s v="AMZ26-00764"/>
    <d v="2026-01-15T00:00:00"/>
    <x v="10"/>
    <s v="Q1"/>
    <n v="2026"/>
    <s v="CUST-2152"/>
    <s v="Diya Verma"/>
    <s v="Consumer"/>
    <s v="India"/>
    <s v="Punjab"/>
    <s v="Ludhiana"/>
    <x v="0"/>
    <s v="Amazon Website"/>
    <s v="Tablet"/>
    <x v="2"/>
    <s v="Skin Care"/>
    <s v="Sunscreen"/>
    <s v="Neutrogena"/>
    <s v="BEA-SKI-38050"/>
    <s v="FBM"/>
    <x v="5"/>
    <x v="0"/>
    <n v="3"/>
    <n v="253.84"/>
    <n v="0.1"/>
    <n v="76.150000000000006"/>
    <n v="761.52"/>
    <n v="685.37"/>
    <n v="98.35"/>
    <n v="447.99"/>
    <n v="139.03"/>
    <n v="0.2029"/>
    <n v="7"/>
    <s v="Delayed"/>
    <s v="No"/>
    <m/>
    <n v="3"/>
    <n v="1"/>
    <s v="Yes"/>
    <s v="Bank Offer"/>
    <n v="759.58"/>
    <n v="0.90229999999999999"/>
    <n v="10"/>
    <s v="Low Stock"/>
  </r>
  <r>
    <s v="AMZ26-00765"/>
    <d v="2026-02-28T00:00:00"/>
    <x v="7"/>
    <s v="Q1"/>
    <n v="2026"/>
    <s v="CUST-2185"/>
    <s v="Arjun Das"/>
    <s v="Corporate"/>
    <s v="India"/>
    <s v="Uttar Pradesh"/>
    <s v="Noida"/>
    <x v="0"/>
    <s v="Amazon App"/>
    <s v="Tablet"/>
    <x v="1"/>
    <s v="Mobiles"/>
    <s v="Nord CE"/>
    <s v="OnePlus"/>
    <s v="ELE-MOB-55586"/>
    <s v="FBM"/>
    <x v="2"/>
    <x v="1"/>
    <n v="5"/>
    <n v="2862.07"/>
    <n v="0.3"/>
    <n v="4293.1000000000004"/>
    <n v="14310.35"/>
    <n v="10017.25"/>
    <n v="7.1"/>
    <n v="5939.98"/>
    <n v="4070.17"/>
    <n v="0.40629999999999999"/>
    <n v="0"/>
    <s v="Not Applicable"/>
    <s v="No"/>
    <m/>
    <m/>
    <n v="0"/>
    <s v="No"/>
    <s v="Prime Deal"/>
    <n v="9824.85"/>
    <n v="1.0196000000000001"/>
    <n v="18"/>
    <s v="Low Stock"/>
  </r>
  <r>
    <s v="AMZ26-00766"/>
    <d v="2026-06-16T00:00:00"/>
    <x v="5"/>
    <s v="Q2"/>
    <n v="2026"/>
    <s v="CUST-2651"/>
    <s v="Isha Verma"/>
    <s v="Small Business"/>
    <s v="India"/>
    <s v="Karnataka"/>
    <s v="Mysuru"/>
    <x v="1"/>
    <s v="Amazon App"/>
    <s v="Android"/>
    <x v="4"/>
    <s v="Cookware"/>
    <s v="Pressure Cooker"/>
    <s v="Hawkins"/>
    <s v="HOM-COO-75389"/>
    <s v="FBM"/>
    <x v="3"/>
    <x v="0"/>
    <n v="2"/>
    <n v="4102.97"/>
    <n v="0.05"/>
    <n v="410.3"/>
    <n v="8205.94"/>
    <n v="7795.64"/>
    <n v="215.84"/>
    <n v="5836.05"/>
    <n v="1743.75"/>
    <n v="0.22370000000000001"/>
    <n v="3"/>
    <s v="On Time"/>
    <s v="No"/>
    <m/>
    <n v="5"/>
    <n v="0"/>
    <s v="Yes"/>
    <s v="Bank Offer"/>
    <n v="8281.18"/>
    <n v="0.94140000000000001"/>
    <n v="72"/>
    <s v="In Stock"/>
  </r>
  <r>
    <s v="AMZ26-00767"/>
    <d v="2026-08-19T00:00:00"/>
    <x v="4"/>
    <s v="Q3"/>
    <n v="2026"/>
    <s v="CUST-4037"/>
    <s v="Kavya Nair"/>
    <s v="Small Business"/>
    <s v="India"/>
    <s v="Rajasthan"/>
    <s v="Jaipur"/>
    <x v="3"/>
    <s v="Amazon App"/>
    <s v="Android"/>
    <x v="1"/>
    <s v="Laptops"/>
    <s v="Vivobook"/>
    <s v="ASUS"/>
    <s v="ELE-LAP-38090"/>
    <s v="FBM"/>
    <x v="2"/>
    <x v="1"/>
    <n v="5"/>
    <n v="13188.46"/>
    <n v="0.25"/>
    <n v="16485.580000000002"/>
    <n v="65942.3"/>
    <n v="49456.72"/>
    <n v="117.64"/>
    <n v="33723.4"/>
    <n v="15615.68"/>
    <n v="0.31569999999999998"/>
    <n v="0"/>
    <s v="Not Applicable"/>
    <s v="No"/>
    <m/>
    <m/>
    <n v="0"/>
    <s v="Yes"/>
    <s v="None"/>
    <n v="46606.31"/>
    <n v="1.0611999999999999"/>
    <n v="269"/>
    <s v="In Stock"/>
  </r>
  <r>
    <s v="AMZ26-00768"/>
    <d v="2026-01-14T00:00:00"/>
    <x v="10"/>
    <s v="Q1"/>
    <n v="2026"/>
    <s v="CUST-4352"/>
    <s v="Rohan Shetty"/>
    <s v="Corporate"/>
    <s v="India"/>
    <s v="Assam"/>
    <s v="Guwahati"/>
    <x v="2"/>
    <s v="Amazon App"/>
    <s v="Android"/>
    <x v="3"/>
    <s v="Snacks"/>
    <s v="Potato Chips"/>
    <s v="Lay's"/>
    <s v="GRO-SNA-73242"/>
    <s v="FBM"/>
    <x v="4"/>
    <x v="0"/>
    <n v="3"/>
    <n v="640.83000000000004"/>
    <n v="0.3"/>
    <n v="576.75"/>
    <n v="1922.49"/>
    <n v="1345.74"/>
    <n v="212.06"/>
    <n v="735"/>
    <n v="398.68"/>
    <n v="0.29630000000000001"/>
    <n v="6"/>
    <s v="Delayed"/>
    <s v="No"/>
    <m/>
    <n v="5"/>
    <n v="0"/>
    <s v="No"/>
    <s v="Lightning Deal"/>
    <n v="1440.9"/>
    <n v="0.93400000000000005"/>
    <n v="445"/>
    <s v="In Stock"/>
  </r>
  <r>
    <s v="AMZ26-00769"/>
    <d v="2026-04-06T00:00:00"/>
    <x v="9"/>
    <s v="Q2"/>
    <n v="2026"/>
    <s v="CUST-2359"/>
    <s v="Arjun Yadav"/>
    <s v="Small Business"/>
    <s v="India"/>
    <s v="Punjab"/>
    <s v="Ludhiana"/>
    <x v="0"/>
    <s v="Amazon App"/>
    <s v="iOS"/>
    <x v="4"/>
    <s v="Kitchen Appliances"/>
    <s v="Electric Kettle"/>
    <s v="Pigeon"/>
    <s v="HOM-KIT-24792"/>
    <s v="FBA"/>
    <x v="3"/>
    <x v="0"/>
    <n v="5"/>
    <n v="306.27999999999997"/>
    <n v="0"/>
    <n v="0"/>
    <n v="1531.4"/>
    <n v="1531.4"/>
    <n v="148.21"/>
    <n v="767.16"/>
    <n v="616.03"/>
    <n v="0.40229999999999999"/>
    <n v="8"/>
    <s v="Delayed"/>
    <s v="No"/>
    <m/>
    <n v="5"/>
    <n v="1"/>
    <s v="Yes"/>
    <s v="None"/>
    <n v="1818.87"/>
    <n v="0.84199999999999997"/>
    <n v="422"/>
    <s v="In Stock"/>
  </r>
  <r>
    <s v="AMZ26-00770"/>
    <d v="2026-09-15T00:00:00"/>
    <x v="1"/>
    <s v="Q3"/>
    <n v="2026"/>
    <s v="CUST-1299"/>
    <s v="Vihaan Gupta"/>
    <s v="Corporate"/>
    <s v="India"/>
    <s v="West Bengal"/>
    <s v="Kolkata"/>
    <x v="2"/>
    <s v="Amazon App"/>
    <s v="Android"/>
    <x v="2"/>
    <s v="Makeup"/>
    <s v="Foundation"/>
    <s v="Lakme"/>
    <s v="BEA-MAK-87060"/>
    <s v="FBA"/>
    <x v="3"/>
    <x v="1"/>
    <n v="4"/>
    <n v="457.13"/>
    <n v="0.2"/>
    <n v="365.7"/>
    <n v="1828.52"/>
    <n v="1462.82"/>
    <n v="207.31"/>
    <n v="714.76"/>
    <n v="540.75"/>
    <n v="0.36969999999999997"/>
    <n v="0"/>
    <s v="Not Applicable"/>
    <s v="No"/>
    <m/>
    <m/>
    <n v="0"/>
    <s v="Yes"/>
    <s v="Amazon Coupon"/>
    <n v="1381.37"/>
    <n v="1.0589999999999999"/>
    <n v="123"/>
    <s v="In Stock"/>
  </r>
  <r>
    <s v="AMZ26-00771"/>
    <d v="2026-01-09T00:00:00"/>
    <x v="10"/>
    <s v="Q1"/>
    <n v="2026"/>
    <s v="CUST-2583"/>
    <s v="Diya Rao"/>
    <s v="Corporate"/>
    <s v="India"/>
    <s v="Maharashtra"/>
    <s v="Mumbai"/>
    <x v="3"/>
    <s v="Amazon Website"/>
    <s v="Android"/>
    <x v="4"/>
    <s v="Cookware"/>
    <s v="Pressure Cooker"/>
    <s v="Hawkins"/>
    <s v="HOM-COO-11884"/>
    <s v="FBA"/>
    <x v="0"/>
    <x v="2"/>
    <n v="5"/>
    <n v="4296.74"/>
    <n v="0.15"/>
    <n v="3222.55"/>
    <n v="21483.7"/>
    <n v="18261.150000000001"/>
    <n v="14"/>
    <n v="9310.14"/>
    <n v="8937.01"/>
    <n v="0.4894"/>
    <n v="3"/>
    <s v="In Transit"/>
    <s v="No"/>
    <m/>
    <m/>
    <n v="0"/>
    <s v="No"/>
    <s v="Amazon Coupon"/>
    <n v="19486.29"/>
    <n v="0.93710000000000004"/>
    <n v="52"/>
    <s v="In Stock"/>
  </r>
  <r>
    <s v="AMZ26-00772"/>
    <d v="2026-08-22T00:00:00"/>
    <x v="4"/>
    <s v="Q3"/>
    <n v="2026"/>
    <s v="CUST-3801"/>
    <s v="Aditya Shetty"/>
    <s v="Corporate"/>
    <s v="India"/>
    <s v="Maharashtra"/>
    <s v="Mumbai"/>
    <x v="3"/>
    <s v="Amazon App"/>
    <s v="Desktop"/>
    <x v="1"/>
    <s v="Laptops"/>
    <s v="Pavilion"/>
    <s v="HP"/>
    <s v="ELE-LAP-97996"/>
    <s v="FBA"/>
    <x v="4"/>
    <x v="0"/>
    <n v="5"/>
    <n v="41130.870000000003"/>
    <n v="0.15"/>
    <n v="30848.15"/>
    <n v="205654.35"/>
    <n v="174806.2"/>
    <n v="143.63"/>
    <n v="131455.57"/>
    <n v="43207"/>
    <n v="0.2472"/>
    <n v="6"/>
    <s v="Delayed"/>
    <s v="No"/>
    <m/>
    <n v="5"/>
    <n v="4"/>
    <s v="Yes"/>
    <s v="Amazon Coupon"/>
    <n v="158836.79999999999"/>
    <n v="1.1005"/>
    <n v="26"/>
    <s v="Low Stock"/>
  </r>
  <r>
    <s v="AMZ26-00773"/>
    <d v="2026-02-26T00:00:00"/>
    <x v="7"/>
    <s v="Q1"/>
    <n v="2026"/>
    <s v="CUST-4861"/>
    <s v="Sneha Verma"/>
    <s v="Corporate"/>
    <s v="India"/>
    <s v="Karnataka"/>
    <s v="Bengaluru"/>
    <x v="1"/>
    <s v="Amazon Website"/>
    <s v="Android"/>
    <x v="3"/>
    <s v="Staples"/>
    <s v="Basmati Rice"/>
    <s v="India Gate"/>
    <s v="GRO-STA-32242"/>
    <s v="FBM"/>
    <x v="2"/>
    <x v="1"/>
    <n v="4"/>
    <n v="81.239999999999995"/>
    <n v="0.3"/>
    <n v="97.49"/>
    <n v="324.95999999999998"/>
    <n v="227.47"/>
    <n v="246.91"/>
    <n v="109.42"/>
    <n v="-128.86000000000001"/>
    <n v="-0.5665"/>
    <n v="0"/>
    <s v="Not Applicable"/>
    <s v="No"/>
    <m/>
    <m/>
    <n v="0"/>
    <s v="Yes"/>
    <s v="Bank Offer"/>
    <n v="228.96"/>
    <n v="0.99350000000000005"/>
    <n v="189"/>
    <s v="In Stock"/>
  </r>
  <r>
    <s v="AMZ26-00774"/>
    <d v="2026-06-15T00:00:00"/>
    <x v="5"/>
    <s v="Q2"/>
    <n v="2026"/>
    <s v="CUST-3940"/>
    <s v="Sai Sharma"/>
    <s v="Corporate"/>
    <s v="India"/>
    <s v="Odisha"/>
    <s v="Bhubaneswar"/>
    <x v="2"/>
    <s v="Amazon Website"/>
    <s v="Desktop"/>
    <x v="4"/>
    <s v="Home Decor"/>
    <s v="Curtain Set"/>
    <s v="Home Centre"/>
    <s v="HOM-HOM-90507"/>
    <s v="FBA"/>
    <x v="5"/>
    <x v="0"/>
    <n v="3"/>
    <n v="1479.62"/>
    <n v="0"/>
    <n v="0"/>
    <n v="4438.8599999999997"/>
    <n v="4438.8599999999997"/>
    <n v="79.349999999999994"/>
    <n v="2715.57"/>
    <n v="1643.94"/>
    <n v="0.37040000000000001"/>
    <n v="6"/>
    <s v="Delayed"/>
    <s v="No"/>
    <m/>
    <n v="3"/>
    <n v="1"/>
    <s v="No"/>
    <s v="Festival Sale"/>
    <n v="5118.24"/>
    <n v="0.86729999999999996"/>
    <n v="259"/>
    <s v="In Stock"/>
  </r>
  <r>
    <s v="AMZ26-00775"/>
    <d v="2026-03-30T00:00:00"/>
    <x v="0"/>
    <s v="Q1"/>
    <n v="2026"/>
    <s v="CUST-3695"/>
    <s v="Aditya Gupta"/>
    <s v="Corporate"/>
    <s v="India"/>
    <s v="Gujarat"/>
    <s v="Ahmedabad"/>
    <x v="3"/>
    <s v="Amazon App"/>
    <s v="Tablet"/>
    <x v="1"/>
    <s v="Laptops"/>
    <s v="IdeaPad"/>
    <s v="Lenovo"/>
    <s v="ELE-LAP-63903"/>
    <s v="FBM"/>
    <x v="4"/>
    <x v="2"/>
    <n v="5"/>
    <n v="43828.9"/>
    <n v="0.25"/>
    <n v="54786.12"/>
    <n v="219144.5"/>
    <n v="164358.38"/>
    <n v="17.22"/>
    <n v="80735.570000000007"/>
    <n v="83605.59"/>
    <n v="0.50870000000000004"/>
    <n v="7"/>
    <s v="In Transit"/>
    <s v="No"/>
    <m/>
    <m/>
    <n v="0"/>
    <s v="Yes"/>
    <s v="Amazon Coupon"/>
    <n v="150056.35"/>
    <n v="1.0952999999999999"/>
    <n v="94"/>
    <s v="In Stock"/>
  </r>
  <r>
    <s v="AMZ26-00776"/>
    <d v="2026-01-04T00:00:00"/>
    <x v="10"/>
    <s v="Q1"/>
    <n v="2026"/>
    <s v="CUST-1957"/>
    <s v="Rahul Nair"/>
    <s v="Consumer"/>
    <s v="India"/>
    <s v="Bihar"/>
    <s v="Patna"/>
    <x v="2"/>
    <s v="Amazon App"/>
    <s v="Desktop"/>
    <x v="0"/>
    <s v="Women Clothing"/>
    <s v="Printed Kurti"/>
    <s v="BIBA"/>
    <s v="FAS-WOM-88454"/>
    <s v="FBA"/>
    <x v="3"/>
    <x v="0"/>
    <n v="4"/>
    <n v="931.39"/>
    <n v="0.2"/>
    <n v="745.11"/>
    <n v="3725.56"/>
    <n v="2980.45"/>
    <n v="233.31"/>
    <n v="1623.5"/>
    <n v="1123.6400000000001"/>
    <n v="0.377"/>
    <n v="5"/>
    <s v="Delayed"/>
    <s v="No"/>
    <m/>
    <n v="3"/>
    <n v="0"/>
    <s v="No"/>
    <s v="None"/>
    <n v="3092.31"/>
    <n v="0.96379999999999999"/>
    <n v="451"/>
    <s v="In Stock"/>
  </r>
  <r>
    <s v="AMZ26-00777"/>
    <d v="2026-03-23T00:00:00"/>
    <x v="0"/>
    <s v="Q1"/>
    <n v="2026"/>
    <s v="CUST-2467"/>
    <s v="Sneha Kumar"/>
    <s v="Corporate"/>
    <s v="India"/>
    <s v="Uttar Pradesh"/>
    <s v="Noida"/>
    <x v="0"/>
    <s v="Amazon App"/>
    <s v="Tablet"/>
    <x v="2"/>
    <s v="Skin Care"/>
    <s v="Sunscreen"/>
    <s v="Neutrogena"/>
    <s v="BEA-SKI-65728"/>
    <s v="FBA"/>
    <x v="3"/>
    <x v="2"/>
    <n v="2"/>
    <n v="2242.83"/>
    <n v="0.2"/>
    <n v="897.13"/>
    <n v="4485.66"/>
    <n v="3588.53"/>
    <n v="137.08000000000001"/>
    <n v="2049.44"/>
    <n v="1402.01"/>
    <n v="0.39069999999999999"/>
    <n v="3"/>
    <s v="In Transit"/>
    <s v="No"/>
    <m/>
    <m/>
    <n v="0"/>
    <s v="Yes"/>
    <s v="Lightning Deal"/>
    <n v="3805.19"/>
    <n v="0.94310000000000005"/>
    <n v="392"/>
    <s v="In Stock"/>
  </r>
  <r>
    <s v="AMZ26-00778"/>
    <d v="2026-04-26T00:00:00"/>
    <x v="9"/>
    <s v="Q2"/>
    <n v="2026"/>
    <s v="CUST-3278"/>
    <s v="Kiran Sharma"/>
    <s v="Consumer"/>
    <s v="India"/>
    <s v="Maharashtra"/>
    <s v="Pune"/>
    <x v="3"/>
    <s v="Amazon Website"/>
    <s v="Desktop"/>
    <x v="1"/>
    <s v="Mobiles"/>
    <s v="Galaxy A Series"/>
    <s v="Samsung"/>
    <s v="ELE-MOB-24436"/>
    <s v="FBA"/>
    <x v="1"/>
    <x v="2"/>
    <n v="2"/>
    <n v="1141.06"/>
    <n v="0.1"/>
    <n v="228.21"/>
    <n v="2282.12"/>
    <n v="2053.91"/>
    <n v="209.05"/>
    <n v="1299.17"/>
    <n v="545.69000000000005"/>
    <n v="0.26569999999999999"/>
    <n v="6"/>
    <s v="In Transit"/>
    <s v="No"/>
    <m/>
    <m/>
    <n v="0"/>
    <s v="Yes"/>
    <s v="None"/>
    <n v="2455.64"/>
    <n v="0.83640000000000003"/>
    <n v="221"/>
    <s v="In Stock"/>
  </r>
  <r>
    <s v="AMZ26-00779"/>
    <d v="2026-11-26T00:00:00"/>
    <x v="6"/>
    <s v="Q4"/>
    <n v="2026"/>
    <s v="CUST-3765"/>
    <s v="Priya Singh"/>
    <s v="Consumer"/>
    <s v="India"/>
    <s v="Tamil Nadu"/>
    <s v="Chennai"/>
    <x v="1"/>
    <s v="Amazon Website"/>
    <s v="Desktop"/>
    <x v="1"/>
    <s v="Laptops"/>
    <s v="IdeaPad"/>
    <s v="Lenovo"/>
    <s v="ELE-LAP-90179"/>
    <s v="FBM"/>
    <x v="2"/>
    <x v="2"/>
    <n v="4"/>
    <n v="24770.22"/>
    <n v="0.2"/>
    <n v="19816.18"/>
    <n v="99080.88"/>
    <n v="79264.7"/>
    <n v="188"/>
    <n v="59723.46"/>
    <n v="19353.240000000002"/>
    <n v="0.2442"/>
    <n v="1"/>
    <s v="In Transit"/>
    <s v="No"/>
    <m/>
    <m/>
    <n v="0"/>
    <s v="No"/>
    <s v="None"/>
    <n v="68244.600000000006"/>
    <n v="1.1615"/>
    <n v="404"/>
    <s v="In Stock"/>
  </r>
  <r>
    <s v="AMZ26-00780"/>
    <d v="2026-11-21T00:00:00"/>
    <x v="6"/>
    <s v="Q4"/>
    <n v="2026"/>
    <s v="CUST-2278"/>
    <s v="Sai Das"/>
    <s v="Consumer"/>
    <s v="India"/>
    <s v="Gujarat"/>
    <s v="Ahmedabad"/>
    <x v="3"/>
    <s v="Amazon App"/>
    <s v="Android"/>
    <x v="3"/>
    <s v="Snacks"/>
    <s v="Mixed Nuts"/>
    <s v="Happilo"/>
    <s v="GRO-SNA-21606"/>
    <s v="FBA"/>
    <x v="2"/>
    <x v="2"/>
    <n v="5"/>
    <n v="1182.81"/>
    <n v="0.2"/>
    <n v="1182.81"/>
    <n v="5914.05"/>
    <n v="4731.24"/>
    <n v="209"/>
    <n v="2995.54"/>
    <n v="1526.7"/>
    <n v="0.32269999999999999"/>
    <n v="7"/>
    <s v="In Transit"/>
    <s v="No"/>
    <m/>
    <m/>
    <n v="0"/>
    <s v="Yes"/>
    <s v="Lightning Deal"/>
    <n v="4398.4399999999996"/>
    <n v="1.0757000000000001"/>
    <n v="353"/>
    <s v="In Stock"/>
  </r>
  <r>
    <s v="AMZ26-00781"/>
    <d v="2026-09-05T00:00:00"/>
    <x v="1"/>
    <s v="Q3"/>
    <n v="2026"/>
    <s v="CUST-3718"/>
    <s v="Rohan Reddy"/>
    <s v="Consumer"/>
    <s v="India"/>
    <s v="West Bengal"/>
    <s v="Kolkata"/>
    <x v="2"/>
    <s v="Amazon Website"/>
    <s v="Android"/>
    <x v="3"/>
    <s v="Beverages"/>
    <s v="Fruit Juice"/>
    <s v="Real"/>
    <s v="GRO-BEV-15498"/>
    <s v="FBA"/>
    <x v="4"/>
    <x v="1"/>
    <n v="2"/>
    <n v="1614.12"/>
    <n v="0.3"/>
    <n v="968.47"/>
    <n v="3228.24"/>
    <n v="2259.77"/>
    <n v="162.41"/>
    <n v="1715.94"/>
    <n v="381.42"/>
    <n v="0.16880000000000001"/>
    <n v="0"/>
    <s v="Not Applicable"/>
    <s v="No"/>
    <m/>
    <m/>
    <n v="0"/>
    <s v="Yes"/>
    <s v="None"/>
    <n v="2217.4299999999998"/>
    <n v="1.0190999999999999"/>
    <n v="477"/>
    <s v="In Stock"/>
  </r>
  <r>
    <s v="AMZ26-00782"/>
    <d v="2026-04-20T00:00:00"/>
    <x v="9"/>
    <s v="Q2"/>
    <n v="2026"/>
    <s v="CUST-4245"/>
    <s v="Priya Kumar"/>
    <s v="Small Business"/>
    <s v="India"/>
    <s v="Maharashtra"/>
    <s v="Pune"/>
    <x v="3"/>
    <s v="Amazon Website"/>
    <s v="iOS"/>
    <x v="3"/>
    <s v="Staples"/>
    <s v="Basmati Rice"/>
    <s v="India Gate"/>
    <s v="GRO-STA-85842"/>
    <s v="FBA"/>
    <x v="3"/>
    <x v="1"/>
    <n v="2"/>
    <n v="216.85"/>
    <n v="0.25"/>
    <n v="108.42"/>
    <n v="433.7"/>
    <n v="325.27999999999997"/>
    <n v="45.51"/>
    <n v="211.31"/>
    <n v="68.459999999999994"/>
    <n v="0.21049999999999999"/>
    <n v="0"/>
    <s v="Not Applicable"/>
    <s v="No"/>
    <m/>
    <m/>
    <n v="0"/>
    <s v="Yes"/>
    <s v="None"/>
    <n v="403.19"/>
    <n v="0.80679999999999996"/>
    <n v="458"/>
    <s v="In Stock"/>
  </r>
  <r>
    <s v="AMZ26-00783"/>
    <d v="2026-02-16T00:00:00"/>
    <x v="7"/>
    <s v="Q1"/>
    <n v="2026"/>
    <s v="CUST-4968"/>
    <s v="Aditi Iyer"/>
    <s v="Small Business"/>
    <s v="India"/>
    <s v="Haryana"/>
    <s v="Gurugram"/>
    <x v="0"/>
    <s v="Amazon App"/>
    <s v="Tablet"/>
    <x v="0"/>
    <s v="Footwear"/>
    <s v="Sandals"/>
    <s v="Bata"/>
    <s v="FAS-FOO-16433"/>
    <s v="FBA"/>
    <x v="3"/>
    <x v="0"/>
    <n v="5"/>
    <n v="3352.96"/>
    <n v="0.1"/>
    <n v="1676.48"/>
    <n v="16764.8"/>
    <n v="15088.32"/>
    <n v="71.64"/>
    <n v="8382.49"/>
    <n v="6634.19"/>
    <n v="0.43969999999999998"/>
    <n v="7"/>
    <s v="Delayed"/>
    <s v="No"/>
    <m/>
    <n v="4"/>
    <n v="1"/>
    <s v="Yes"/>
    <s v="Amazon Coupon"/>
    <n v="15857.35"/>
    <n v="0.95150000000000001"/>
    <n v="197"/>
    <s v="In Stock"/>
  </r>
  <r>
    <s v="AMZ26-00784"/>
    <d v="2026-12-28T00:00:00"/>
    <x v="11"/>
    <s v="Q4"/>
    <n v="2026"/>
    <s v="CUST-2913"/>
    <s v="Priya Das"/>
    <s v="Small Business"/>
    <s v="India"/>
    <s v="Telangana"/>
    <s v="Hyderabad"/>
    <x v="1"/>
    <s v="Amazon App"/>
    <s v="Tablet"/>
    <x v="3"/>
    <s v="Staples"/>
    <s v="Atta"/>
    <s v="Aashirvaad"/>
    <s v="GRO-STA-14489"/>
    <s v="FBM"/>
    <x v="4"/>
    <x v="0"/>
    <n v="1"/>
    <n v="837.78"/>
    <n v="0.1"/>
    <n v="83.78"/>
    <n v="837.78"/>
    <n v="754"/>
    <n v="189.08"/>
    <n v="578.48"/>
    <n v="-13.56"/>
    <n v="-1.7999999999999999E-2"/>
    <n v="3"/>
    <s v="On Time"/>
    <s v="No"/>
    <m/>
    <n v="5"/>
    <n v="2"/>
    <s v="Yes"/>
    <s v="Amazon Coupon"/>
    <n v="923.5"/>
    <n v="0.8165"/>
    <n v="310"/>
    <s v="In Stock"/>
  </r>
  <r>
    <s v="AMZ26-00785"/>
    <d v="2026-06-23T00:00:00"/>
    <x v="5"/>
    <s v="Q2"/>
    <n v="2026"/>
    <s v="CUST-1741"/>
    <s v="Aditya Shetty"/>
    <s v="Corporate"/>
    <s v="India"/>
    <s v="Rajasthan"/>
    <s v="Jaipur"/>
    <x v="3"/>
    <s v="Amazon App"/>
    <s v="Android"/>
    <x v="2"/>
    <s v="Skin Care"/>
    <s v="Moisturizer"/>
    <s v="Cetaphil"/>
    <s v="BEA-SKI-68314"/>
    <s v="FBA"/>
    <x v="1"/>
    <x v="0"/>
    <n v="2"/>
    <n v="1764.65"/>
    <n v="0"/>
    <n v="0"/>
    <n v="3529.3"/>
    <n v="3529.3"/>
    <n v="142.91"/>
    <n v="1735.55"/>
    <n v="1650.84"/>
    <n v="0.46779999999999999"/>
    <n v="8"/>
    <s v="Delayed"/>
    <s v="No"/>
    <m/>
    <n v="4"/>
    <n v="3"/>
    <s v="Yes"/>
    <s v="Amazon Coupon"/>
    <n v="3152.77"/>
    <n v="1.1194"/>
    <n v="72"/>
    <s v="In Stock"/>
  </r>
  <r>
    <s v="AMZ26-00786"/>
    <d v="2026-04-16T00:00:00"/>
    <x v="9"/>
    <s v="Q2"/>
    <n v="2026"/>
    <s v="CUST-4715"/>
    <s v="Kavya Sharma"/>
    <s v="Corporate"/>
    <s v="India"/>
    <s v="Assam"/>
    <s v="Guwahati"/>
    <x v="2"/>
    <s v="Amazon Website"/>
    <s v="Tablet"/>
    <x v="1"/>
    <s v="Accessories"/>
    <s v="Keyboard"/>
    <s v="HP"/>
    <s v="ELE-ACC-78592"/>
    <s v="FBM"/>
    <x v="1"/>
    <x v="0"/>
    <n v="5"/>
    <n v="64891.51"/>
    <n v="0.05"/>
    <n v="16222.88"/>
    <n v="324457.55"/>
    <n v="308234.67"/>
    <n v="63.49"/>
    <n v="205291.57"/>
    <n v="102879.61"/>
    <n v="0.33379999999999999"/>
    <n v="2"/>
    <s v="On Time"/>
    <s v="No"/>
    <m/>
    <n v="4"/>
    <n v="1"/>
    <s v="No"/>
    <s v="Lightning Deal"/>
    <n v="290446.58"/>
    <n v="1.0611999999999999"/>
    <n v="353"/>
    <s v="In Stock"/>
  </r>
  <r>
    <s v="AMZ26-00787"/>
    <d v="2026-06-03T00:00:00"/>
    <x v="5"/>
    <s v="Q2"/>
    <n v="2026"/>
    <s v="CUST-2292"/>
    <s v="Ananya Singh"/>
    <s v="Small Business"/>
    <s v="India"/>
    <s v="Karnataka"/>
    <s v="Bengaluru"/>
    <x v="1"/>
    <s v="Amazon Website"/>
    <s v="Desktop"/>
    <x v="2"/>
    <s v="Skin Care"/>
    <s v="Moisturizer"/>
    <s v="Cetaphil"/>
    <s v="BEA-SKI-80850"/>
    <s v="FBA"/>
    <x v="4"/>
    <x v="2"/>
    <n v="3"/>
    <n v="317.99"/>
    <n v="0.05"/>
    <n v="47.7"/>
    <n v="953.97"/>
    <n v="906.27"/>
    <n v="242.75"/>
    <n v="609.15"/>
    <n v="54.37"/>
    <n v="0.06"/>
    <n v="6"/>
    <s v="In Transit"/>
    <s v="No"/>
    <m/>
    <m/>
    <n v="0"/>
    <s v="No"/>
    <s v="None"/>
    <n v="837.27"/>
    <n v="1.0824"/>
    <n v="232"/>
    <s v="In Stock"/>
  </r>
  <r>
    <s v="AMZ26-00788"/>
    <d v="2026-08-27T00:00:00"/>
    <x v="4"/>
    <s v="Q3"/>
    <n v="2026"/>
    <s v="CUST-4395"/>
    <s v="Rohan Verma"/>
    <s v="Consumer"/>
    <s v="India"/>
    <s v="Odisha"/>
    <s v="Bhubaneswar"/>
    <x v="2"/>
    <s v="Amazon Website"/>
    <s v="Android"/>
    <x v="0"/>
    <s v="Footwear"/>
    <s v="Casual Sneakers"/>
    <s v="Puma"/>
    <s v="FAS-FOO-37805"/>
    <s v="FBM"/>
    <x v="4"/>
    <x v="0"/>
    <n v="3"/>
    <n v="3491.33"/>
    <n v="0"/>
    <n v="0"/>
    <n v="10473.99"/>
    <n v="10473.99"/>
    <n v="174.33"/>
    <n v="6181.1"/>
    <n v="4118.5600000000004"/>
    <n v="0.39319999999999999"/>
    <n v="3"/>
    <s v="On Time"/>
    <s v="No"/>
    <m/>
    <n v="5"/>
    <n v="2"/>
    <s v="Yes"/>
    <s v="Bank Offer"/>
    <n v="12719.04"/>
    <n v="0.82350000000000001"/>
    <n v="65"/>
    <s v="In Stock"/>
  </r>
  <r>
    <s v="AMZ26-00789"/>
    <d v="2026-02-14T00:00:00"/>
    <x v="7"/>
    <s v="Q1"/>
    <n v="2026"/>
    <s v="CUST-3275"/>
    <s v="Sai Patel"/>
    <s v="Consumer"/>
    <s v="India"/>
    <s v="Kerala"/>
    <s v="Kochi"/>
    <x v="1"/>
    <s v="Amazon Website"/>
    <s v="Desktop"/>
    <x v="1"/>
    <s v="Laptops"/>
    <s v="IdeaPad"/>
    <s v="Lenovo"/>
    <s v="ELE-LAP-67678"/>
    <s v="FBM"/>
    <x v="2"/>
    <x v="0"/>
    <n v="2"/>
    <n v="17779.400000000001"/>
    <n v="0.15"/>
    <n v="5333.82"/>
    <n v="35558.800000000003"/>
    <n v="30224.98"/>
    <n v="213.49"/>
    <n v="19699.05"/>
    <n v="10312.44"/>
    <n v="0.3412"/>
    <n v="4"/>
    <s v="On Time"/>
    <s v="No"/>
    <m/>
    <n v="5"/>
    <n v="0"/>
    <s v="No"/>
    <s v="Lightning Deal"/>
    <n v="32236.85"/>
    <n v="0.93759999999999999"/>
    <n v="293"/>
    <s v="In Stock"/>
  </r>
  <r>
    <s v="AMZ26-00790"/>
    <d v="2026-12-06T00:00:00"/>
    <x v="11"/>
    <s v="Q4"/>
    <n v="2026"/>
    <s v="CUST-2173"/>
    <s v="Meera Iyer"/>
    <s v="Corporate"/>
    <s v="India"/>
    <s v="Rajasthan"/>
    <s v="Jaipur"/>
    <x v="3"/>
    <s v="Amazon App"/>
    <s v="Tablet"/>
    <x v="0"/>
    <s v="Women Clothing"/>
    <s v="Casual Top"/>
    <s v="ONLY"/>
    <s v="FAS-WOM-87512"/>
    <s v="FBM"/>
    <x v="0"/>
    <x v="0"/>
    <n v="4"/>
    <n v="2479"/>
    <n v="0"/>
    <n v="0"/>
    <n v="9916"/>
    <n v="9916"/>
    <n v="236.76"/>
    <n v="7328.76"/>
    <n v="2350.48"/>
    <n v="0.23699999999999999"/>
    <n v="4"/>
    <s v="On Time"/>
    <s v="No"/>
    <m/>
    <n v="3"/>
    <n v="0"/>
    <s v="No"/>
    <s v="Festival Sale"/>
    <n v="10430.379999999999"/>
    <n v="0.95069999999999999"/>
    <n v="6"/>
    <s v="Low Stock"/>
  </r>
  <r>
    <s v="AMZ26-00791"/>
    <d v="2026-09-12T00:00:00"/>
    <x v="1"/>
    <s v="Q3"/>
    <n v="2026"/>
    <s v="CUST-1060"/>
    <s v="Aditya Yadav"/>
    <s v="Small Business"/>
    <s v="India"/>
    <s v="Gujarat"/>
    <s v="Ahmedabad"/>
    <x v="3"/>
    <s v="Amazon App"/>
    <s v="Desktop"/>
    <x v="2"/>
    <s v="Hair Care"/>
    <s v="Hair Mask"/>
    <s v="Tresemme"/>
    <s v="BEA-HAI-28078"/>
    <s v="FBA"/>
    <x v="3"/>
    <x v="1"/>
    <n v="2"/>
    <n v="572.54999999999995"/>
    <n v="0"/>
    <n v="0"/>
    <n v="1145.0999999999999"/>
    <n v="1145.0999999999999"/>
    <n v="238.3"/>
    <n v="657.26"/>
    <n v="249.54"/>
    <n v="0.21790000000000001"/>
    <n v="0"/>
    <s v="Not Applicable"/>
    <s v="No"/>
    <m/>
    <m/>
    <n v="0"/>
    <s v="No"/>
    <s v="Amazon Coupon"/>
    <n v="1072.25"/>
    <n v="1.0679000000000001"/>
    <n v="135"/>
    <s v="In Stock"/>
  </r>
  <r>
    <s v="AMZ26-00792"/>
    <d v="2026-12-29T00:00:00"/>
    <x v="11"/>
    <s v="Q4"/>
    <n v="2026"/>
    <s v="CUST-2631"/>
    <s v="Aditi Joshi"/>
    <s v="Consumer"/>
    <s v="India"/>
    <s v="Gujarat"/>
    <s v="Ahmedabad"/>
    <x v="3"/>
    <s v="Amazon Website"/>
    <s v="iOS"/>
    <x v="1"/>
    <s v="Accessories"/>
    <s v="Bluetooth Speaker"/>
    <s v="boAt"/>
    <s v="ELE-ACC-46671"/>
    <s v="FBM"/>
    <x v="1"/>
    <x v="0"/>
    <n v="1"/>
    <n v="26944.37"/>
    <n v="0"/>
    <n v="0"/>
    <n v="26944.37"/>
    <n v="26944.37"/>
    <n v="2.59"/>
    <n v="14429.2"/>
    <n v="12512.58"/>
    <n v="0.46439999999999998"/>
    <n v="5"/>
    <s v="Delayed"/>
    <s v="No"/>
    <m/>
    <n v="5"/>
    <n v="3"/>
    <s v="Yes"/>
    <s v="Bank Offer"/>
    <n v="23687.67"/>
    <n v="1.1375"/>
    <n v="114"/>
    <s v="In Stock"/>
  </r>
  <r>
    <s v="AMZ26-00793"/>
    <d v="2026-07-04T00:00:00"/>
    <x v="3"/>
    <s v="Q3"/>
    <n v="2026"/>
    <s v="CUST-2949"/>
    <s v="Vivek Verma"/>
    <s v="Small Business"/>
    <s v="India"/>
    <s v="Bihar"/>
    <s v="Patna"/>
    <x v="2"/>
    <s v="Amazon App"/>
    <s v="iOS"/>
    <x v="3"/>
    <s v="Staples"/>
    <s v="Atta"/>
    <s v="Aashirvaad"/>
    <s v="GRO-STA-26130"/>
    <s v="FBA"/>
    <x v="5"/>
    <x v="0"/>
    <n v="2"/>
    <n v="1477.14"/>
    <n v="0"/>
    <n v="0"/>
    <n v="2954.28"/>
    <n v="2954.28"/>
    <n v="71.069999999999993"/>
    <n v="2052.92"/>
    <n v="830.29"/>
    <n v="0.28100000000000003"/>
    <n v="5"/>
    <s v="Delayed"/>
    <s v="No"/>
    <m/>
    <n v="5"/>
    <n v="4"/>
    <s v="Yes"/>
    <s v="Amazon Coupon"/>
    <n v="3022.03"/>
    <n v="0.97760000000000002"/>
    <n v="206"/>
    <s v="In Stock"/>
  </r>
  <r>
    <s v="AMZ26-00794"/>
    <d v="2026-01-30T00:00:00"/>
    <x v="10"/>
    <s v="Q1"/>
    <n v="2026"/>
    <s v="CUST-4938"/>
    <s v="Arjun Reddy"/>
    <s v="Corporate"/>
    <s v="India"/>
    <s v="West Bengal"/>
    <s v="Kolkata"/>
    <x v="2"/>
    <s v="Amazon App"/>
    <s v="iOS"/>
    <x v="4"/>
    <s v="Cookware"/>
    <s v="Pressure Cooker"/>
    <s v="Hawkins"/>
    <s v="HOM-COO-92838"/>
    <s v="FBA"/>
    <x v="1"/>
    <x v="0"/>
    <n v="3"/>
    <n v="1126"/>
    <n v="0.25"/>
    <n v="844.5"/>
    <n v="3378"/>
    <n v="2533.5"/>
    <n v="128.80000000000001"/>
    <n v="1282.1500000000001"/>
    <n v="1122.55"/>
    <n v="0.44309999999999999"/>
    <n v="3"/>
    <s v="On Time"/>
    <s v="No"/>
    <m/>
    <n v="4"/>
    <n v="3"/>
    <s v="Yes"/>
    <s v="Festival Sale"/>
    <n v="2446.11"/>
    <n v="1.0357000000000001"/>
    <n v="135"/>
    <s v="In Stock"/>
  </r>
  <r>
    <s v="AMZ26-00795"/>
    <d v="2026-11-12T00:00:00"/>
    <x v="6"/>
    <s v="Q4"/>
    <n v="2026"/>
    <s v="CUST-2133"/>
    <s v="Nandini Patel"/>
    <s v="Corporate"/>
    <s v="India"/>
    <s v="Delhi"/>
    <s v="New Delhi"/>
    <x v="0"/>
    <s v="Amazon Website"/>
    <s v="Tablet"/>
    <x v="3"/>
    <s v="Beverages"/>
    <s v="Fruit Juice"/>
    <s v="Real"/>
    <s v="GRO-BEV-12233"/>
    <s v="FBA"/>
    <x v="2"/>
    <x v="0"/>
    <n v="1"/>
    <n v="156.19999999999999"/>
    <n v="0.05"/>
    <n v="7.81"/>
    <n v="156.19999999999999"/>
    <n v="148.38999999999999"/>
    <n v="218.08"/>
    <n v="103.09"/>
    <n v="-172.78"/>
    <n v="-1.1644000000000001"/>
    <n v="3"/>
    <s v="On Time"/>
    <s v="No"/>
    <m/>
    <n v="4"/>
    <n v="0"/>
    <s v="No"/>
    <s v="None"/>
    <n v="173.05"/>
    <n v="0.85750000000000004"/>
    <n v="20"/>
    <s v="Low Stock"/>
  </r>
  <r>
    <s v="AMZ26-00796"/>
    <d v="2026-05-19T00:00:00"/>
    <x v="2"/>
    <s v="Q2"/>
    <n v="2026"/>
    <s v="CUST-2855"/>
    <s v="Vihaan Verma"/>
    <s v="Small Business"/>
    <s v="India"/>
    <s v="Rajasthan"/>
    <s v="Jaipur"/>
    <x v="3"/>
    <s v="Amazon Website"/>
    <s v="Tablet"/>
    <x v="2"/>
    <s v="Makeup"/>
    <s v="Lipstick"/>
    <s v="Maybelline"/>
    <s v="BEA-MAK-78551"/>
    <s v="FBM"/>
    <x v="0"/>
    <x v="0"/>
    <n v="3"/>
    <n v="350.09"/>
    <n v="0"/>
    <n v="0"/>
    <n v="1050.27"/>
    <n v="1050.27"/>
    <n v="86.51"/>
    <n v="588.49"/>
    <n v="375.27"/>
    <n v="0.35730000000000001"/>
    <n v="6"/>
    <s v="Delayed"/>
    <s v="No"/>
    <m/>
    <n v="5"/>
    <n v="1"/>
    <s v="No"/>
    <s v="Lightning Deal"/>
    <n v="955.7"/>
    <n v="1.099"/>
    <n v="133"/>
    <s v="In Stock"/>
  </r>
  <r>
    <s v="AMZ26-00797"/>
    <d v="2026-12-07T00:00:00"/>
    <x v="11"/>
    <s v="Q4"/>
    <n v="2026"/>
    <s v="CUST-3981"/>
    <s v="Ananya Sharma"/>
    <s v="Small Business"/>
    <s v="India"/>
    <s v="Maharashtra"/>
    <s v="Pune"/>
    <x v="3"/>
    <s v="Amazon Website"/>
    <s v="Tablet"/>
    <x v="1"/>
    <s v="Mobiles"/>
    <s v="Galaxy A Series"/>
    <s v="Samsung"/>
    <s v="ELE-MOB-17223"/>
    <s v="FBM"/>
    <x v="5"/>
    <x v="0"/>
    <n v="2"/>
    <n v="3881.39"/>
    <n v="0.1"/>
    <n v="776.28"/>
    <n v="7762.78"/>
    <n v="6986.5"/>
    <n v="36.130000000000003"/>
    <n v="3902.78"/>
    <n v="3047.59"/>
    <n v="0.43619999999999998"/>
    <n v="7"/>
    <s v="Delayed"/>
    <s v="No"/>
    <m/>
    <n v="4"/>
    <n v="2"/>
    <s v="Yes"/>
    <s v="None"/>
    <n v="7035.34"/>
    <n v="0.99309999999999998"/>
    <n v="415"/>
    <s v="In Stock"/>
  </r>
  <r>
    <s v="AMZ26-00798"/>
    <d v="2026-07-05T00:00:00"/>
    <x v="3"/>
    <s v="Q3"/>
    <n v="2026"/>
    <s v="CUST-3802"/>
    <s v="Rohan Rao"/>
    <s v="Small Business"/>
    <s v="India"/>
    <s v="Rajasthan"/>
    <s v="Jaipur"/>
    <x v="3"/>
    <s v="Amazon Website"/>
    <s v="Tablet"/>
    <x v="0"/>
    <s v="Men Clothing"/>
    <s v="Casual T-Shirt"/>
    <s v="Puma"/>
    <s v="FAS-MEN-21965"/>
    <s v="FBM"/>
    <x v="5"/>
    <x v="2"/>
    <n v="4"/>
    <n v="669.43"/>
    <n v="0"/>
    <n v="0"/>
    <n v="2677.72"/>
    <n v="2677.72"/>
    <n v="221.17"/>
    <n v="1537.89"/>
    <n v="918.66"/>
    <n v="0.34310000000000002"/>
    <n v="5"/>
    <s v="In Transit"/>
    <s v="No"/>
    <m/>
    <m/>
    <n v="0"/>
    <s v="Yes"/>
    <s v="Amazon Coupon"/>
    <n v="3148.52"/>
    <n v="0.85050000000000003"/>
    <n v="215"/>
    <s v="In Stock"/>
  </r>
  <r>
    <s v="AMZ26-00799"/>
    <d v="2026-08-30T00:00:00"/>
    <x v="4"/>
    <s v="Q3"/>
    <n v="2026"/>
    <s v="CUST-1222"/>
    <s v="Aarav Yadav"/>
    <s v="Consumer"/>
    <s v="India"/>
    <s v="Rajasthan"/>
    <s v="Jaipur"/>
    <x v="3"/>
    <s v="Amazon App"/>
    <s v="Desktop"/>
    <x v="3"/>
    <s v="Snacks"/>
    <s v="Mixed Nuts"/>
    <s v="Happilo"/>
    <s v="GRO-SNA-53008"/>
    <s v="FBM"/>
    <x v="4"/>
    <x v="0"/>
    <n v="3"/>
    <n v="390.6"/>
    <n v="0"/>
    <n v="0"/>
    <n v="1171.8"/>
    <n v="1171.8"/>
    <n v="209.44"/>
    <n v="905.87"/>
    <n v="56.49"/>
    <n v="4.82E-2"/>
    <n v="5"/>
    <s v="Delayed"/>
    <s v="No"/>
    <m/>
    <n v="5"/>
    <n v="1"/>
    <s v="Yes"/>
    <s v="Festival Sale"/>
    <n v="1184.97"/>
    <n v="0.9889"/>
    <n v="125"/>
    <s v="In Stock"/>
  </r>
  <r>
    <s v="AMZ26-00800"/>
    <d v="2026-01-20T00:00:00"/>
    <x v="10"/>
    <s v="Q1"/>
    <n v="2026"/>
    <s v="CUST-2707"/>
    <s v="Vivek Rao"/>
    <s v="Corporate"/>
    <s v="India"/>
    <s v="Tamil Nadu"/>
    <s v="Chennai"/>
    <x v="1"/>
    <s v="Amazon App"/>
    <s v="Desktop"/>
    <x v="1"/>
    <s v="Accessories"/>
    <s v="Wireless Mouse"/>
    <s v="Logitech"/>
    <s v="ELE-ACC-45981"/>
    <s v="FBA"/>
    <x v="2"/>
    <x v="0"/>
    <n v="3"/>
    <n v="1348.33"/>
    <n v="0.25"/>
    <n v="1011.25"/>
    <n v="4044.99"/>
    <n v="3033.74"/>
    <n v="133.65"/>
    <n v="1894.38"/>
    <n v="1005.71"/>
    <n v="0.33150000000000002"/>
    <n v="4"/>
    <s v="On Time"/>
    <s v="No"/>
    <m/>
    <n v="5"/>
    <n v="4"/>
    <s v="Yes"/>
    <s v="None"/>
    <n v="2916.32"/>
    <n v="1.0403"/>
    <n v="355"/>
    <s v="In Stock"/>
  </r>
  <r>
    <s v="AMZ26-00801"/>
    <d v="2026-05-26T00:00:00"/>
    <x v="2"/>
    <s v="Q2"/>
    <n v="2026"/>
    <s v="CUST-2813"/>
    <s v="Aditi Singh"/>
    <s v="Consumer"/>
    <s v="India"/>
    <s v="Delhi"/>
    <s v="New Delhi"/>
    <x v="0"/>
    <s v="Amazon App"/>
    <s v="iOS"/>
    <x v="0"/>
    <s v="Men Clothing"/>
    <s v="Casual T-Shirt"/>
    <s v="Puma"/>
    <s v="FAS-MEN-33584"/>
    <s v="FBM"/>
    <x v="2"/>
    <x v="2"/>
    <n v="4"/>
    <n v="1539.91"/>
    <n v="0.15"/>
    <n v="923.95"/>
    <n v="6159.64"/>
    <n v="5235.6899999999996"/>
    <n v="245.84"/>
    <n v="3982.12"/>
    <n v="1007.73"/>
    <n v="0.1925"/>
    <n v="4"/>
    <s v="In Transit"/>
    <s v="No"/>
    <m/>
    <m/>
    <n v="0"/>
    <s v="Yes"/>
    <s v="Prime Deal"/>
    <n v="5795.07"/>
    <n v="0.90349999999999997"/>
    <n v="272"/>
    <s v="In Stock"/>
  </r>
  <r>
    <s v="AMZ26-00802"/>
    <d v="2026-01-28T00:00:00"/>
    <x v="10"/>
    <s v="Q1"/>
    <n v="2026"/>
    <s v="CUST-4124"/>
    <s v="Ananya Joshi"/>
    <s v="Corporate"/>
    <s v="India"/>
    <s v="Punjab"/>
    <s v="Ludhiana"/>
    <x v="0"/>
    <s v="Amazon App"/>
    <s v="Desktop"/>
    <x v="2"/>
    <s v="Skin Care"/>
    <s v="Face Serum"/>
    <s v="Minimalist"/>
    <s v="BEA-SKI-68590"/>
    <s v="FBA"/>
    <x v="2"/>
    <x v="0"/>
    <n v="2"/>
    <n v="417.52"/>
    <n v="0.1"/>
    <n v="83.5"/>
    <n v="835.04"/>
    <n v="751.54"/>
    <n v="26.17"/>
    <n v="387.86"/>
    <n v="337.51"/>
    <n v="0.4491"/>
    <n v="6"/>
    <s v="Delayed"/>
    <s v="No"/>
    <m/>
    <n v="5"/>
    <n v="0"/>
    <s v="No"/>
    <s v="Prime Deal"/>
    <n v="667.59"/>
    <n v="1.1257999999999999"/>
    <n v="496"/>
    <s v="In Stock"/>
  </r>
  <r>
    <s v="AMZ26-00803"/>
    <d v="2026-08-14T00:00:00"/>
    <x v="4"/>
    <s v="Q3"/>
    <n v="2026"/>
    <s v="CUST-2363"/>
    <s v="Aarav Shetty"/>
    <s v="Small Business"/>
    <s v="India"/>
    <s v="Punjab"/>
    <s v="Ludhiana"/>
    <x v="0"/>
    <s v="Amazon Website"/>
    <s v="Android"/>
    <x v="0"/>
    <s v="Men Clothing"/>
    <s v="Cotton Shirt"/>
    <s v="Allen Solly"/>
    <s v="FAS-MEN-50595"/>
    <s v="FBM"/>
    <x v="1"/>
    <x v="1"/>
    <n v="1"/>
    <n v="3992"/>
    <n v="0.05"/>
    <n v="199.6"/>
    <n v="3992"/>
    <n v="3792.4"/>
    <n v="250"/>
    <n v="1860.49"/>
    <n v="1681.91"/>
    <n v="0.44350000000000001"/>
    <n v="0"/>
    <s v="Not Applicable"/>
    <s v="No"/>
    <m/>
    <m/>
    <n v="0"/>
    <s v="Yes"/>
    <s v="Festival Sale"/>
    <n v="3725.37"/>
    <n v="1.018"/>
    <n v="451"/>
    <s v="In Stock"/>
  </r>
  <r>
    <s v="AMZ26-00804"/>
    <d v="2026-08-20T00:00:00"/>
    <x v="4"/>
    <s v="Q3"/>
    <n v="2026"/>
    <s v="CUST-3904"/>
    <s v="Ananya Iyer"/>
    <s v="Corporate"/>
    <s v="India"/>
    <s v="Maharashtra"/>
    <s v="Pune"/>
    <x v="3"/>
    <s v="Amazon Website"/>
    <s v="Android"/>
    <x v="3"/>
    <s v="Beverages"/>
    <s v="Coffee"/>
    <s v="Nescafe"/>
    <s v="GRO-BEV-98783"/>
    <s v="FBA"/>
    <x v="4"/>
    <x v="0"/>
    <n v="3"/>
    <n v="1560.74"/>
    <n v="0.15"/>
    <n v="702.33"/>
    <n v="4682.22"/>
    <n v="3979.89"/>
    <n v="156.02000000000001"/>
    <n v="3028.4"/>
    <n v="795.47"/>
    <n v="0.19989999999999999"/>
    <n v="4"/>
    <s v="On Time"/>
    <s v="No"/>
    <m/>
    <n v="4"/>
    <n v="4"/>
    <s v="No"/>
    <s v="None"/>
    <n v="3553.72"/>
    <n v="1.1198999999999999"/>
    <n v="303"/>
    <s v="In Stock"/>
  </r>
  <r>
    <s v="AMZ26-00805"/>
    <d v="2026-03-02T00:00:00"/>
    <x v="0"/>
    <s v="Q1"/>
    <n v="2026"/>
    <s v="CUST-1532"/>
    <s v="Sai Verma"/>
    <s v="Small Business"/>
    <s v="India"/>
    <s v="Punjab"/>
    <s v="Ludhiana"/>
    <x v="0"/>
    <s v="Amazon App"/>
    <s v="Tablet"/>
    <x v="1"/>
    <s v="Laptops"/>
    <s v="Inspiron Laptop"/>
    <s v="Dell"/>
    <s v="ELE-LAP-80746"/>
    <s v="FBA"/>
    <x v="1"/>
    <x v="0"/>
    <n v="5"/>
    <n v="3228.95"/>
    <n v="0.3"/>
    <n v="4843.43"/>
    <n v="16144.75"/>
    <n v="11301.32"/>
    <n v="147.76"/>
    <n v="8483.7199999999993"/>
    <n v="2669.84"/>
    <n v="0.23619999999999999"/>
    <n v="5"/>
    <s v="Delayed"/>
    <s v="No"/>
    <m/>
    <n v="5"/>
    <n v="1"/>
    <s v="Yes"/>
    <s v="Bank Offer"/>
    <n v="13137.2"/>
    <n v="0.86029999999999995"/>
    <n v="55"/>
    <s v="In Stock"/>
  </r>
  <r>
    <s v="AMZ26-00806"/>
    <d v="2026-04-15T00:00:00"/>
    <x v="9"/>
    <s v="Q2"/>
    <n v="2026"/>
    <s v="CUST-4119"/>
    <s v="Nikhil Shetty"/>
    <s v="Consumer"/>
    <s v="India"/>
    <s v="Kerala"/>
    <s v="Kochi"/>
    <x v="1"/>
    <s v="Amazon App"/>
    <s v="iOS"/>
    <x v="1"/>
    <s v="Mobiles"/>
    <s v="Redmi Note"/>
    <s v="Xiaomi"/>
    <s v="ELE-MOB-74604"/>
    <s v="FBA"/>
    <x v="5"/>
    <x v="0"/>
    <n v="3"/>
    <n v="26771.42"/>
    <n v="0.3"/>
    <n v="24094.28"/>
    <n v="80314.259999999995"/>
    <n v="56219.98"/>
    <n v="46.58"/>
    <n v="27074.68"/>
    <n v="29098.720000000001"/>
    <n v="0.51759999999999995"/>
    <n v="8"/>
    <s v="Delayed"/>
    <s v="No"/>
    <m/>
    <n v="3"/>
    <n v="3"/>
    <s v="Yes"/>
    <s v="Prime Deal"/>
    <n v="52891.43"/>
    <n v="1.0629"/>
    <n v="82"/>
    <s v="In Stock"/>
  </r>
  <r>
    <s v="AMZ26-00807"/>
    <d v="2026-07-13T00:00:00"/>
    <x v="3"/>
    <s v="Q3"/>
    <n v="2026"/>
    <s v="CUST-2414"/>
    <s v="Aarav Rao"/>
    <s v="Consumer"/>
    <s v="India"/>
    <s v="Punjab"/>
    <s v="Ludhiana"/>
    <x v="0"/>
    <s v="Amazon Website"/>
    <s v="Desktop"/>
    <x v="2"/>
    <s v="Hair Care"/>
    <s v="Hair Mask"/>
    <s v="Tresemme"/>
    <s v="BEA-HAI-19510"/>
    <s v="FBM"/>
    <x v="5"/>
    <x v="0"/>
    <n v="4"/>
    <n v="1417.69"/>
    <n v="0"/>
    <n v="0"/>
    <n v="5670.76"/>
    <n v="5670.76"/>
    <n v="35.92"/>
    <n v="3570.53"/>
    <n v="2064.31"/>
    <n v="0.36399999999999999"/>
    <n v="4"/>
    <s v="On Time"/>
    <s v="No"/>
    <m/>
    <n v="4"/>
    <n v="1"/>
    <s v="No"/>
    <s v="None"/>
    <n v="6335.85"/>
    <n v="0.89500000000000002"/>
    <n v="460"/>
    <s v="In Stock"/>
  </r>
  <r>
    <s v="AMZ26-00808"/>
    <d v="2026-03-24T00:00:00"/>
    <x v="0"/>
    <s v="Q1"/>
    <n v="2026"/>
    <s v="CUST-4448"/>
    <s v="Vivek Das"/>
    <s v="Consumer"/>
    <s v="India"/>
    <s v="West Bengal"/>
    <s v="Kolkata"/>
    <x v="2"/>
    <s v="Amazon Website"/>
    <s v="iOS"/>
    <x v="1"/>
    <s v="Laptops"/>
    <s v="IdeaPad"/>
    <s v="Lenovo"/>
    <s v="ELE-LAP-33693"/>
    <s v="FBM"/>
    <x v="2"/>
    <x v="0"/>
    <n v="3"/>
    <n v="34272.03"/>
    <n v="0.25"/>
    <n v="25704.02"/>
    <n v="102816.09"/>
    <n v="77112.070000000007"/>
    <n v="187.68"/>
    <n v="48637.27"/>
    <n v="28287.119999999999"/>
    <n v="0.36680000000000001"/>
    <n v="1"/>
    <s v="On Time"/>
    <s v="No"/>
    <m/>
    <n v="3"/>
    <n v="0"/>
    <s v="No"/>
    <s v="Lightning Deal"/>
    <n v="89777.43"/>
    <n v="0.8589"/>
    <n v="135"/>
    <s v="In Stock"/>
  </r>
  <r>
    <s v="AMZ26-00809"/>
    <d v="2026-07-27T00:00:00"/>
    <x v="3"/>
    <s v="Q3"/>
    <n v="2026"/>
    <s v="CUST-2562"/>
    <s v="Aarav Rao"/>
    <s v="Small Business"/>
    <s v="India"/>
    <s v="Odisha"/>
    <s v="Bhubaneswar"/>
    <x v="2"/>
    <s v="Amazon Website"/>
    <s v="Desktop"/>
    <x v="4"/>
    <s v="Cookware"/>
    <s v="Cookware Set"/>
    <s v="Pigeon"/>
    <s v="HOM-COO-76618"/>
    <s v="FBM"/>
    <x v="2"/>
    <x v="1"/>
    <n v="2"/>
    <n v="8181.6"/>
    <n v="0.3"/>
    <n v="4908.96"/>
    <n v="16363.2"/>
    <n v="11454.24"/>
    <n v="230.02"/>
    <n v="6121.79"/>
    <n v="5102.43"/>
    <n v="0.44550000000000001"/>
    <n v="0"/>
    <s v="Not Applicable"/>
    <s v="No"/>
    <m/>
    <m/>
    <n v="0"/>
    <s v="Yes"/>
    <s v="Amazon Coupon"/>
    <n v="9894.25"/>
    <n v="1.1577"/>
    <n v="458"/>
    <s v="In Stock"/>
  </r>
  <r>
    <s v="AMZ26-00810"/>
    <d v="2026-03-08T00:00:00"/>
    <x v="0"/>
    <s v="Q1"/>
    <n v="2026"/>
    <s v="CUST-3028"/>
    <s v="Diya Das"/>
    <s v="Small Business"/>
    <s v="India"/>
    <s v="Uttar Pradesh"/>
    <s v="Noida"/>
    <x v="0"/>
    <s v="Amazon App"/>
    <s v="Android"/>
    <x v="2"/>
    <s v="Makeup"/>
    <s v="Kajal"/>
    <s v="Lakme"/>
    <s v="BEA-MAK-76100"/>
    <s v="FBA"/>
    <x v="5"/>
    <x v="0"/>
    <n v="5"/>
    <n v="1714.45"/>
    <n v="0.2"/>
    <n v="1714.45"/>
    <n v="8572.25"/>
    <n v="6857.8"/>
    <n v="158.07"/>
    <n v="4705.1400000000003"/>
    <n v="1994.59"/>
    <n v="0.2908"/>
    <n v="1"/>
    <s v="On Time"/>
    <s v="Yes"/>
    <s v="Changed Mind"/>
    <n v="5"/>
    <n v="2"/>
    <s v="Yes"/>
    <s v="Amazon Coupon"/>
    <n v="7627.88"/>
    <n v="0.89900000000000002"/>
    <n v="231"/>
    <s v="In Stock"/>
  </r>
  <r>
    <s v="AMZ26-00811"/>
    <d v="2026-05-25T00:00:00"/>
    <x v="2"/>
    <s v="Q2"/>
    <n v="2026"/>
    <s v="CUST-1317"/>
    <s v="Kavya Joshi"/>
    <s v="Corporate"/>
    <s v="India"/>
    <s v="Rajasthan"/>
    <s v="Jaipur"/>
    <x v="3"/>
    <s v="Amazon App"/>
    <s v="Tablet"/>
    <x v="1"/>
    <s v="Laptops"/>
    <s v="IdeaPad"/>
    <s v="Lenovo"/>
    <s v="ELE-LAP-55707"/>
    <s v="FBM"/>
    <x v="3"/>
    <x v="0"/>
    <n v="3"/>
    <n v="6882.3"/>
    <n v="0"/>
    <n v="0"/>
    <n v="20646.900000000001"/>
    <n v="20646.900000000001"/>
    <n v="2.72"/>
    <n v="14141.3"/>
    <n v="6502.88"/>
    <n v="0.315"/>
    <n v="6"/>
    <s v="Delayed"/>
    <s v="No"/>
    <m/>
    <n v="5"/>
    <n v="1"/>
    <s v="No"/>
    <s v="Prime Deal"/>
    <n v="18551.759999999998"/>
    <n v="1.1129"/>
    <n v="463"/>
    <s v="In Stock"/>
  </r>
  <r>
    <s v="AMZ26-00812"/>
    <d v="2026-03-24T00:00:00"/>
    <x v="0"/>
    <s v="Q1"/>
    <n v="2026"/>
    <s v="CUST-1156"/>
    <s v="Meera Singh"/>
    <s v="Small Business"/>
    <s v="India"/>
    <s v="Tamil Nadu"/>
    <s v="Chennai"/>
    <x v="1"/>
    <s v="Amazon App"/>
    <s v="iOS"/>
    <x v="2"/>
    <s v="Makeup"/>
    <s v="Foundation"/>
    <s v="Lakme"/>
    <s v="BEA-MAK-99566"/>
    <s v="FBM"/>
    <x v="2"/>
    <x v="0"/>
    <n v="3"/>
    <n v="2282.46"/>
    <n v="0.2"/>
    <n v="1369.48"/>
    <n v="6847.38"/>
    <n v="5477.9"/>
    <n v="57.05"/>
    <n v="3632.15"/>
    <n v="1788.7"/>
    <n v="0.32650000000000001"/>
    <n v="5"/>
    <s v="Delayed"/>
    <s v="No"/>
    <m/>
    <n v="4"/>
    <n v="2"/>
    <s v="Yes"/>
    <s v="Bank Offer"/>
    <n v="5887.8"/>
    <n v="0.9304"/>
    <n v="309"/>
    <s v="In Stock"/>
  </r>
  <r>
    <s v="AMZ26-00813"/>
    <d v="2026-02-16T00:00:00"/>
    <x v="7"/>
    <s v="Q1"/>
    <n v="2026"/>
    <s v="CUST-4293"/>
    <s v="Aarav Singh"/>
    <s v="Consumer"/>
    <s v="India"/>
    <s v="West Bengal"/>
    <s v="Kolkata"/>
    <x v="2"/>
    <s v="Amazon Website"/>
    <s v="Android"/>
    <x v="3"/>
    <s v="Snacks"/>
    <s v="Mixed Nuts"/>
    <s v="Happilo"/>
    <s v="GRO-SNA-53923"/>
    <s v="FBA"/>
    <x v="0"/>
    <x v="0"/>
    <n v="5"/>
    <n v="615.54"/>
    <n v="0.05"/>
    <n v="153.88"/>
    <n v="3077.7"/>
    <n v="2923.82"/>
    <n v="216.47"/>
    <n v="1575.31"/>
    <n v="1132.04"/>
    <n v="0.38719999999999999"/>
    <n v="3"/>
    <s v="On Time"/>
    <s v="Yes"/>
    <s v="Changed Mind"/>
    <n v="5"/>
    <n v="0"/>
    <s v="Yes"/>
    <s v="Lightning Deal"/>
    <n v="2571.71"/>
    <n v="1.1369"/>
    <n v="246"/>
    <s v="In Stock"/>
  </r>
  <r>
    <s v="AMZ26-00814"/>
    <d v="2026-04-28T00:00:00"/>
    <x v="9"/>
    <s v="Q2"/>
    <n v="2026"/>
    <s v="CUST-3630"/>
    <s v="Rahul Nair"/>
    <s v="Small Business"/>
    <s v="India"/>
    <s v="Haryana"/>
    <s v="Gurugram"/>
    <x v="0"/>
    <s v="Amazon App"/>
    <s v="Tablet"/>
    <x v="1"/>
    <s v="Mobiles"/>
    <s v="Galaxy A Series"/>
    <s v="Samsung"/>
    <s v="ELE-MOB-62317"/>
    <s v="FBA"/>
    <x v="4"/>
    <x v="0"/>
    <n v="4"/>
    <n v="21902.19"/>
    <n v="0"/>
    <n v="0"/>
    <n v="87608.76"/>
    <n v="87608.76"/>
    <n v="114.46"/>
    <n v="49824.06"/>
    <n v="37670.239999999998"/>
    <n v="0.43"/>
    <n v="6"/>
    <s v="Delayed"/>
    <s v="No"/>
    <m/>
    <n v="3"/>
    <n v="4"/>
    <s v="No"/>
    <s v="Amazon Coupon"/>
    <n v="85389.55"/>
    <n v="1.026"/>
    <n v="182"/>
    <s v="In Stock"/>
  </r>
  <r>
    <s v="AMZ26-00815"/>
    <d v="2026-05-24T00:00:00"/>
    <x v="2"/>
    <s v="Q2"/>
    <n v="2026"/>
    <s v="CUST-3879"/>
    <s v="Rahul Kumar"/>
    <s v="Consumer"/>
    <s v="India"/>
    <s v="Haryana"/>
    <s v="Gurugram"/>
    <x v="0"/>
    <s v="Amazon App"/>
    <s v="iOS"/>
    <x v="3"/>
    <s v="Snacks"/>
    <s v="Mixed Nuts"/>
    <s v="Happilo"/>
    <s v="GRO-SNA-64548"/>
    <s v="FBA"/>
    <x v="4"/>
    <x v="2"/>
    <n v="3"/>
    <n v="1762.68"/>
    <n v="0.2"/>
    <n v="1057.6099999999999"/>
    <n v="5288.04"/>
    <n v="4230.43"/>
    <n v="38.619999999999997"/>
    <n v="3196.58"/>
    <n v="995.23"/>
    <n v="0.23530000000000001"/>
    <n v="1"/>
    <s v="In Transit"/>
    <s v="No"/>
    <m/>
    <m/>
    <n v="0"/>
    <s v="Yes"/>
    <s v="Prime Deal"/>
    <n v="5108.83"/>
    <n v="0.82809999999999995"/>
    <n v="338"/>
    <s v="In Stock"/>
  </r>
  <r>
    <s v="AMZ26-00816"/>
    <d v="2026-01-02T00:00:00"/>
    <x v="10"/>
    <s v="Q1"/>
    <n v="2026"/>
    <s v="CUST-4353"/>
    <s v="Rohan Joshi"/>
    <s v="Corporate"/>
    <s v="India"/>
    <s v="Bihar"/>
    <s v="Patna"/>
    <x v="2"/>
    <s v="Amazon Website"/>
    <s v="Android"/>
    <x v="1"/>
    <s v="Mobiles"/>
    <s v="Galaxy A Series"/>
    <s v="Samsung"/>
    <s v="ELE-MOB-83455"/>
    <s v="FBM"/>
    <x v="2"/>
    <x v="1"/>
    <n v="5"/>
    <n v="45369.279999999999"/>
    <n v="0"/>
    <n v="0"/>
    <n v="226846.4"/>
    <n v="226846.4"/>
    <n v="3.15"/>
    <n v="129774.39"/>
    <n v="97068.86"/>
    <n v="0.4279"/>
    <n v="0"/>
    <s v="Not Applicable"/>
    <s v="No"/>
    <m/>
    <m/>
    <n v="0"/>
    <s v="Yes"/>
    <s v="Festival Sale"/>
    <n v="268622.63"/>
    <n v="0.84450000000000003"/>
    <n v="480"/>
    <s v="In Stock"/>
  </r>
  <r>
    <s v="AMZ26-00817"/>
    <d v="2026-02-08T00:00:00"/>
    <x v="7"/>
    <s v="Q1"/>
    <n v="2026"/>
    <s v="CUST-2750"/>
    <s v="Aarav Shetty"/>
    <s v="Corporate"/>
    <s v="India"/>
    <s v="Delhi"/>
    <s v="New Delhi"/>
    <x v="0"/>
    <s v="Amazon App"/>
    <s v="Desktop"/>
    <x v="1"/>
    <s v="Mobiles"/>
    <s v="Nord CE"/>
    <s v="OnePlus"/>
    <s v="ELE-MOB-14212"/>
    <s v="FBM"/>
    <x v="0"/>
    <x v="2"/>
    <n v="4"/>
    <n v="18577.939999999999"/>
    <n v="0.1"/>
    <n v="7431.18"/>
    <n v="74311.759999999995"/>
    <n v="66880.58"/>
    <n v="233.5"/>
    <n v="41904.89"/>
    <n v="24742.19"/>
    <n v="0.36990000000000001"/>
    <n v="8"/>
    <s v="In Transit"/>
    <s v="No"/>
    <m/>
    <m/>
    <n v="0"/>
    <s v="Yes"/>
    <s v="Amazon Coupon"/>
    <n v="58074.720000000001"/>
    <n v="1.1516"/>
    <n v="173"/>
    <s v="In Stock"/>
  </r>
  <r>
    <s v="AMZ26-00818"/>
    <d v="2026-09-11T00:00:00"/>
    <x v="1"/>
    <s v="Q3"/>
    <n v="2026"/>
    <s v="CUST-2937"/>
    <s v="Nikhil Patel"/>
    <s v="Small Business"/>
    <s v="India"/>
    <s v="Uttar Pradesh"/>
    <s v="Noida"/>
    <x v="0"/>
    <s v="Amazon App"/>
    <s v="Desktop"/>
    <x v="3"/>
    <s v="Beverages"/>
    <s v="Coffee"/>
    <s v="Nescafe"/>
    <s v="GRO-BEV-26728"/>
    <s v="FBA"/>
    <x v="3"/>
    <x v="2"/>
    <n v="3"/>
    <n v="147.68"/>
    <n v="0.1"/>
    <n v="44.3"/>
    <n v="443.04"/>
    <n v="398.74"/>
    <n v="109.08"/>
    <n v="198.5"/>
    <n v="91.16"/>
    <n v="0.2286"/>
    <n v="8"/>
    <s v="In Transit"/>
    <s v="No"/>
    <m/>
    <m/>
    <n v="0"/>
    <s v="No"/>
    <s v="None"/>
    <n v="341.21"/>
    <n v="1.1686000000000001"/>
    <n v="399"/>
    <s v="In Stock"/>
  </r>
  <r>
    <s v="AMZ26-00819"/>
    <d v="2026-10-28T00:00:00"/>
    <x v="8"/>
    <s v="Q4"/>
    <n v="2026"/>
    <s v="CUST-4015"/>
    <s v="Nikhil Verma"/>
    <s v="Consumer"/>
    <s v="India"/>
    <s v="Assam"/>
    <s v="Guwahati"/>
    <x v="2"/>
    <s v="Amazon App"/>
    <s v="Desktop"/>
    <x v="4"/>
    <s v="Cookware"/>
    <s v="Cookware Set"/>
    <s v="Pigeon"/>
    <s v="HOM-COO-98272"/>
    <s v="FBM"/>
    <x v="1"/>
    <x v="0"/>
    <n v="1"/>
    <n v="252.57"/>
    <n v="0.3"/>
    <n v="75.77"/>
    <n v="252.57"/>
    <n v="176.8"/>
    <n v="223.04"/>
    <n v="117.51"/>
    <n v="-163.75"/>
    <n v="-0.92620000000000002"/>
    <n v="1"/>
    <s v="On Time"/>
    <s v="No"/>
    <m/>
    <n v="5"/>
    <n v="3"/>
    <s v="Yes"/>
    <s v="Festival Sale"/>
    <n v="174.26"/>
    <n v="1.0145999999999999"/>
    <n v="455"/>
    <s v="In Stock"/>
  </r>
  <r>
    <s v="AMZ26-00820"/>
    <d v="2026-12-22T00:00:00"/>
    <x v="11"/>
    <s v="Q4"/>
    <n v="2026"/>
    <s v="CUST-3698"/>
    <s v="Meera Sharma"/>
    <s v="Small Business"/>
    <s v="India"/>
    <s v="West Bengal"/>
    <s v="Kolkata"/>
    <x v="2"/>
    <s v="Amazon Website"/>
    <s v="Android"/>
    <x v="1"/>
    <s v="Laptops"/>
    <s v="IdeaPad"/>
    <s v="Lenovo"/>
    <s v="ELE-LAP-35776"/>
    <s v="FBA"/>
    <x v="0"/>
    <x v="0"/>
    <n v="1"/>
    <n v="728.4"/>
    <n v="0.2"/>
    <n v="145.68"/>
    <n v="728.4"/>
    <n v="582.72"/>
    <n v="0.52"/>
    <n v="433.02"/>
    <n v="149.18"/>
    <n v="0.25600000000000001"/>
    <n v="7"/>
    <s v="Delayed"/>
    <s v="No"/>
    <m/>
    <n v="5"/>
    <n v="4"/>
    <s v="No"/>
    <s v="Festival Sale"/>
    <n v="528.78"/>
    <n v="1.1020000000000001"/>
    <n v="241"/>
    <s v="In Stock"/>
  </r>
  <r>
    <s v="AMZ26-00821"/>
    <d v="2026-01-29T00:00:00"/>
    <x v="10"/>
    <s v="Q1"/>
    <n v="2026"/>
    <s v="CUST-3656"/>
    <s v="Sai Gupta"/>
    <s v="Consumer"/>
    <s v="India"/>
    <s v="Karnataka"/>
    <s v="Bengaluru"/>
    <x v="1"/>
    <s v="Amazon Website"/>
    <s v="Tablet"/>
    <x v="2"/>
    <s v="Hair Care"/>
    <s v="Shampoo"/>
    <s v="Dove"/>
    <s v="BEA-HAI-69111"/>
    <s v="FBM"/>
    <x v="1"/>
    <x v="2"/>
    <n v="1"/>
    <n v="1718.4"/>
    <n v="0.1"/>
    <n v="171.84"/>
    <n v="1718.4"/>
    <n v="1546.56"/>
    <n v="68.849999999999994"/>
    <n v="930.68"/>
    <n v="547.03"/>
    <n v="0.35370000000000001"/>
    <n v="6"/>
    <s v="In Transit"/>
    <s v="No"/>
    <m/>
    <m/>
    <n v="0"/>
    <s v="Yes"/>
    <s v="None"/>
    <n v="1700.02"/>
    <n v="0.90969999999999995"/>
    <n v="90"/>
    <s v="In Stock"/>
  </r>
  <r>
    <s v="AMZ26-00822"/>
    <d v="2026-09-06T00:00:00"/>
    <x v="1"/>
    <s v="Q3"/>
    <n v="2026"/>
    <s v="CUST-2778"/>
    <s v="Vivek Yadav"/>
    <s v="Corporate"/>
    <s v="India"/>
    <s v="Karnataka"/>
    <s v="Mysuru"/>
    <x v="1"/>
    <s v="Amazon App"/>
    <s v="Tablet"/>
    <x v="4"/>
    <s v="Cookware"/>
    <s v="Cookware Set"/>
    <s v="Pigeon"/>
    <s v="HOM-COO-40314"/>
    <s v="FBM"/>
    <x v="3"/>
    <x v="0"/>
    <n v="3"/>
    <n v="8033.25"/>
    <n v="0"/>
    <n v="0"/>
    <n v="24099.75"/>
    <n v="24099.75"/>
    <n v="83.67"/>
    <n v="15853.06"/>
    <n v="8163.02"/>
    <n v="0.3387"/>
    <n v="7"/>
    <s v="Delayed"/>
    <s v="No"/>
    <m/>
    <n v="3"/>
    <n v="0"/>
    <s v="No"/>
    <s v="None"/>
    <n v="20863.5"/>
    <n v="1.1551"/>
    <n v="427"/>
    <s v="In Stock"/>
  </r>
  <r>
    <s v="AMZ26-00823"/>
    <d v="2026-07-07T00:00:00"/>
    <x v="3"/>
    <s v="Q3"/>
    <n v="2026"/>
    <s v="CUST-1047"/>
    <s v="Nikhil Reddy"/>
    <s v="Small Business"/>
    <s v="India"/>
    <s v="Karnataka"/>
    <s v="Bengaluru"/>
    <x v="1"/>
    <s v="Amazon Website"/>
    <s v="Tablet"/>
    <x v="3"/>
    <s v="Beverages"/>
    <s v="Fruit Juice"/>
    <s v="Real"/>
    <s v="GRO-BEV-96636"/>
    <s v="FBM"/>
    <x v="4"/>
    <x v="2"/>
    <n v="3"/>
    <n v="188.13"/>
    <n v="0"/>
    <n v="0"/>
    <n v="564.39"/>
    <n v="564.39"/>
    <n v="64.64"/>
    <n v="355.21"/>
    <n v="144.54"/>
    <n v="0.25609999999999999"/>
    <n v="1"/>
    <s v="In Transit"/>
    <s v="No"/>
    <m/>
    <m/>
    <n v="0"/>
    <s v="No"/>
    <s v="Prime Deal"/>
    <n v="610.30999999999995"/>
    <n v="0.92479999999999996"/>
    <n v="17"/>
    <s v="Low Stock"/>
  </r>
  <r>
    <s v="AMZ26-00824"/>
    <d v="2026-06-30T00:00:00"/>
    <x v="5"/>
    <s v="Q2"/>
    <n v="2026"/>
    <s v="CUST-1913"/>
    <s v="Sai Verma"/>
    <s v="Small Business"/>
    <s v="India"/>
    <s v="Bihar"/>
    <s v="Patna"/>
    <x v="2"/>
    <s v="Amazon App"/>
    <s v="Tablet"/>
    <x v="3"/>
    <s v="Staples"/>
    <s v="Cooking Oil"/>
    <s v="Fortune"/>
    <s v="GRO-STA-24872"/>
    <s v="FBA"/>
    <x v="4"/>
    <x v="1"/>
    <n v="1"/>
    <n v="276.81"/>
    <n v="0.15"/>
    <n v="41.52"/>
    <n v="276.81"/>
    <n v="235.29"/>
    <n v="236.87"/>
    <n v="148.56"/>
    <n v="-150.13999999999999"/>
    <n v="-0.6381"/>
    <n v="0"/>
    <s v="Not Applicable"/>
    <s v="No"/>
    <m/>
    <m/>
    <n v="0"/>
    <s v="Yes"/>
    <s v="Amazon Coupon"/>
    <n v="243.5"/>
    <n v="0.96630000000000005"/>
    <n v="414"/>
    <s v="In Stock"/>
  </r>
  <r>
    <s v="AMZ26-00825"/>
    <d v="2026-03-24T00:00:00"/>
    <x v="0"/>
    <s v="Q1"/>
    <n v="2026"/>
    <s v="CUST-3184"/>
    <s v="Ananya Singh"/>
    <s v="Corporate"/>
    <s v="India"/>
    <s v="West Bengal"/>
    <s v="Kolkata"/>
    <x v="2"/>
    <s v="Amazon App"/>
    <s v="Desktop"/>
    <x v="2"/>
    <s v="Skin Care"/>
    <s v="Moisturizer"/>
    <s v="Cetaphil"/>
    <s v="BEA-SKI-10478"/>
    <s v="FBM"/>
    <x v="3"/>
    <x v="2"/>
    <n v="4"/>
    <n v="1037.52"/>
    <n v="0.3"/>
    <n v="1245.02"/>
    <n v="4150.08"/>
    <n v="2905.06"/>
    <n v="112.2"/>
    <n v="2183.85"/>
    <n v="609.01"/>
    <n v="0.20960000000000001"/>
    <n v="8"/>
    <s v="In Transit"/>
    <s v="No"/>
    <m/>
    <m/>
    <n v="0"/>
    <s v="Yes"/>
    <s v="Bank Offer"/>
    <n v="3192.27"/>
    <n v="0.91"/>
    <n v="393"/>
    <s v="In Stock"/>
  </r>
  <r>
    <s v="AMZ26-00826"/>
    <d v="2026-07-31T00:00:00"/>
    <x v="3"/>
    <s v="Q3"/>
    <n v="2026"/>
    <s v="CUST-3690"/>
    <s v="Isha Nair"/>
    <s v="Consumer"/>
    <s v="India"/>
    <s v="Odisha"/>
    <s v="Bhubaneswar"/>
    <x v="2"/>
    <s v="Amazon App"/>
    <s v="Android"/>
    <x v="1"/>
    <s v="Accessories"/>
    <s v="Bluetooth Speaker"/>
    <s v="boAt"/>
    <s v="ELE-ACC-91143"/>
    <s v="FBM"/>
    <x v="4"/>
    <x v="2"/>
    <n v="5"/>
    <n v="4376.43"/>
    <n v="0"/>
    <n v="0"/>
    <n v="21882.15"/>
    <n v="21882.15"/>
    <n v="61.02"/>
    <n v="14897.83"/>
    <n v="6923.3"/>
    <n v="0.31640000000000001"/>
    <n v="4"/>
    <s v="In Transit"/>
    <s v="No"/>
    <m/>
    <m/>
    <n v="0"/>
    <s v="Yes"/>
    <s v="Prime Deal"/>
    <n v="21247.279999999999"/>
    <n v="1.0299"/>
    <n v="11"/>
    <s v="Low Stock"/>
  </r>
  <r>
    <s v="AMZ26-00827"/>
    <d v="2026-08-12T00:00:00"/>
    <x v="4"/>
    <s v="Q3"/>
    <n v="2026"/>
    <s v="CUST-4930"/>
    <s v="Kiran Yadav"/>
    <s v="Consumer"/>
    <s v="India"/>
    <s v="Maharashtra"/>
    <s v="Mumbai"/>
    <x v="3"/>
    <s v="Amazon Website"/>
    <s v="Tablet"/>
    <x v="2"/>
    <s v="Skin Care"/>
    <s v="Sunscreen"/>
    <s v="Neutrogena"/>
    <s v="BEA-SKI-32320"/>
    <s v="FBA"/>
    <x v="5"/>
    <x v="2"/>
    <n v="4"/>
    <n v="2425.5500000000002"/>
    <n v="0.15"/>
    <n v="1455.33"/>
    <n v="9702.2000000000007"/>
    <n v="8246.8700000000008"/>
    <n v="136.22999999999999"/>
    <n v="5572.83"/>
    <n v="2537.81"/>
    <n v="0.30769999999999997"/>
    <n v="6"/>
    <s v="In Transit"/>
    <s v="No"/>
    <m/>
    <m/>
    <n v="0"/>
    <s v="Yes"/>
    <s v="Prime Deal"/>
    <n v="9237.7800000000007"/>
    <n v="0.89270000000000005"/>
    <n v="158"/>
    <s v="In Stock"/>
  </r>
  <r>
    <s v="AMZ26-00828"/>
    <d v="2026-06-16T00:00:00"/>
    <x v="5"/>
    <s v="Q2"/>
    <n v="2026"/>
    <s v="CUST-4389"/>
    <s v="Arjun Gupta"/>
    <s v="Corporate"/>
    <s v="India"/>
    <s v="Punjab"/>
    <s v="Ludhiana"/>
    <x v="0"/>
    <s v="Amazon App"/>
    <s v="Tablet"/>
    <x v="3"/>
    <s v="Snacks"/>
    <s v="Cookies"/>
    <s v="Britannia"/>
    <s v="GRO-SNA-31493"/>
    <s v="FBA"/>
    <x v="0"/>
    <x v="1"/>
    <n v="2"/>
    <n v="451.55"/>
    <n v="0.3"/>
    <n v="270.93"/>
    <n v="903.1"/>
    <n v="632.16999999999996"/>
    <n v="125.65"/>
    <n v="480.77"/>
    <n v="25.75"/>
    <n v="4.07E-2"/>
    <n v="0"/>
    <s v="Not Applicable"/>
    <s v="No"/>
    <m/>
    <m/>
    <n v="0"/>
    <s v="No"/>
    <s v="Bank Offer"/>
    <n v="642.83000000000004"/>
    <n v="0.98340000000000005"/>
    <n v="315"/>
    <s v="In Stock"/>
  </r>
  <r>
    <s v="AMZ26-00829"/>
    <d v="2026-06-24T00:00:00"/>
    <x v="5"/>
    <s v="Q2"/>
    <n v="2026"/>
    <s v="CUST-1231"/>
    <s v="Ananya Joshi"/>
    <s v="Small Business"/>
    <s v="India"/>
    <s v="Odisha"/>
    <s v="Bhubaneswar"/>
    <x v="2"/>
    <s v="Amazon App"/>
    <s v="Tablet"/>
    <x v="0"/>
    <s v="Women Clothing"/>
    <s v="Denim Jeans"/>
    <s v="Levi's"/>
    <s v="FAS-WOM-38249"/>
    <s v="FBA"/>
    <x v="5"/>
    <x v="2"/>
    <n v="2"/>
    <n v="2244.27"/>
    <n v="0.15"/>
    <n v="673.28"/>
    <n v="4488.54"/>
    <n v="3815.26"/>
    <n v="112.1"/>
    <n v="2264.8200000000002"/>
    <n v="1438.34"/>
    <n v="0.377"/>
    <n v="2"/>
    <s v="In Transit"/>
    <s v="No"/>
    <m/>
    <m/>
    <n v="0"/>
    <s v="Yes"/>
    <s v="Lightning Deal"/>
    <n v="3700.69"/>
    <n v="1.0309999999999999"/>
    <n v="434"/>
    <s v="In Stock"/>
  </r>
  <r>
    <s v="AMZ26-00830"/>
    <d v="2026-12-01T00:00:00"/>
    <x v="11"/>
    <s v="Q4"/>
    <n v="2026"/>
    <s v="CUST-4605"/>
    <s v="Kavya Patel"/>
    <s v="Consumer"/>
    <s v="India"/>
    <s v="Telangana"/>
    <s v="Hyderabad"/>
    <x v="1"/>
    <s v="Amazon App"/>
    <s v="Android"/>
    <x v="3"/>
    <s v="Beverages"/>
    <s v="Coffee"/>
    <s v="Nescafe"/>
    <s v="GRO-BEV-10890"/>
    <s v="FBM"/>
    <x v="4"/>
    <x v="0"/>
    <n v="3"/>
    <n v="1346.91"/>
    <n v="0.25"/>
    <n v="1010.18"/>
    <n v="4040.73"/>
    <n v="3030.55"/>
    <n v="208.01"/>
    <n v="1946.68"/>
    <n v="875.86"/>
    <n v="0.28899999999999998"/>
    <n v="5"/>
    <s v="Delayed"/>
    <s v="No"/>
    <m/>
    <n v="4"/>
    <n v="2"/>
    <s v="No"/>
    <s v="Bank Offer"/>
    <n v="2668.17"/>
    <n v="1.1357999999999999"/>
    <n v="379"/>
    <s v="In Stock"/>
  </r>
  <r>
    <s v="AMZ26-00831"/>
    <d v="2026-06-17T00:00:00"/>
    <x v="5"/>
    <s v="Q2"/>
    <n v="2026"/>
    <s v="CUST-4933"/>
    <s v="Ananya Jain"/>
    <s v="Corporate"/>
    <s v="India"/>
    <s v="Rajasthan"/>
    <s v="Jaipur"/>
    <x v="3"/>
    <s v="Amazon Website"/>
    <s v="Android"/>
    <x v="4"/>
    <s v="Cookware"/>
    <s v="Pressure Cooker"/>
    <s v="Hawkins"/>
    <s v="HOM-COO-78403"/>
    <s v="FBA"/>
    <x v="2"/>
    <x v="0"/>
    <n v="5"/>
    <n v="6455.26"/>
    <n v="0"/>
    <n v="0"/>
    <n v="32276.3"/>
    <n v="32276.3"/>
    <n v="145.09"/>
    <n v="21086.17"/>
    <n v="11045.04"/>
    <n v="0.3422"/>
    <n v="2"/>
    <s v="On Time"/>
    <s v="No"/>
    <m/>
    <n v="3"/>
    <n v="2"/>
    <s v="Yes"/>
    <s v="None"/>
    <n v="28974.19"/>
    <n v="1.1140000000000001"/>
    <n v="83"/>
    <s v="In Stock"/>
  </r>
  <r>
    <s v="AMZ26-00832"/>
    <d v="2026-11-13T00:00:00"/>
    <x v="6"/>
    <s v="Q4"/>
    <n v="2026"/>
    <s v="CUST-1761"/>
    <s v="Arjun Joshi"/>
    <s v="Small Business"/>
    <s v="India"/>
    <s v="Bihar"/>
    <s v="Patna"/>
    <x v="2"/>
    <s v="Amazon App"/>
    <s v="iOS"/>
    <x v="1"/>
    <s v="Accessories"/>
    <s v="Bluetooth Speaker"/>
    <s v="boAt"/>
    <s v="ELE-ACC-30812"/>
    <s v="FBA"/>
    <x v="2"/>
    <x v="2"/>
    <n v="2"/>
    <n v="3236.13"/>
    <n v="0.1"/>
    <n v="647.23"/>
    <n v="6472.26"/>
    <n v="5825.03"/>
    <n v="130.6"/>
    <n v="3396.08"/>
    <n v="2298.35"/>
    <n v="0.39460000000000001"/>
    <n v="8"/>
    <s v="In Transit"/>
    <s v="No"/>
    <m/>
    <m/>
    <n v="0"/>
    <s v="No"/>
    <s v="Lightning Deal"/>
    <n v="6071.74"/>
    <n v="0.95940000000000003"/>
    <n v="195"/>
    <s v="In Stock"/>
  </r>
  <r>
    <s v="AMZ26-00833"/>
    <d v="2026-12-28T00:00:00"/>
    <x v="11"/>
    <s v="Q4"/>
    <n v="2026"/>
    <s v="CUST-4266"/>
    <s v="Aditya Das"/>
    <s v="Small Business"/>
    <s v="India"/>
    <s v="Telangana"/>
    <s v="Hyderabad"/>
    <x v="1"/>
    <s v="Amazon App"/>
    <s v="Tablet"/>
    <x v="4"/>
    <s v="Home Decor"/>
    <s v="Curtain Set"/>
    <s v="Home Centre"/>
    <s v="HOM-HOM-13378"/>
    <s v="FBM"/>
    <x v="4"/>
    <x v="0"/>
    <n v="5"/>
    <n v="10324.18"/>
    <n v="0"/>
    <n v="0"/>
    <n v="51620.9"/>
    <n v="51620.9"/>
    <n v="236.77"/>
    <n v="34832.81"/>
    <n v="16551.32"/>
    <n v="0.3206"/>
    <n v="4"/>
    <s v="On Time"/>
    <s v="No"/>
    <m/>
    <n v="4"/>
    <n v="3"/>
    <s v="Yes"/>
    <s v="Prime Deal"/>
    <n v="46916.14"/>
    <n v="1.1003000000000001"/>
    <n v="178"/>
    <s v="In Stock"/>
  </r>
  <r>
    <s v="AMZ26-00834"/>
    <d v="2026-03-30T00:00:00"/>
    <x v="0"/>
    <s v="Q1"/>
    <n v="2026"/>
    <s v="CUST-2587"/>
    <s v="Isha Verma"/>
    <s v="Corporate"/>
    <s v="India"/>
    <s v="Karnataka"/>
    <s v="Mysuru"/>
    <x v="1"/>
    <s v="Amazon Website"/>
    <s v="iOS"/>
    <x v="3"/>
    <s v="Snacks"/>
    <s v="Cookies"/>
    <s v="Britannia"/>
    <s v="GRO-SNA-76630"/>
    <s v="FBM"/>
    <x v="4"/>
    <x v="2"/>
    <n v="3"/>
    <n v="589.62"/>
    <n v="0.15"/>
    <n v="265.33"/>
    <n v="1768.86"/>
    <n v="1503.53"/>
    <n v="163.61000000000001"/>
    <n v="816.79"/>
    <n v="523.13"/>
    <n v="0.34789999999999999"/>
    <n v="1"/>
    <s v="In Transit"/>
    <s v="No"/>
    <m/>
    <m/>
    <n v="0"/>
    <s v="Yes"/>
    <s v="Festival Sale"/>
    <n v="1614.96"/>
    <n v="0.93100000000000005"/>
    <n v="264"/>
    <s v="In Stock"/>
  </r>
  <r>
    <s v="AMZ26-00835"/>
    <d v="2026-09-14T00:00:00"/>
    <x v="1"/>
    <s v="Q3"/>
    <n v="2026"/>
    <s v="CUST-1636"/>
    <s v="Diya Das"/>
    <s v="Consumer"/>
    <s v="India"/>
    <s v="Rajasthan"/>
    <s v="Jaipur"/>
    <x v="3"/>
    <s v="Amazon Website"/>
    <s v="Android"/>
    <x v="2"/>
    <s v="Skin Care"/>
    <s v="Face Serum"/>
    <s v="Minimalist"/>
    <s v="BEA-SKI-39678"/>
    <s v="FBA"/>
    <x v="0"/>
    <x v="0"/>
    <n v="2"/>
    <n v="1153.99"/>
    <n v="0.15"/>
    <n v="346.2"/>
    <n v="2307.98"/>
    <n v="1961.78"/>
    <n v="200.75"/>
    <n v="1093.0899999999999"/>
    <n v="667.94"/>
    <n v="0.34050000000000002"/>
    <n v="8"/>
    <s v="Delayed"/>
    <s v="No"/>
    <m/>
    <n v="5"/>
    <n v="3"/>
    <s v="Yes"/>
    <s v="Festival Sale"/>
    <n v="2250.5500000000002"/>
    <n v="0.87170000000000003"/>
    <n v="377"/>
    <s v="In Stock"/>
  </r>
  <r>
    <s v="AMZ26-00836"/>
    <d v="2026-07-27T00:00:00"/>
    <x v="3"/>
    <s v="Q3"/>
    <n v="2026"/>
    <s v="CUST-1199"/>
    <s v="Vihaan Kumar"/>
    <s v="Corporate"/>
    <s v="India"/>
    <s v="Rajasthan"/>
    <s v="Jaipur"/>
    <x v="3"/>
    <s v="Amazon App"/>
    <s v="Tablet"/>
    <x v="0"/>
    <s v="Women Clothing"/>
    <s v="Printed Kurti"/>
    <s v="BIBA"/>
    <s v="FAS-WOM-19517"/>
    <s v="FBM"/>
    <x v="0"/>
    <x v="1"/>
    <n v="4"/>
    <n v="933.45"/>
    <n v="0.3"/>
    <n v="1120.1400000000001"/>
    <n v="3733.8"/>
    <n v="2613.66"/>
    <n v="83.43"/>
    <n v="1983.84"/>
    <n v="546.39"/>
    <n v="0.20910000000000001"/>
    <n v="0"/>
    <s v="Not Applicable"/>
    <s v="No"/>
    <m/>
    <m/>
    <n v="0"/>
    <s v="Yes"/>
    <s v="Prime Deal"/>
    <n v="2478.7199999999998"/>
    <n v="1.0544"/>
    <n v="424"/>
    <s v="In Stock"/>
  </r>
  <r>
    <s v="AMZ26-00837"/>
    <d v="2026-02-27T00:00:00"/>
    <x v="7"/>
    <s v="Q1"/>
    <n v="2026"/>
    <s v="CUST-1158"/>
    <s v="Kavya Gupta"/>
    <s v="Consumer"/>
    <s v="India"/>
    <s v="Rajasthan"/>
    <s v="Jaipur"/>
    <x v="3"/>
    <s v="Amazon App"/>
    <s v="Tablet"/>
    <x v="0"/>
    <s v="Women Clothing"/>
    <s v="Denim Jeans"/>
    <s v="Levi's"/>
    <s v="FAS-WOM-67827"/>
    <s v="FBA"/>
    <x v="2"/>
    <x v="0"/>
    <n v="2"/>
    <n v="4822.8900000000003"/>
    <n v="0"/>
    <n v="0"/>
    <n v="9645.7800000000007"/>
    <n v="9645.7800000000007"/>
    <n v="233.03"/>
    <n v="7327.67"/>
    <n v="2085.08"/>
    <n v="0.2162"/>
    <n v="2"/>
    <s v="On Time"/>
    <s v="No"/>
    <m/>
    <n v="5"/>
    <n v="1"/>
    <s v="No"/>
    <s v="None"/>
    <n v="11691.67"/>
    <n v="0.82499999999999996"/>
    <n v="316"/>
    <s v="In Stock"/>
  </r>
  <r>
    <s v="AMZ26-00838"/>
    <d v="2026-07-18T00:00:00"/>
    <x v="3"/>
    <s v="Q3"/>
    <n v="2026"/>
    <s v="CUST-1339"/>
    <s v="Priya Nair"/>
    <s v="Small Business"/>
    <s v="India"/>
    <s v="Maharashtra"/>
    <s v="Pune"/>
    <x v="3"/>
    <s v="Amazon Website"/>
    <s v="iOS"/>
    <x v="0"/>
    <s v="Women Clothing"/>
    <s v="Casual Top"/>
    <s v="ONLY"/>
    <s v="FAS-WOM-72147"/>
    <s v="FBM"/>
    <x v="2"/>
    <x v="0"/>
    <n v="5"/>
    <n v="3634.1"/>
    <n v="0"/>
    <n v="0"/>
    <n v="18170.5"/>
    <n v="18170.5"/>
    <n v="213.97"/>
    <n v="11196.66"/>
    <n v="6759.87"/>
    <n v="0.372"/>
    <n v="6"/>
    <s v="Delayed"/>
    <s v="No"/>
    <m/>
    <n v="5"/>
    <n v="3"/>
    <s v="Yes"/>
    <s v="None"/>
    <n v="20137.240000000002"/>
    <n v="0.90229999999999999"/>
    <n v="486"/>
    <s v="In Stock"/>
  </r>
  <r>
    <s v="AMZ26-00839"/>
    <d v="2026-08-19T00:00:00"/>
    <x v="4"/>
    <s v="Q3"/>
    <n v="2026"/>
    <s v="CUST-3693"/>
    <s v="Ananya Sharma"/>
    <s v="Small Business"/>
    <s v="India"/>
    <s v="Haryana"/>
    <s v="Gurugram"/>
    <x v="0"/>
    <s v="Amazon Website"/>
    <s v="Desktop"/>
    <x v="4"/>
    <s v="Kitchen Appliances"/>
    <s v="Air Fryer"/>
    <s v="Philips"/>
    <s v="HOM-KIT-29092"/>
    <s v="FBA"/>
    <x v="1"/>
    <x v="0"/>
    <n v="1"/>
    <n v="10174.040000000001"/>
    <n v="0.1"/>
    <n v="1017.4"/>
    <n v="10174.040000000001"/>
    <n v="9156.64"/>
    <n v="126.28"/>
    <n v="4866.4799999999996"/>
    <n v="4163.88"/>
    <n v="0.45469999999999999"/>
    <n v="1"/>
    <s v="On Time"/>
    <s v="No"/>
    <m/>
    <n v="5"/>
    <n v="0"/>
    <s v="Yes"/>
    <s v="Lightning Deal"/>
    <n v="10049.709999999999"/>
    <n v="0.91110000000000002"/>
    <n v="160"/>
    <s v="In Stock"/>
  </r>
  <r>
    <s v="AMZ26-00840"/>
    <d v="2026-09-04T00:00:00"/>
    <x v="1"/>
    <s v="Q3"/>
    <n v="2026"/>
    <s v="CUST-1656"/>
    <s v="Diya Sharma"/>
    <s v="Consumer"/>
    <s v="India"/>
    <s v="Karnataka"/>
    <s v="Bengaluru"/>
    <x v="1"/>
    <s v="Amazon App"/>
    <s v="Android"/>
    <x v="4"/>
    <s v="Kitchen Appliances"/>
    <s v="Mixer Grinder"/>
    <s v="Prestige"/>
    <s v="HOM-KIT-68201"/>
    <s v="FBA"/>
    <x v="1"/>
    <x v="1"/>
    <n v="1"/>
    <n v="1646.47"/>
    <n v="0"/>
    <n v="0"/>
    <n v="1646.47"/>
    <n v="1646.47"/>
    <n v="245.24"/>
    <n v="942.48"/>
    <n v="458.75"/>
    <n v="0.27860000000000001"/>
    <n v="0"/>
    <s v="Not Applicable"/>
    <s v="No"/>
    <m/>
    <m/>
    <n v="0"/>
    <s v="Yes"/>
    <s v="None"/>
    <n v="1660.82"/>
    <n v="0.99139999999999995"/>
    <n v="265"/>
    <s v="In Stock"/>
  </r>
  <r>
    <s v="AMZ26-00841"/>
    <d v="2026-02-24T00:00:00"/>
    <x v="7"/>
    <s v="Q1"/>
    <n v="2026"/>
    <s v="CUST-4105"/>
    <s v="Meera Verma"/>
    <s v="Consumer"/>
    <s v="India"/>
    <s v="Punjab"/>
    <s v="Ludhiana"/>
    <x v="0"/>
    <s v="Amazon Website"/>
    <s v="Desktop"/>
    <x v="4"/>
    <s v="Cookware"/>
    <s v="Cookware Set"/>
    <s v="Pigeon"/>
    <s v="HOM-COO-11751"/>
    <s v="FBA"/>
    <x v="5"/>
    <x v="0"/>
    <n v="5"/>
    <n v="3992.01"/>
    <n v="0.25"/>
    <n v="4990.01"/>
    <n v="19960.05"/>
    <n v="14970.04"/>
    <n v="104.51"/>
    <n v="11026.83"/>
    <n v="3838.7"/>
    <n v="0.25640000000000002"/>
    <n v="7"/>
    <s v="Delayed"/>
    <s v="No"/>
    <m/>
    <n v="5"/>
    <n v="2"/>
    <s v="Yes"/>
    <s v="None"/>
    <n v="13354.2"/>
    <n v="1.121"/>
    <n v="46"/>
    <s v="In Stock"/>
  </r>
  <r>
    <s v="AMZ26-00842"/>
    <d v="2026-08-30T00:00:00"/>
    <x v="4"/>
    <s v="Q3"/>
    <n v="2026"/>
    <s v="CUST-4242"/>
    <s v="Sneha Sharma"/>
    <s v="Small Business"/>
    <s v="India"/>
    <s v="Odisha"/>
    <s v="Bhubaneswar"/>
    <x v="2"/>
    <s v="Amazon Website"/>
    <s v="Desktop"/>
    <x v="0"/>
    <s v="Women Clothing"/>
    <s v="Casual Top"/>
    <s v="ONLY"/>
    <s v="FAS-WOM-33202"/>
    <s v="FBA"/>
    <x v="0"/>
    <x v="0"/>
    <n v="1"/>
    <n v="351.56"/>
    <n v="0.3"/>
    <n v="105.47"/>
    <n v="351.56"/>
    <n v="246.09"/>
    <n v="142.47999999999999"/>
    <n v="191.67"/>
    <n v="-88.06"/>
    <n v="-0.35780000000000001"/>
    <n v="4"/>
    <s v="On Time"/>
    <s v="No"/>
    <m/>
    <n v="4"/>
    <n v="4"/>
    <s v="No"/>
    <s v="Festival Sale"/>
    <n v="216.59"/>
    <n v="1.1362000000000001"/>
    <n v="288"/>
    <s v="In Stock"/>
  </r>
  <r>
    <s v="AMZ26-00843"/>
    <d v="2026-05-09T00:00:00"/>
    <x v="2"/>
    <s v="Q2"/>
    <n v="2026"/>
    <s v="CUST-2462"/>
    <s v="Meera Verma"/>
    <s v="Small Business"/>
    <s v="India"/>
    <s v="Rajasthan"/>
    <s v="Jaipur"/>
    <x v="3"/>
    <s v="Amazon App"/>
    <s v="Tablet"/>
    <x v="0"/>
    <s v="Men Clothing"/>
    <s v="Cotton Shirt"/>
    <s v="Allen Solly"/>
    <s v="FAS-MEN-72419"/>
    <s v="FBM"/>
    <x v="0"/>
    <x v="0"/>
    <n v="4"/>
    <n v="4935.16"/>
    <n v="0"/>
    <n v="0"/>
    <n v="19740.64"/>
    <n v="19740.64"/>
    <n v="42.84"/>
    <n v="13396.65"/>
    <n v="6301.15"/>
    <n v="0.31919999999999998"/>
    <n v="5"/>
    <s v="Delayed"/>
    <s v="No"/>
    <m/>
    <n v="4"/>
    <n v="1"/>
    <s v="Yes"/>
    <s v="Lightning Deal"/>
    <n v="23509.99"/>
    <n v="0.8397"/>
    <n v="11"/>
    <s v="Low Stock"/>
  </r>
  <r>
    <s v="AMZ26-00844"/>
    <d v="2026-12-23T00:00:00"/>
    <x v="11"/>
    <s v="Q4"/>
    <n v="2026"/>
    <s v="CUST-3247"/>
    <s v="Isha Patel"/>
    <s v="Consumer"/>
    <s v="India"/>
    <s v="West Bengal"/>
    <s v="Kolkata"/>
    <x v="2"/>
    <s v="Amazon App"/>
    <s v="Desktop"/>
    <x v="1"/>
    <s v="Mobiles"/>
    <s v="Redmi Note"/>
    <s v="Xiaomi"/>
    <s v="ELE-MOB-30589"/>
    <s v="FBA"/>
    <x v="3"/>
    <x v="0"/>
    <n v="4"/>
    <n v="21641.8"/>
    <n v="0"/>
    <n v="0"/>
    <n v="86567.2"/>
    <n v="86567.2"/>
    <n v="66.61"/>
    <n v="56420.87"/>
    <n v="30079.72"/>
    <n v="0.34749999999999998"/>
    <n v="3"/>
    <s v="On Time"/>
    <s v="No"/>
    <m/>
    <n v="4"/>
    <n v="3"/>
    <s v="Yes"/>
    <s v="Lightning Deal"/>
    <n v="79849.08"/>
    <n v="1.0841000000000001"/>
    <n v="194"/>
    <s v="In Stock"/>
  </r>
  <r>
    <s v="AMZ26-00845"/>
    <d v="2026-01-03T00:00:00"/>
    <x v="10"/>
    <s v="Q1"/>
    <n v="2026"/>
    <s v="CUST-3899"/>
    <s v="Arjun Das"/>
    <s v="Consumer"/>
    <s v="India"/>
    <s v="Gujarat"/>
    <s v="Ahmedabad"/>
    <x v="3"/>
    <s v="Amazon Website"/>
    <s v="Tablet"/>
    <x v="2"/>
    <s v="Makeup"/>
    <s v="Lipstick"/>
    <s v="Maybelline"/>
    <s v="BEA-MAK-90909"/>
    <s v="FBA"/>
    <x v="1"/>
    <x v="2"/>
    <n v="4"/>
    <n v="935.67"/>
    <n v="0"/>
    <n v="0"/>
    <n v="3742.68"/>
    <n v="3742.68"/>
    <n v="242.41"/>
    <n v="2783.76"/>
    <n v="716.51"/>
    <n v="0.19139999999999999"/>
    <n v="1"/>
    <s v="In Transit"/>
    <s v="No"/>
    <m/>
    <m/>
    <n v="0"/>
    <s v="Yes"/>
    <s v="Festival Sale"/>
    <n v="4308.68"/>
    <n v="0.86860000000000004"/>
    <n v="485"/>
    <s v="In Stock"/>
  </r>
  <r>
    <s v="AMZ26-00846"/>
    <d v="2026-08-17T00:00:00"/>
    <x v="4"/>
    <s v="Q3"/>
    <n v="2026"/>
    <s v="CUST-2022"/>
    <s v="Kavya Patel"/>
    <s v="Corporate"/>
    <s v="India"/>
    <s v="Maharashtra"/>
    <s v="Mumbai"/>
    <x v="3"/>
    <s v="Amazon Website"/>
    <s v="iOS"/>
    <x v="2"/>
    <s v="Skin Care"/>
    <s v="Sunscreen"/>
    <s v="Neutrogena"/>
    <s v="BEA-SKI-18975"/>
    <s v="FBM"/>
    <x v="3"/>
    <x v="1"/>
    <n v="1"/>
    <n v="184.09"/>
    <n v="0"/>
    <n v="0"/>
    <n v="184.09"/>
    <n v="184.09"/>
    <n v="133.63999999999999"/>
    <n v="111.4"/>
    <n v="-60.95"/>
    <n v="-0.33110000000000001"/>
    <n v="0"/>
    <s v="Not Applicable"/>
    <s v="No"/>
    <m/>
    <m/>
    <n v="0"/>
    <s v="Yes"/>
    <s v="Festival Sale"/>
    <n v="172.68"/>
    <n v="1.0661"/>
    <n v="145"/>
    <s v="In Stock"/>
  </r>
  <r>
    <s v="AMZ26-00847"/>
    <d v="2026-06-18T00:00:00"/>
    <x v="5"/>
    <s v="Q2"/>
    <n v="2026"/>
    <s v="CUST-3760"/>
    <s v="Sneha Singh"/>
    <s v="Corporate"/>
    <s v="India"/>
    <s v="Punjab"/>
    <s v="Ludhiana"/>
    <x v="0"/>
    <s v="Amazon App"/>
    <s v="Android"/>
    <x v="4"/>
    <s v="Kitchen Appliances"/>
    <s v="Air Fryer"/>
    <s v="Philips"/>
    <s v="HOM-KIT-69779"/>
    <s v="FBM"/>
    <x v="5"/>
    <x v="0"/>
    <n v="4"/>
    <n v="4865.26"/>
    <n v="0"/>
    <n v="0"/>
    <n v="19461.04"/>
    <n v="19461.04"/>
    <n v="204.89"/>
    <n v="10661.58"/>
    <n v="8594.57"/>
    <n v="0.44159999999999999"/>
    <n v="5"/>
    <s v="Delayed"/>
    <s v="No"/>
    <m/>
    <n v="5"/>
    <n v="2"/>
    <s v="No"/>
    <s v="Lightning Deal"/>
    <n v="23379.18"/>
    <n v="0.83240000000000003"/>
    <n v="485"/>
    <s v="In Stock"/>
  </r>
  <r>
    <s v="AMZ26-00848"/>
    <d v="2026-05-02T00:00:00"/>
    <x v="2"/>
    <s v="Q2"/>
    <n v="2026"/>
    <s v="CUST-1988"/>
    <s v="Priya Kumar"/>
    <s v="Small Business"/>
    <s v="India"/>
    <s v="Kerala"/>
    <s v="Kochi"/>
    <x v="1"/>
    <s v="Amazon Website"/>
    <s v="iOS"/>
    <x v="2"/>
    <s v="Hair Care"/>
    <s v="Hair Serum"/>
    <s v="L'Oreal"/>
    <s v="BEA-HAI-91457"/>
    <s v="FBA"/>
    <x v="5"/>
    <x v="1"/>
    <n v="5"/>
    <n v="2304.2600000000002"/>
    <n v="0.25"/>
    <n v="2880.32"/>
    <n v="11521.3"/>
    <n v="8640.98"/>
    <n v="24.34"/>
    <n v="6151.58"/>
    <n v="2465.06"/>
    <n v="0.2853"/>
    <n v="0"/>
    <s v="Not Applicable"/>
    <s v="No"/>
    <m/>
    <m/>
    <n v="0"/>
    <s v="No"/>
    <s v="Prime Deal"/>
    <n v="8614.6"/>
    <n v="1.0031000000000001"/>
    <n v="145"/>
    <s v="In Stock"/>
  </r>
  <r>
    <s v="AMZ26-00849"/>
    <d v="2026-07-01T00:00:00"/>
    <x v="3"/>
    <s v="Q3"/>
    <n v="2026"/>
    <s v="CUST-3362"/>
    <s v="Pooja Singh"/>
    <s v="Corporate"/>
    <s v="India"/>
    <s v="Karnataka"/>
    <s v="Mysuru"/>
    <x v="1"/>
    <s v="Amazon App"/>
    <s v="iOS"/>
    <x v="2"/>
    <s v="Hair Care"/>
    <s v="Hair Serum"/>
    <s v="L'Oreal"/>
    <s v="BEA-HAI-53804"/>
    <s v="FBM"/>
    <x v="5"/>
    <x v="0"/>
    <n v="1"/>
    <n v="500.12"/>
    <n v="0.1"/>
    <n v="50.01"/>
    <n v="500.12"/>
    <n v="450.11"/>
    <n v="10.08"/>
    <n v="306.5"/>
    <n v="133.53"/>
    <n v="0.29670000000000002"/>
    <n v="6"/>
    <s v="Delayed"/>
    <s v="No"/>
    <m/>
    <n v="4"/>
    <n v="2"/>
    <s v="No"/>
    <s v="Lightning Deal"/>
    <n v="413.02"/>
    <n v="1.0898000000000001"/>
    <n v="77"/>
    <s v="In Stock"/>
  </r>
  <r>
    <s v="AMZ26-00850"/>
    <d v="2026-11-02T00:00:00"/>
    <x v="6"/>
    <s v="Q4"/>
    <n v="2026"/>
    <s v="CUST-3011"/>
    <s v="Sneha Nair"/>
    <s v="Small Business"/>
    <s v="India"/>
    <s v="Kerala"/>
    <s v="Kochi"/>
    <x v="1"/>
    <s v="Amazon App"/>
    <s v="Desktop"/>
    <x v="2"/>
    <s v="Makeup"/>
    <s v="Lipstick"/>
    <s v="Maybelline"/>
    <s v="BEA-MAK-33660"/>
    <s v="FBM"/>
    <x v="5"/>
    <x v="0"/>
    <n v="3"/>
    <n v="1367.55"/>
    <n v="0"/>
    <n v="0"/>
    <n v="4102.6499999999996"/>
    <n v="4102.6499999999996"/>
    <n v="139.32"/>
    <n v="2955.92"/>
    <n v="1007.41"/>
    <n v="0.24560000000000001"/>
    <n v="2"/>
    <s v="On Time"/>
    <s v="No"/>
    <m/>
    <n v="4"/>
    <n v="0"/>
    <s v="Yes"/>
    <s v="Festival Sale"/>
    <n v="3642.04"/>
    <n v="1.1265000000000001"/>
    <n v="0"/>
    <s v="Out of Stock"/>
  </r>
  <r>
    <s v="AMZ26-00851"/>
    <d v="2026-12-30T00:00:00"/>
    <x v="11"/>
    <s v="Q4"/>
    <n v="2026"/>
    <s v="CUST-1132"/>
    <s v="Pooja Kumar"/>
    <s v="Small Business"/>
    <s v="India"/>
    <s v="Maharashtra"/>
    <s v="Mumbai"/>
    <x v="3"/>
    <s v="Amazon App"/>
    <s v="Tablet"/>
    <x v="1"/>
    <s v="Accessories"/>
    <s v="Wireless Mouse"/>
    <s v="Logitech"/>
    <s v="ELE-ACC-40598"/>
    <s v="FBM"/>
    <x v="5"/>
    <x v="2"/>
    <n v="3"/>
    <n v="11336.6"/>
    <n v="0.3"/>
    <n v="10202.94"/>
    <n v="34009.800000000003"/>
    <n v="23806.86"/>
    <n v="244.13"/>
    <n v="11592.05"/>
    <n v="11970.68"/>
    <n v="0.50280000000000002"/>
    <n v="3"/>
    <s v="In Transit"/>
    <s v="No"/>
    <m/>
    <m/>
    <n v="0"/>
    <s v="No"/>
    <s v="Lightning Deal"/>
    <n v="26704.12"/>
    <n v="0.89149999999999996"/>
    <n v="104"/>
    <s v="In Stock"/>
  </r>
  <r>
    <s v="AMZ26-00852"/>
    <d v="2026-03-28T00:00:00"/>
    <x v="0"/>
    <s v="Q1"/>
    <n v="2026"/>
    <s v="CUST-4208"/>
    <s v="Meera Joshi"/>
    <s v="Consumer"/>
    <s v="India"/>
    <s v="Maharashtra"/>
    <s v="Mumbai"/>
    <x v="3"/>
    <s v="Amazon Website"/>
    <s v="Desktop"/>
    <x v="2"/>
    <s v="Skin Care"/>
    <s v="Face Serum"/>
    <s v="Minimalist"/>
    <s v="BEA-SKI-81716"/>
    <s v="FBA"/>
    <x v="0"/>
    <x v="0"/>
    <n v="5"/>
    <n v="612.61"/>
    <n v="0.1"/>
    <n v="306.31"/>
    <n v="3063.05"/>
    <n v="2756.74"/>
    <n v="75.12"/>
    <n v="1323.74"/>
    <n v="1357.88"/>
    <n v="0.49259999999999998"/>
    <n v="4"/>
    <s v="On Time"/>
    <s v="No"/>
    <m/>
    <n v="3"/>
    <n v="2"/>
    <s v="Yes"/>
    <s v="Festival Sale"/>
    <n v="2658.26"/>
    <n v="1.0369999999999999"/>
    <n v="492"/>
    <s v="In Stock"/>
  </r>
  <r>
    <s v="AMZ26-00853"/>
    <d v="2026-10-15T00:00:00"/>
    <x v="8"/>
    <s v="Q4"/>
    <n v="2026"/>
    <s v="CUST-1168"/>
    <s v="Ananya Gupta"/>
    <s v="Small Business"/>
    <s v="India"/>
    <s v="Bihar"/>
    <s v="Patna"/>
    <x v="2"/>
    <s v="Amazon App"/>
    <s v="Desktop"/>
    <x v="0"/>
    <s v="Women Clothing"/>
    <s v="Casual Top"/>
    <s v="ONLY"/>
    <s v="FAS-WOM-59692"/>
    <s v="FBM"/>
    <x v="1"/>
    <x v="0"/>
    <n v="5"/>
    <n v="360.85"/>
    <n v="0.15"/>
    <n v="270.64"/>
    <n v="1804.25"/>
    <n v="1533.61"/>
    <n v="217.94"/>
    <n v="890.62"/>
    <n v="425.05"/>
    <n v="0.2772"/>
    <n v="3"/>
    <s v="On Time"/>
    <s v="Yes"/>
    <s v="Changed Mind"/>
    <n v="4"/>
    <n v="4"/>
    <s v="Yes"/>
    <s v="Lightning Deal"/>
    <n v="1750.97"/>
    <n v="0.87590000000000001"/>
    <n v="15"/>
    <s v="Low Stock"/>
  </r>
  <r>
    <s v="AMZ26-00854"/>
    <d v="2026-09-09T00:00:00"/>
    <x v="1"/>
    <s v="Q3"/>
    <n v="2026"/>
    <s v="CUST-1237"/>
    <s v="Diya Das"/>
    <s v="Corporate"/>
    <s v="India"/>
    <s v="West Bengal"/>
    <s v="Kolkata"/>
    <x v="2"/>
    <s v="Amazon Website"/>
    <s v="Android"/>
    <x v="4"/>
    <s v="Kitchen Appliances"/>
    <s v="Electric Kettle"/>
    <s v="Pigeon"/>
    <s v="HOM-KIT-15013"/>
    <s v="FBM"/>
    <x v="5"/>
    <x v="1"/>
    <n v="4"/>
    <n v="3550.85"/>
    <n v="0.1"/>
    <n v="1420.34"/>
    <n v="14203.4"/>
    <n v="12783.06"/>
    <n v="164.24"/>
    <n v="7513.91"/>
    <n v="5104.91"/>
    <n v="0.39929999999999999"/>
    <n v="0"/>
    <s v="Not Applicable"/>
    <s v="No"/>
    <m/>
    <m/>
    <n v="0"/>
    <s v="No"/>
    <s v="None"/>
    <n v="13501.91"/>
    <n v="0.94679999999999997"/>
    <n v="110"/>
    <s v="In Stock"/>
  </r>
  <r>
    <s v="AMZ26-00855"/>
    <d v="2026-07-07T00:00:00"/>
    <x v="3"/>
    <s v="Q3"/>
    <n v="2026"/>
    <s v="CUST-4408"/>
    <s v="Nikhil Shetty"/>
    <s v="Consumer"/>
    <s v="India"/>
    <s v="Maharashtra"/>
    <s v="Pune"/>
    <x v="3"/>
    <s v="Amazon App"/>
    <s v="Android"/>
    <x v="1"/>
    <s v="Laptops"/>
    <s v="Inspiron Laptop"/>
    <s v="Dell"/>
    <s v="ELE-LAP-31702"/>
    <s v="FBM"/>
    <x v="3"/>
    <x v="0"/>
    <n v="1"/>
    <n v="3193.94"/>
    <n v="0.1"/>
    <n v="319.39"/>
    <n v="3193.94"/>
    <n v="2874.55"/>
    <n v="183.15"/>
    <n v="2211.48"/>
    <n v="479.92"/>
    <n v="0.16700000000000001"/>
    <n v="8"/>
    <s v="Delayed"/>
    <s v="No"/>
    <m/>
    <n v="4"/>
    <n v="4"/>
    <s v="Yes"/>
    <s v="Festival Sale"/>
    <n v="2573.2600000000002"/>
    <n v="1.1171"/>
    <n v="292"/>
    <s v="In Stock"/>
  </r>
  <r>
    <s v="AMZ26-00856"/>
    <d v="2026-07-28T00:00:00"/>
    <x v="3"/>
    <s v="Q3"/>
    <n v="2026"/>
    <s v="CUST-2410"/>
    <s v="Kiran Sharma"/>
    <s v="Consumer"/>
    <s v="India"/>
    <s v="Karnataka"/>
    <s v="Mysuru"/>
    <x v="1"/>
    <s v="Amazon App"/>
    <s v="Desktop"/>
    <x v="1"/>
    <s v="Accessories"/>
    <s v="Bluetooth Speaker"/>
    <s v="boAt"/>
    <s v="ELE-ACC-39767"/>
    <s v="FBA"/>
    <x v="2"/>
    <x v="0"/>
    <n v="3"/>
    <n v="10167.86"/>
    <n v="0.25"/>
    <n v="7625.9"/>
    <n v="30503.58"/>
    <n v="22877.68"/>
    <n v="21.98"/>
    <n v="16025.93"/>
    <n v="6829.77"/>
    <n v="0.29849999999999999"/>
    <n v="1"/>
    <s v="On Time"/>
    <s v="No"/>
    <m/>
    <n v="4"/>
    <n v="4"/>
    <s v="No"/>
    <s v="Festival Sale"/>
    <n v="24002.47"/>
    <n v="0.95309999999999995"/>
    <n v="478"/>
    <s v="In Stock"/>
  </r>
  <r>
    <s v="AMZ26-00857"/>
    <d v="2026-09-16T00:00:00"/>
    <x v="1"/>
    <s v="Q3"/>
    <n v="2026"/>
    <s v="CUST-4206"/>
    <s v="Nikhil Iyer"/>
    <s v="Small Business"/>
    <s v="India"/>
    <s v="West Bengal"/>
    <s v="Kolkata"/>
    <x v="2"/>
    <s v="Amazon App"/>
    <s v="Tablet"/>
    <x v="1"/>
    <s v="Accessories"/>
    <s v="Bluetooth Speaker"/>
    <s v="boAt"/>
    <s v="ELE-ACC-94514"/>
    <s v="FBA"/>
    <x v="1"/>
    <x v="0"/>
    <n v="3"/>
    <n v="7193.16"/>
    <n v="0.3"/>
    <n v="6473.84"/>
    <n v="21579.48"/>
    <n v="15105.64"/>
    <n v="114.38"/>
    <n v="11623.54"/>
    <n v="3367.72"/>
    <n v="0.22289999999999999"/>
    <n v="3"/>
    <s v="On Time"/>
    <s v="No"/>
    <m/>
    <n v="5"/>
    <n v="3"/>
    <s v="Yes"/>
    <s v="Lightning Deal"/>
    <n v="15801.44"/>
    <n v="0.95599999999999996"/>
    <n v="397"/>
    <s v="In Stock"/>
  </r>
  <r>
    <s v="AMZ26-00858"/>
    <d v="2026-01-01T00:00:00"/>
    <x v="10"/>
    <s v="Q1"/>
    <n v="2026"/>
    <s v="CUST-1910"/>
    <s v="Rohan Jain"/>
    <s v="Corporate"/>
    <s v="India"/>
    <s v="Gujarat"/>
    <s v="Ahmedabad"/>
    <x v="3"/>
    <s v="Amazon App"/>
    <s v="Android"/>
    <x v="0"/>
    <s v="Men Clothing"/>
    <s v="Slim Jeans"/>
    <s v="Levi's"/>
    <s v="FAS-MEN-13853"/>
    <s v="FBM"/>
    <x v="5"/>
    <x v="0"/>
    <n v="2"/>
    <n v="1727.98"/>
    <n v="0.25"/>
    <n v="863.99"/>
    <n v="3455.96"/>
    <n v="2591.9699999999998"/>
    <n v="157.9"/>
    <n v="1721.78"/>
    <n v="712.29"/>
    <n v="0.27479999999999999"/>
    <n v="5"/>
    <s v="Delayed"/>
    <s v="No"/>
    <m/>
    <n v="5"/>
    <n v="3"/>
    <s v="Yes"/>
    <s v="Amazon Coupon"/>
    <n v="2394.96"/>
    <n v="1.0823"/>
    <n v="210"/>
    <s v="In Stock"/>
  </r>
  <r>
    <s v="AMZ26-00859"/>
    <d v="2026-10-23T00:00:00"/>
    <x v="8"/>
    <s v="Q4"/>
    <n v="2026"/>
    <s v="CUST-3884"/>
    <s v="Sai Rao"/>
    <s v="Small Business"/>
    <s v="India"/>
    <s v="Telangana"/>
    <s v="Hyderabad"/>
    <x v="1"/>
    <s v="Amazon Website"/>
    <s v="Android"/>
    <x v="3"/>
    <s v="Snacks"/>
    <s v="Cookies"/>
    <s v="Britannia"/>
    <s v="GRO-SNA-58835"/>
    <s v="FBA"/>
    <x v="4"/>
    <x v="0"/>
    <n v="2"/>
    <n v="1360.09"/>
    <n v="0"/>
    <n v="0"/>
    <n v="2720.18"/>
    <n v="2720.18"/>
    <n v="101.27"/>
    <n v="1502.44"/>
    <n v="1116.47"/>
    <n v="0.41039999999999999"/>
    <n v="5"/>
    <s v="Delayed"/>
    <s v="No"/>
    <m/>
    <n v="3"/>
    <n v="4"/>
    <s v="Yes"/>
    <s v="Amazon Coupon"/>
    <n v="2557.73"/>
    <n v="1.0634999999999999"/>
    <n v="44"/>
    <s v="In Stock"/>
  </r>
  <r>
    <s v="AMZ26-00860"/>
    <d v="2026-06-08T00:00:00"/>
    <x v="5"/>
    <s v="Q2"/>
    <n v="2026"/>
    <s v="CUST-3294"/>
    <s v="Nikhil Gupta"/>
    <s v="Corporate"/>
    <s v="India"/>
    <s v="Maharashtra"/>
    <s v="Pune"/>
    <x v="3"/>
    <s v="Amazon Website"/>
    <s v="Desktop"/>
    <x v="2"/>
    <s v="Makeup"/>
    <s v="Lipstick"/>
    <s v="Maybelline"/>
    <s v="BEA-MAK-33601"/>
    <s v="FBA"/>
    <x v="3"/>
    <x v="0"/>
    <n v="4"/>
    <n v="501.76"/>
    <n v="0.25"/>
    <n v="501.76"/>
    <n v="2007.04"/>
    <n v="1505.28"/>
    <n v="1.23"/>
    <n v="832.22"/>
    <n v="671.83"/>
    <n v="0.44629999999999997"/>
    <n v="2"/>
    <s v="On Time"/>
    <s v="No"/>
    <m/>
    <n v="5"/>
    <n v="1"/>
    <s v="Yes"/>
    <s v="Lightning Deal"/>
    <n v="1797.21"/>
    <n v="0.83760000000000001"/>
    <n v="285"/>
    <s v="In Stock"/>
  </r>
  <r>
    <s v="AMZ26-00861"/>
    <d v="2026-04-05T00:00:00"/>
    <x v="9"/>
    <s v="Q2"/>
    <n v="2026"/>
    <s v="CUST-2051"/>
    <s v="Sai Shetty"/>
    <s v="Small Business"/>
    <s v="India"/>
    <s v="Maharashtra"/>
    <s v="Pune"/>
    <x v="3"/>
    <s v="Amazon App"/>
    <s v="Android"/>
    <x v="0"/>
    <s v="Footwear"/>
    <s v="Sandals"/>
    <s v="Bata"/>
    <s v="FAS-FOO-26259"/>
    <s v="FBA"/>
    <x v="1"/>
    <x v="0"/>
    <n v="3"/>
    <n v="2780.33"/>
    <n v="0"/>
    <n v="0"/>
    <n v="8340.99"/>
    <n v="8340.99"/>
    <n v="20.49"/>
    <n v="5884.37"/>
    <n v="2436.13"/>
    <n v="0.29210000000000003"/>
    <n v="5"/>
    <s v="Delayed"/>
    <s v="Yes"/>
    <s v="Changed Mind"/>
    <n v="5"/>
    <n v="0"/>
    <s v="Yes"/>
    <s v="Lightning Deal"/>
    <n v="7652.06"/>
    <n v="1.0900000000000001"/>
    <n v="100"/>
    <s v="In Stock"/>
  </r>
  <r>
    <s v="AMZ26-00862"/>
    <d v="2026-09-17T00:00:00"/>
    <x v="1"/>
    <s v="Q3"/>
    <n v="2026"/>
    <s v="CUST-2842"/>
    <s v="Vivek Reddy"/>
    <s v="Consumer"/>
    <s v="India"/>
    <s v="Rajasthan"/>
    <s v="Jaipur"/>
    <x v="3"/>
    <s v="Amazon Website"/>
    <s v="Android"/>
    <x v="3"/>
    <s v="Beverages"/>
    <s v="Coffee"/>
    <s v="Nescafe"/>
    <s v="GRO-BEV-22731"/>
    <s v="FBM"/>
    <x v="4"/>
    <x v="2"/>
    <n v="3"/>
    <n v="87.82"/>
    <n v="0.25"/>
    <n v="65.86"/>
    <n v="263.45999999999998"/>
    <n v="197.6"/>
    <n v="203.73"/>
    <n v="96.96"/>
    <n v="-103.09"/>
    <n v="-0.52170000000000005"/>
    <n v="3"/>
    <s v="In Transit"/>
    <s v="No"/>
    <m/>
    <m/>
    <n v="0"/>
    <s v="Yes"/>
    <s v="None"/>
    <n v="186.06"/>
    <n v="1.0620000000000001"/>
    <n v="318"/>
    <s v="In Stock"/>
  </r>
  <r>
    <s v="AMZ26-00863"/>
    <d v="2026-04-07T00:00:00"/>
    <x v="9"/>
    <s v="Q2"/>
    <n v="2026"/>
    <s v="CUST-1944"/>
    <s v="Rohan Verma"/>
    <s v="Corporate"/>
    <s v="India"/>
    <s v="Karnataka"/>
    <s v="Mysuru"/>
    <x v="1"/>
    <s v="Amazon Website"/>
    <s v="Desktop"/>
    <x v="4"/>
    <s v="Kitchen Appliances"/>
    <s v="Mixer Grinder"/>
    <s v="Prestige"/>
    <s v="HOM-KIT-29105"/>
    <s v="FBA"/>
    <x v="0"/>
    <x v="0"/>
    <n v="4"/>
    <n v="3536.43"/>
    <n v="0.2"/>
    <n v="2829.14"/>
    <n v="14145.72"/>
    <n v="11316.58"/>
    <n v="115.18"/>
    <n v="5901.41"/>
    <n v="5299.99"/>
    <n v="0.46829999999999999"/>
    <n v="5"/>
    <s v="Delayed"/>
    <s v="No"/>
    <m/>
    <n v="5"/>
    <n v="4"/>
    <s v="Yes"/>
    <s v="Prime Deal"/>
    <n v="12129.58"/>
    <n v="0.93300000000000005"/>
    <n v="31"/>
    <s v="Low Stock"/>
  </r>
  <r>
    <s v="AMZ26-00864"/>
    <d v="2026-11-16T00:00:00"/>
    <x v="6"/>
    <s v="Q4"/>
    <n v="2026"/>
    <s v="CUST-4434"/>
    <s v="Pooja Iyer"/>
    <s v="Small Business"/>
    <s v="India"/>
    <s v="Telangana"/>
    <s v="Hyderabad"/>
    <x v="1"/>
    <s v="Amazon Website"/>
    <s v="Desktop"/>
    <x v="4"/>
    <s v="Home Decor"/>
    <s v="Curtain Set"/>
    <s v="Home Centre"/>
    <s v="HOM-HOM-81219"/>
    <s v="FBM"/>
    <x v="2"/>
    <x v="0"/>
    <n v="4"/>
    <n v="7158.95"/>
    <n v="0.15"/>
    <n v="4295.37"/>
    <n v="28635.8"/>
    <n v="24340.43"/>
    <n v="105.35"/>
    <n v="13698.99"/>
    <n v="10536.09"/>
    <n v="0.43290000000000001"/>
    <n v="4"/>
    <s v="On Time"/>
    <s v="No"/>
    <m/>
    <n v="5"/>
    <n v="4"/>
    <s v="Yes"/>
    <s v="Lightning Deal"/>
    <n v="21707.17"/>
    <n v="1.1213"/>
    <n v="465"/>
    <s v="In Stock"/>
  </r>
  <r>
    <s v="AMZ26-00865"/>
    <d v="2026-08-10T00:00:00"/>
    <x v="4"/>
    <s v="Q3"/>
    <n v="2026"/>
    <s v="CUST-1396"/>
    <s v="Diya Nair"/>
    <s v="Consumer"/>
    <s v="India"/>
    <s v="West Bengal"/>
    <s v="Kolkata"/>
    <x v="2"/>
    <s v="Amazon App"/>
    <s v="Desktop"/>
    <x v="1"/>
    <s v="Accessories"/>
    <s v="Keyboard"/>
    <s v="HP"/>
    <s v="ELE-ACC-85428"/>
    <s v="FBM"/>
    <x v="1"/>
    <x v="0"/>
    <n v="3"/>
    <n v="8679.4500000000007"/>
    <n v="0.3"/>
    <n v="7811.5"/>
    <n v="26038.35"/>
    <n v="18226.849999999999"/>
    <n v="218.83"/>
    <n v="12884.44"/>
    <n v="5123.58"/>
    <n v="0.28110000000000002"/>
    <n v="6"/>
    <s v="Delayed"/>
    <s v="No"/>
    <m/>
    <n v="5"/>
    <n v="0"/>
    <s v="Yes"/>
    <s v="Lightning Deal"/>
    <n v="22545.26"/>
    <n v="0.8085"/>
    <n v="349"/>
    <s v="In Stock"/>
  </r>
  <r>
    <s v="AMZ26-00866"/>
    <d v="2026-09-07T00:00:00"/>
    <x v="1"/>
    <s v="Q3"/>
    <n v="2026"/>
    <s v="CUST-1680"/>
    <s v="Aditya Joshi"/>
    <s v="Corporate"/>
    <s v="India"/>
    <s v="Gujarat"/>
    <s v="Ahmedabad"/>
    <x v="3"/>
    <s v="Amazon App"/>
    <s v="Android"/>
    <x v="2"/>
    <s v="Skin Care"/>
    <s v="Face Serum"/>
    <s v="Minimalist"/>
    <s v="BEA-SKI-54892"/>
    <s v="FBM"/>
    <x v="0"/>
    <x v="1"/>
    <n v="1"/>
    <n v="153.15"/>
    <n v="0.1"/>
    <n v="15.32"/>
    <n v="153.15"/>
    <n v="137.83000000000001"/>
    <n v="195.44"/>
    <n v="90.94"/>
    <n v="-148.55000000000001"/>
    <n v="-1.0778000000000001"/>
    <n v="0"/>
    <s v="Not Applicable"/>
    <s v="No"/>
    <m/>
    <m/>
    <n v="0"/>
    <s v="Yes"/>
    <s v="None"/>
    <n v="133.44"/>
    <n v="1.0328999999999999"/>
    <n v="86"/>
    <s v="In Stock"/>
  </r>
  <r>
    <s v="AMZ26-00867"/>
    <d v="2026-07-02T00:00:00"/>
    <x v="3"/>
    <s v="Q3"/>
    <n v="2026"/>
    <s v="CUST-3166"/>
    <s v="Kiran Kumar"/>
    <s v="Consumer"/>
    <s v="India"/>
    <s v="West Bengal"/>
    <s v="Kolkata"/>
    <x v="2"/>
    <s v="Amazon Website"/>
    <s v="Android"/>
    <x v="4"/>
    <s v="Home Decor"/>
    <s v="LED Lamp"/>
    <s v="Wipro"/>
    <s v="HOM-HOM-13438"/>
    <s v="FBM"/>
    <x v="1"/>
    <x v="1"/>
    <n v="3"/>
    <n v="2112.9"/>
    <n v="0.15"/>
    <n v="950.8"/>
    <n v="6338.7"/>
    <n v="5387.9"/>
    <n v="32.6"/>
    <n v="3739.93"/>
    <n v="1615.37"/>
    <n v="0.29980000000000001"/>
    <n v="0"/>
    <s v="Not Applicable"/>
    <s v="No"/>
    <m/>
    <m/>
    <n v="0"/>
    <s v="Yes"/>
    <s v="Festival Sale"/>
    <n v="6538.77"/>
    <n v="0.82399999999999995"/>
    <n v="238"/>
    <s v="In Stock"/>
  </r>
  <r>
    <s v="AMZ26-00868"/>
    <d v="2026-11-29T00:00:00"/>
    <x v="6"/>
    <s v="Q4"/>
    <n v="2026"/>
    <s v="CUST-4622"/>
    <s v="Rahul Kumar"/>
    <s v="Consumer"/>
    <s v="India"/>
    <s v="Odisha"/>
    <s v="Bhubaneswar"/>
    <x v="2"/>
    <s v="Amazon Website"/>
    <s v="Tablet"/>
    <x v="1"/>
    <s v="Accessories"/>
    <s v="Keyboard"/>
    <s v="HP"/>
    <s v="ELE-ACC-71511"/>
    <s v="FBA"/>
    <x v="0"/>
    <x v="2"/>
    <n v="1"/>
    <n v="4779.1899999999996"/>
    <n v="0.25"/>
    <n v="1194.8"/>
    <n v="4779.1899999999996"/>
    <n v="3584.39"/>
    <n v="38.24"/>
    <n v="2342.73"/>
    <n v="1203.42"/>
    <n v="0.3357"/>
    <n v="3"/>
    <s v="In Transit"/>
    <s v="No"/>
    <m/>
    <m/>
    <n v="0"/>
    <s v="Yes"/>
    <s v="None"/>
    <n v="3209.39"/>
    <n v="1.1168"/>
    <n v="77"/>
    <s v="In Stock"/>
  </r>
  <r>
    <s v="AMZ26-00869"/>
    <d v="2026-08-05T00:00:00"/>
    <x v="4"/>
    <s v="Q3"/>
    <n v="2026"/>
    <s v="CUST-2157"/>
    <s v="Vihaan Gupta"/>
    <s v="Small Business"/>
    <s v="India"/>
    <s v="Haryana"/>
    <s v="Gurugram"/>
    <x v="0"/>
    <s v="Amazon Website"/>
    <s v="Desktop"/>
    <x v="1"/>
    <s v="Accessories"/>
    <s v="Bluetooth Speaker"/>
    <s v="boAt"/>
    <s v="ELE-ACC-59383"/>
    <s v="FBA"/>
    <x v="4"/>
    <x v="0"/>
    <n v="3"/>
    <n v="28537.48"/>
    <n v="0.1"/>
    <n v="8561.24"/>
    <n v="85612.44"/>
    <n v="77051.199999999997"/>
    <n v="97.76"/>
    <n v="57909.81"/>
    <n v="19043.63"/>
    <n v="0.2472"/>
    <n v="5"/>
    <s v="Delayed"/>
    <s v="No"/>
    <m/>
    <n v="5"/>
    <n v="1"/>
    <s v="Yes"/>
    <s v="Festival Sale"/>
    <n v="71264.31"/>
    <n v="1.0811999999999999"/>
    <n v="228"/>
    <s v="In Stock"/>
  </r>
  <r>
    <s v="AMZ26-00870"/>
    <d v="2026-02-26T00:00:00"/>
    <x v="7"/>
    <s v="Q1"/>
    <n v="2026"/>
    <s v="CUST-1902"/>
    <s v="Pooja Das"/>
    <s v="Consumer"/>
    <s v="India"/>
    <s v="Delhi"/>
    <s v="New Delhi"/>
    <x v="0"/>
    <s v="Amazon App"/>
    <s v="Desktop"/>
    <x v="1"/>
    <s v="Mobiles"/>
    <s v="Redmi Note"/>
    <s v="Xiaomi"/>
    <s v="ELE-MOB-27991"/>
    <s v="FBA"/>
    <x v="3"/>
    <x v="2"/>
    <n v="5"/>
    <n v="42218.47"/>
    <n v="0"/>
    <n v="0"/>
    <n v="211092.35"/>
    <n v="211092.35"/>
    <n v="107.77"/>
    <n v="129784.75"/>
    <n v="81199.83"/>
    <n v="0.38469999999999999"/>
    <n v="1"/>
    <s v="In Transit"/>
    <s v="No"/>
    <m/>
    <m/>
    <n v="0"/>
    <s v="Yes"/>
    <s v="Prime Deal"/>
    <n v="248081.38"/>
    <n v="0.85089999999999999"/>
    <n v="157"/>
    <s v="In Stock"/>
  </r>
  <r>
    <s v="AMZ26-00871"/>
    <d v="2026-06-11T00:00:00"/>
    <x v="5"/>
    <s v="Q2"/>
    <n v="2026"/>
    <s v="CUST-3591"/>
    <s v="Nikhil Gupta"/>
    <s v="Corporate"/>
    <s v="India"/>
    <s v="Haryana"/>
    <s v="Gurugram"/>
    <x v="0"/>
    <s v="Amazon App"/>
    <s v="Tablet"/>
    <x v="2"/>
    <s v="Hair Care"/>
    <s v="Hair Serum"/>
    <s v="L'Oreal"/>
    <s v="BEA-HAI-52696"/>
    <s v="FBM"/>
    <x v="2"/>
    <x v="1"/>
    <n v="5"/>
    <n v="1840.71"/>
    <n v="0.1"/>
    <n v="920.36"/>
    <n v="9203.5499999999993"/>
    <n v="8283.19"/>
    <n v="88.37"/>
    <n v="5356.57"/>
    <n v="2838.25"/>
    <n v="0.3427"/>
    <n v="0"/>
    <s v="Not Applicable"/>
    <s v="No"/>
    <m/>
    <m/>
    <n v="0"/>
    <s v="Yes"/>
    <s v="Lightning Deal"/>
    <n v="9476.7199999999993"/>
    <n v="0.87409999999999999"/>
    <n v="44"/>
    <s v="In Stock"/>
  </r>
  <r>
    <s v="AMZ26-00872"/>
    <d v="2026-04-01T00:00:00"/>
    <x v="9"/>
    <s v="Q2"/>
    <n v="2026"/>
    <s v="CUST-1837"/>
    <s v="Kavya Shetty"/>
    <s v="Corporate"/>
    <s v="India"/>
    <s v="Rajasthan"/>
    <s v="Jaipur"/>
    <x v="3"/>
    <s v="Amazon App"/>
    <s v="Desktop"/>
    <x v="4"/>
    <s v="Kitchen Appliances"/>
    <s v="Mixer Grinder"/>
    <s v="Prestige"/>
    <s v="HOM-KIT-57216"/>
    <s v="FBM"/>
    <x v="4"/>
    <x v="2"/>
    <n v="3"/>
    <n v="7801.37"/>
    <n v="0.1"/>
    <n v="2340.41"/>
    <n v="23404.11"/>
    <n v="21063.7"/>
    <n v="238.68"/>
    <n v="15132.4"/>
    <n v="5692.62"/>
    <n v="0.27029999999999998"/>
    <n v="3"/>
    <s v="In Transit"/>
    <s v="No"/>
    <m/>
    <m/>
    <n v="0"/>
    <s v="Yes"/>
    <s v="Amazon Coupon"/>
    <n v="23720.03"/>
    <n v="0.88800000000000001"/>
    <n v="266"/>
    <s v="In Stock"/>
  </r>
  <r>
    <s v="AMZ26-00873"/>
    <d v="2026-06-29T00:00:00"/>
    <x v="5"/>
    <s v="Q2"/>
    <n v="2026"/>
    <s v="CUST-3726"/>
    <s v="Kavya Kumar"/>
    <s v="Corporate"/>
    <s v="India"/>
    <s v="Uttar Pradesh"/>
    <s v="Noida"/>
    <x v="0"/>
    <s v="Amazon App"/>
    <s v="Android"/>
    <x v="4"/>
    <s v="Home Decor"/>
    <s v="Curtain Set"/>
    <s v="Home Centre"/>
    <s v="HOM-HOM-89926"/>
    <s v="FBM"/>
    <x v="3"/>
    <x v="2"/>
    <n v="1"/>
    <n v="6748.32"/>
    <n v="0.3"/>
    <n v="2024.5"/>
    <n v="6748.32"/>
    <n v="4723.82"/>
    <n v="159.94999999999999"/>
    <n v="2437.39"/>
    <n v="2126.48"/>
    <n v="0.45019999999999999"/>
    <n v="6"/>
    <s v="In Transit"/>
    <s v="No"/>
    <m/>
    <m/>
    <n v="0"/>
    <s v="No"/>
    <s v="Lightning Deal"/>
    <n v="4498.3599999999997"/>
    <n v="1.0501"/>
    <n v="94"/>
    <s v="In Stock"/>
  </r>
  <r>
    <s v="AMZ26-00874"/>
    <d v="2026-09-05T00:00:00"/>
    <x v="1"/>
    <s v="Q3"/>
    <n v="2026"/>
    <s v="CUST-3869"/>
    <s v="Kiran Rao"/>
    <s v="Small Business"/>
    <s v="India"/>
    <s v="Maharashtra"/>
    <s v="Mumbai"/>
    <x v="3"/>
    <s v="Amazon Website"/>
    <s v="iOS"/>
    <x v="4"/>
    <s v="Cookware"/>
    <s v="Cookware Set"/>
    <s v="Pigeon"/>
    <s v="HOM-COO-13991"/>
    <s v="FBM"/>
    <x v="3"/>
    <x v="0"/>
    <n v="3"/>
    <n v="4197.9799999999996"/>
    <n v="0.3"/>
    <n v="3778.18"/>
    <n v="12593.94"/>
    <n v="8815.76"/>
    <n v="18.38"/>
    <n v="6521.99"/>
    <n v="2275.39"/>
    <n v="0.2581"/>
    <n v="2"/>
    <s v="On Time"/>
    <s v="No"/>
    <m/>
    <n v="4"/>
    <n v="1"/>
    <s v="Yes"/>
    <s v="Bank Offer"/>
    <n v="9560.75"/>
    <n v="0.92210000000000003"/>
    <n v="1"/>
    <s v="Low Stock"/>
  </r>
  <r>
    <s v="AMZ26-00875"/>
    <d v="2026-01-02T00:00:00"/>
    <x v="10"/>
    <s v="Q1"/>
    <n v="2026"/>
    <s v="CUST-3471"/>
    <s v="Kavya Das"/>
    <s v="Corporate"/>
    <s v="India"/>
    <s v="Assam"/>
    <s v="Guwahati"/>
    <x v="2"/>
    <s v="Amazon App"/>
    <s v="Tablet"/>
    <x v="1"/>
    <s v="Laptops"/>
    <s v="Pavilion"/>
    <s v="HP"/>
    <s v="ELE-LAP-54624"/>
    <s v="FBA"/>
    <x v="1"/>
    <x v="0"/>
    <n v="1"/>
    <n v="25753.77"/>
    <n v="0.15"/>
    <n v="3863.07"/>
    <n v="25753.77"/>
    <n v="21890.7"/>
    <n v="31.71"/>
    <n v="13104.66"/>
    <n v="8754.33"/>
    <n v="0.39989999999999998"/>
    <n v="8"/>
    <s v="Delayed"/>
    <s v="No"/>
    <m/>
    <n v="3"/>
    <n v="4"/>
    <s v="Yes"/>
    <s v="Bank Offer"/>
    <n v="20452.8"/>
    <n v="1.0703"/>
    <n v="355"/>
    <s v="In Stock"/>
  </r>
  <r>
    <s v="AMZ26-00876"/>
    <d v="2026-05-23T00:00:00"/>
    <x v="2"/>
    <s v="Q2"/>
    <n v="2026"/>
    <s v="CUST-4868"/>
    <s v="Kiran Patel"/>
    <s v="Corporate"/>
    <s v="India"/>
    <s v="Kerala"/>
    <s v="Kochi"/>
    <x v="1"/>
    <s v="Amazon Website"/>
    <s v="iOS"/>
    <x v="3"/>
    <s v="Staples"/>
    <s v="Atta"/>
    <s v="Aashirvaad"/>
    <s v="GRO-STA-36430"/>
    <s v="FBA"/>
    <x v="0"/>
    <x v="0"/>
    <n v="4"/>
    <n v="138.59"/>
    <n v="0.25"/>
    <n v="138.59"/>
    <n v="554.36"/>
    <n v="415.77"/>
    <n v="109.88"/>
    <n v="311.2"/>
    <n v="-5.31"/>
    <n v="-1.2800000000000001E-2"/>
    <n v="1"/>
    <s v="On Time"/>
    <s v="No"/>
    <m/>
    <n v="4"/>
    <n v="4"/>
    <s v="Yes"/>
    <s v="None"/>
    <n v="445.62"/>
    <n v="0.93300000000000005"/>
    <n v="476"/>
    <s v="In Stock"/>
  </r>
  <r>
    <s v="AMZ26-00877"/>
    <d v="2026-09-03T00:00:00"/>
    <x v="1"/>
    <s v="Q3"/>
    <n v="2026"/>
    <s v="CUST-1597"/>
    <s v="Aditi Joshi"/>
    <s v="Corporate"/>
    <s v="India"/>
    <s v="Tamil Nadu"/>
    <s v="Chennai"/>
    <x v="1"/>
    <s v="Amazon App"/>
    <s v="iOS"/>
    <x v="0"/>
    <s v="Men Clothing"/>
    <s v="Cotton Shirt"/>
    <s v="Allen Solly"/>
    <s v="FAS-MEN-16492"/>
    <s v="FBM"/>
    <x v="2"/>
    <x v="0"/>
    <n v="2"/>
    <n v="2491.63"/>
    <n v="0.1"/>
    <n v="498.33"/>
    <n v="4983.26"/>
    <n v="4484.93"/>
    <n v="235.9"/>
    <n v="3152.21"/>
    <n v="1096.82"/>
    <n v="0.24460000000000001"/>
    <n v="5"/>
    <s v="Delayed"/>
    <s v="No"/>
    <m/>
    <n v="4"/>
    <n v="2"/>
    <s v="No"/>
    <s v="Amazon Coupon"/>
    <n v="5348.64"/>
    <n v="0.83850000000000002"/>
    <n v="155"/>
    <s v="In Stock"/>
  </r>
  <r>
    <s v="AMZ26-00878"/>
    <d v="2026-02-20T00:00:00"/>
    <x v="7"/>
    <s v="Q1"/>
    <n v="2026"/>
    <s v="CUST-4578"/>
    <s v="Ananya Reddy"/>
    <s v="Small Business"/>
    <s v="India"/>
    <s v="Karnataka"/>
    <s v="Mysuru"/>
    <x v="1"/>
    <s v="Amazon App"/>
    <s v="Android"/>
    <x v="1"/>
    <s v="Laptops"/>
    <s v="Vivobook"/>
    <s v="ASUS"/>
    <s v="ELE-LAP-68060"/>
    <s v="FBA"/>
    <x v="3"/>
    <x v="2"/>
    <n v="1"/>
    <n v="18204.740000000002"/>
    <n v="0.05"/>
    <n v="910.24"/>
    <n v="18204.740000000002"/>
    <n v="17294.5"/>
    <n v="26.66"/>
    <n v="13479.27"/>
    <n v="3788.57"/>
    <n v="0.21909999999999999"/>
    <n v="1"/>
    <s v="In Transit"/>
    <s v="No"/>
    <m/>
    <m/>
    <n v="0"/>
    <s v="Yes"/>
    <s v="Amazon Coupon"/>
    <n v="14735.69"/>
    <n v="1.1736"/>
    <n v="411"/>
    <s v="In Stock"/>
  </r>
  <r>
    <s v="AMZ26-00879"/>
    <d v="2026-01-06T00:00:00"/>
    <x v="10"/>
    <s v="Q1"/>
    <n v="2026"/>
    <s v="CUST-2376"/>
    <s v="Meera Joshi"/>
    <s v="Corporate"/>
    <s v="India"/>
    <s v="Rajasthan"/>
    <s v="Jaipur"/>
    <x v="3"/>
    <s v="Amazon App"/>
    <s v="Desktop"/>
    <x v="4"/>
    <s v="Kitchen Appliances"/>
    <s v="Air Fryer"/>
    <s v="Philips"/>
    <s v="HOM-KIT-13729"/>
    <s v="FBA"/>
    <x v="2"/>
    <x v="0"/>
    <n v="4"/>
    <n v="3243.77"/>
    <n v="0"/>
    <n v="0"/>
    <n v="12975.08"/>
    <n v="12975.08"/>
    <n v="146.72999999999999"/>
    <n v="7465.13"/>
    <n v="5363.22"/>
    <n v="0.4133"/>
    <n v="3"/>
    <s v="On Time"/>
    <s v="No"/>
    <m/>
    <n v="4"/>
    <n v="1"/>
    <s v="Yes"/>
    <s v="None"/>
    <n v="15834.41"/>
    <n v="0.81940000000000002"/>
    <n v="389"/>
    <s v="In Stock"/>
  </r>
  <r>
    <s v="AMZ26-00880"/>
    <d v="2026-04-24T00:00:00"/>
    <x v="9"/>
    <s v="Q2"/>
    <n v="2026"/>
    <s v="CUST-1938"/>
    <s v="Vihaan Gupta"/>
    <s v="Consumer"/>
    <s v="India"/>
    <s v="Uttar Pradesh"/>
    <s v="Noida"/>
    <x v="0"/>
    <s v="Amazon Website"/>
    <s v="iOS"/>
    <x v="3"/>
    <s v="Staples"/>
    <s v="Atta"/>
    <s v="Aashirvaad"/>
    <s v="GRO-STA-90279"/>
    <s v="FBM"/>
    <x v="4"/>
    <x v="2"/>
    <n v="3"/>
    <n v="1631.57"/>
    <n v="0.05"/>
    <n v="244.74"/>
    <n v="4894.71"/>
    <n v="4649.97"/>
    <n v="170.07"/>
    <n v="3100.69"/>
    <n v="1379.21"/>
    <n v="0.29659999999999997"/>
    <n v="6"/>
    <s v="In Transit"/>
    <s v="No"/>
    <m/>
    <m/>
    <n v="0"/>
    <s v="Yes"/>
    <s v="Lightning Deal"/>
    <n v="4577.07"/>
    <n v="1.0159"/>
    <n v="218"/>
    <s v="In Stock"/>
  </r>
  <r>
    <s v="AMZ26-00881"/>
    <d v="2026-06-27T00:00:00"/>
    <x v="5"/>
    <s v="Q2"/>
    <n v="2026"/>
    <s v="CUST-4355"/>
    <s v="Sai Das"/>
    <s v="Corporate"/>
    <s v="India"/>
    <s v="Odisha"/>
    <s v="Bhubaneswar"/>
    <x v="2"/>
    <s v="Amazon App"/>
    <s v="Android"/>
    <x v="3"/>
    <s v="Snacks"/>
    <s v="Mixed Nuts"/>
    <s v="Happilo"/>
    <s v="GRO-SNA-78230"/>
    <s v="FBA"/>
    <x v="3"/>
    <x v="0"/>
    <n v="4"/>
    <n v="756.44"/>
    <n v="0"/>
    <n v="0"/>
    <n v="3025.76"/>
    <n v="3025.76"/>
    <n v="132.19999999999999"/>
    <n v="1878.99"/>
    <n v="1014.57"/>
    <n v="0.33529999999999999"/>
    <n v="2"/>
    <s v="On Time"/>
    <s v="No"/>
    <m/>
    <n v="4"/>
    <n v="2"/>
    <s v="Yes"/>
    <s v="None"/>
    <n v="2750.62"/>
    <n v="1.1000000000000001"/>
    <n v="358"/>
    <s v="In Stock"/>
  </r>
  <r>
    <s v="AMZ26-00882"/>
    <d v="2026-12-29T00:00:00"/>
    <x v="11"/>
    <s v="Q4"/>
    <n v="2026"/>
    <s v="CUST-1272"/>
    <s v="Aditya Das"/>
    <s v="Consumer"/>
    <s v="India"/>
    <s v="Haryana"/>
    <s v="Gurugram"/>
    <x v="0"/>
    <s v="Amazon Website"/>
    <s v="iOS"/>
    <x v="1"/>
    <s v="Laptops"/>
    <s v="IdeaPad"/>
    <s v="Lenovo"/>
    <s v="ELE-LAP-52210"/>
    <s v="FBA"/>
    <x v="3"/>
    <x v="0"/>
    <n v="2"/>
    <n v="42433.35"/>
    <n v="0.05"/>
    <n v="4243.34"/>
    <n v="84866.7"/>
    <n v="80623.360000000001"/>
    <n v="185.92"/>
    <n v="55325.47"/>
    <n v="25111.97"/>
    <n v="0.3115"/>
    <n v="3"/>
    <s v="On Time"/>
    <s v="No"/>
    <m/>
    <n v="5"/>
    <n v="4"/>
    <s v="Yes"/>
    <s v="Festival Sale"/>
    <n v="94972.67"/>
    <n v="0.84889999999999999"/>
    <n v="497"/>
    <s v="In Stock"/>
  </r>
  <r>
    <s v="AMZ26-00883"/>
    <d v="2026-06-07T00:00:00"/>
    <x v="5"/>
    <s v="Q2"/>
    <n v="2026"/>
    <s v="CUST-2624"/>
    <s v="Vivek Kumar"/>
    <s v="Small Business"/>
    <s v="India"/>
    <s v="Bihar"/>
    <s v="Patna"/>
    <x v="2"/>
    <s v="Amazon Website"/>
    <s v="Android"/>
    <x v="2"/>
    <s v="Makeup"/>
    <s v="Foundation"/>
    <s v="Lakme"/>
    <s v="BEA-MAK-76077"/>
    <s v="FBA"/>
    <x v="4"/>
    <x v="0"/>
    <n v="3"/>
    <n v="1089.3900000000001"/>
    <n v="0"/>
    <n v="0"/>
    <n v="3268.17"/>
    <n v="3268.17"/>
    <n v="24.98"/>
    <n v="2289.2199999999998"/>
    <n v="953.97"/>
    <n v="0.29189999999999999"/>
    <n v="7"/>
    <s v="Delayed"/>
    <s v="No"/>
    <m/>
    <n v="5"/>
    <n v="3"/>
    <s v="Yes"/>
    <s v="Bank Offer"/>
    <n v="3241.99"/>
    <n v="1.0081"/>
    <n v="129"/>
    <s v="In Stock"/>
  </r>
  <r>
    <s v="AMZ26-00884"/>
    <d v="2026-10-03T00:00:00"/>
    <x v="8"/>
    <s v="Q4"/>
    <n v="2026"/>
    <s v="CUST-4425"/>
    <s v="Diya Iyer"/>
    <s v="Corporate"/>
    <s v="India"/>
    <s v="Bihar"/>
    <s v="Patna"/>
    <x v="2"/>
    <s v="Amazon Website"/>
    <s v="Tablet"/>
    <x v="1"/>
    <s v="Laptops"/>
    <s v="Vivobook"/>
    <s v="ASUS"/>
    <s v="ELE-LAP-99075"/>
    <s v="FBM"/>
    <x v="1"/>
    <x v="0"/>
    <n v="3"/>
    <n v="1031.8499999999999"/>
    <n v="0.05"/>
    <n v="154.78"/>
    <n v="3095.55"/>
    <n v="2940.77"/>
    <n v="122.1"/>
    <n v="2103.25"/>
    <n v="715.42"/>
    <n v="0.24329999999999999"/>
    <n v="1"/>
    <s v="On Time"/>
    <s v="No"/>
    <m/>
    <n v="5"/>
    <n v="0"/>
    <s v="Yes"/>
    <s v="Bank Offer"/>
    <n v="2904.72"/>
    <n v="1.0124"/>
    <n v="5"/>
    <s v="Low Stock"/>
  </r>
  <r>
    <s v="AMZ26-00885"/>
    <d v="2026-10-16T00:00:00"/>
    <x v="8"/>
    <s v="Q4"/>
    <n v="2026"/>
    <s v="CUST-2560"/>
    <s v="Aditya Iyer"/>
    <s v="Corporate"/>
    <s v="India"/>
    <s v="West Bengal"/>
    <s v="Kolkata"/>
    <x v="2"/>
    <s v="Amazon App"/>
    <s v="Tablet"/>
    <x v="4"/>
    <s v="Kitchen Appliances"/>
    <s v="Mixer Grinder"/>
    <s v="Prestige"/>
    <s v="HOM-KIT-35220"/>
    <s v="FBA"/>
    <x v="3"/>
    <x v="0"/>
    <n v="3"/>
    <n v="6322.02"/>
    <n v="0"/>
    <n v="0"/>
    <n v="18966.060000000001"/>
    <n v="18966.060000000001"/>
    <n v="30.18"/>
    <n v="10848.26"/>
    <n v="8087.62"/>
    <n v="0.4264"/>
    <n v="1"/>
    <s v="On Time"/>
    <s v="No"/>
    <m/>
    <n v="3"/>
    <n v="4"/>
    <s v="Yes"/>
    <s v="None"/>
    <n v="20389.39"/>
    <n v="0.93020000000000003"/>
    <n v="122"/>
    <s v="In Stock"/>
  </r>
  <r>
    <s v="AMZ26-00886"/>
    <d v="2026-06-28T00:00:00"/>
    <x v="5"/>
    <s v="Q2"/>
    <n v="2026"/>
    <s v="CUST-1367"/>
    <s v="Rahul Das"/>
    <s v="Corporate"/>
    <s v="India"/>
    <s v="Haryana"/>
    <s v="Gurugram"/>
    <x v="0"/>
    <s v="Amazon Website"/>
    <s v="Desktop"/>
    <x v="2"/>
    <s v="Skin Care"/>
    <s v="Sunscreen"/>
    <s v="Neutrogena"/>
    <s v="BEA-SKI-59483"/>
    <s v="FBA"/>
    <x v="2"/>
    <x v="0"/>
    <n v="1"/>
    <n v="445.98"/>
    <n v="0.25"/>
    <n v="111.5"/>
    <n v="445.98"/>
    <n v="334.48"/>
    <n v="72.150000000000006"/>
    <n v="218.31"/>
    <n v="44.02"/>
    <n v="0.13159999999999999"/>
    <n v="5"/>
    <s v="Delayed"/>
    <s v="No"/>
    <m/>
    <n v="4"/>
    <n v="3"/>
    <s v="Yes"/>
    <s v="Festival Sale"/>
    <n v="355.04"/>
    <n v="0.94210000000000005"/>
    <n v="221"/>
    <s v="In Stock"/>
  </r>
  <r>
    <s v="AMZ26-00887"/>
    <d v="2026-05-06T00:00:00"/>
    <x v="2"/>
    <s v="Q2"/>
    <n v="2026"/>
    <s v="CUST-2224"/>
    <s v="Aditya Jain"/>
    <s v="Corporate"/>
    <s v="India"/>
    <s v="West Bengal"/>
    <s v="Kolkata"/>
    <x v="2"/>
    <s v="Amazon Website"/>
    <s v="Tablet"/>
    <x v="3"/>
    <s v="Snacks"/>
    <s v="Mixed Nuts"/>
    <s v="Happilo"/>
    <s v="GRO-SNA-36893"/>
    <s v="FBA"/>
    <x v="0"/>
    <x v="0"/>
    <n v="2"/>
    <n v="1380.52"/>
    <n v="0.25"/>
    <n v="690.26"/>
    <n v="2761.04"/>
    <n v="2070.7800000000002"/>
    <n v="100.33"/>
    <n v="1281.2"/>
    <n v="689.25"/>
    <n v="0.33279999999999998"/>
    <n v="6"/>
    <s v="Delayed"/>
    <s v="No"/>
    <m/>
    <n v="3"/>
    <n v="3"/>
    <s v="No"/>
    <s v="Amazon Coupon"/>
    <n v="2084.4499999999998"/>
    <n v="0.99339999999999995"/>
    <n v="116"/>
    <s v="In Stock"/>
  </r>
  <r>
    <s v="AMZ26-00888"/>
    <d v="2026-10-07T00:00:00"/>
    <x v="8"/>
    <s v="Q4"/>
    <n v="2026"/>
    <s v="CUST-1572"/>
    <s v="Nikhil Patel"/>
    <s v="Small Business"/>
    <s v="India"/>
    <s v="Maharashtra"/>
    <s v="Pune"/>
    <x v="3"/>
    <s v="Amazon App"/>
    <s v="iOS"/>
    <x v="0"/>
    <s v="Women Clothing"/>
    <s v="Printed Kurti"/>
    <s v="BIBA"/>
    <s v="FAS-WOM-79864"/>
    <s v="FBM"/>
    <x v="5"/>
    <x v="0"/>
    <n v="5"/>
    <n v="2513.11"/>
    <n v="0.3"/>
    <n v="3769.66"/>
    <n v="12565.55"/>
    <n v="8795.89"/>
    <n v="85.52"/>
    <n v="5180.76"/>
    <n v="3529.61"/>
    <n v="0.40129999999999999"/>
    <n v="1"/>
    <s v="On Time"/>
    <s v="No"/>
    <m/>
    <n v="4"/>
    <n v="4"/>
    <s v="Yes"/>
    <s v="Lightning Deal"/>
    <n v="9587.93"/>
    <n v="0.91739999999999999"/>
    <n v="92"/>
    <s v="In Stock"/>
  </r>
  <r>
    <s v="AMZ26-00889"/>
    <d v="2026-09-27T00:00:00"/>
    <x v="1"/>
    <s v="Q3"/>
    <n v="2026"/>
    <s v="CUST-2687"/>
    <s v="Rahul Kumar"/>
    <s v="Small Business"/>
    <s v="India"/>
    <s v="Punjab"/>
    <s v="Ludhiana"/>
    <x v="0"/>
    <s v="Amazon Website"/>
    <s v="Desktop"/>
    <x v="1"/>
    <s v="Mobiles"/>
    <s v="Moto G"/>
    <s v="Motorola"/>
    <s v="ELE-MOB-62558"/>
    <s v="FBA"/>
    <x v="1"/>
    <x v="2"/>
    <n v="4"/>
    <n v="44216.959999999999"/>
    <n v="0.2"/>
    <n v="35373.57"/>
    <n v="176867.84"/>
    <n v="141494.26999999999"/>
    <n v="227.24"/>
    <n v="77285.48"/>
    <n v="63981.55"/>
    <n v="0.45219999999999999"/>
    <n v="5"/>
    <s v="In Transit"/>
    <s v="No"/>
    <m/>
    <m/>
    <n v="0"/>
    <s v="Yes"/>
    <s v="Lightning Deal"/>
    <n v="163717.25"/>
    <n v="0.86429999999999996"/>
    <n v="456"/>
    <s v="In Stock"/>
  </r>
  <r>
    <s v="AMZ26-00890"/>
    <d v="2026-03-04T00:00:00"/>
    <x v="0"/>
    <s v="Q1"/>
    <n v="2026"/>
    <s v="CUST-4616"/>
    <s v="Ananya Singh"/>
    <s v="Consumer"/>
    <s v="India"/>
    <s v="Karnataka"/>
    <s v="Mysuru"/>
    <x v="1"/>
    <s v="Amazon Website"/>
    <s v="iOS"/>
    <x v="4"/>
    <s v="Home Decor"/>
    <s v="Wall Clock"/>
    <s v="Ajanta"/>
    <s v="HOM-HOM-56757"/>
    <s v="FBA"/>
    <x v="2"/>
    <x v="0"/>
    <n v="4"/>
    <n v="2012.66"/>
    <n v="0.3"/>
    <n v="2415.19"/>
    <n v="8050.64"/>
    <n v="5635.45"/>
    <n v="21.1"/>
    <n v="3523.3"/>
    <n v="2091.0500000000002"/>
    <n v="0.37109999999999999"/>
    <n v="2"/>
    <s v="On Time"/>
    <s v="No"/>
    <m/>
    <n v="5"/>
    <n v="0"/>
    <s v="Yes"/>
    <s v="Lightning Deal"/>
    <n v="5469"/>
    <n v="1.0304"/>
    <n v="46"/>
    <s v="In Stock"/>
  </r>
  <r>
    <s v="AMZ26-00891"/>
    <d v="2026-02-28T00:00:00"/>
    <x v="7"/>
    <s v="Q1"/>
    <n v="2026"/>
    <s v="CUST-3217"/>
    <s v="Aarav Jain"/>
    <s v="Corporate"/>
    <s v="India"/>
    <s v="Assam"/>
    <s v="Guwahati"/>
    <x v="2"/>
    <s v="Amazon App"/>
    <s v="Desktop"/>
    <x v="4"/>
    <s v="Cookware"/>
    <s v="Cookware Set"/>
    <s v="Pigeon"/>
    <s v="HOM-COO-13626"/>
    <s v="FBA"/>
    <x v="5"/>
    <x v="0"/>
    <n v="5"/>
    <n v="2057.5500000000002"/>
    <n v="0.2"/>
    <n v="2057.5500000000002"/>
    <n v="10287.75"/>
    <n v="8230.2000000000007"/>
    <n v="30.33"/>
    <n v="4973.6899999999996"/>
    <n v="3226.18"/>
    <n v="0.39200000000000002"/>
    <n v="6"/>
    <s v="Delayed"/>
    <s v="No"/>
    <m/>
    <n v="4"/>
    <n v="3"/>
    <s v="No"/>
    <s v="Prime Deal"/>
    <n v="9502.33"/>
    <n v="0.86609999999999998"/>
    <n v="452"/>
    <s v="In Stock"/>
  </r>
  <r>
    <s v="AMZ26-00892"/>
    <d v="2026-12-31T00:00:00"/>
    <x v="11"/>
    <s v="Q4"/>
    <n v="2026"/>
    <s v="CUST-1032"/>
    <s v="Priya Iyer"/>
    <s v="Consumer"/>
    <s v="India"/>
    <s v="Tamil Nadu"/>
    <s v="Chennai"/>
    <x v="1"/>
    <s v="Amazon App"/>
    <s v="iOS"/>
    <x v="3"/>
    <s v="Snacks"/>
    <s v="Mixed Nuts"/>
    <s v="Happilo"/>
    <s v="GRO-SNA-63882"/>
    <s v="FBM"/>
    <x v="2"/>
    <x v="0"/>
    <n v="2"/>
    <n v="865.9"/>
    <n v="0"/>
    <n v="0"/>
    <n v="1731.8"/>
    <n v="1731.8"/>
    <n v="137.44999999999999"/>
    <n v="1324.05"/>
    <n v="270.3"/>
    <n v="0.15609999999999999"/>
    <n v="6"/>
    <s v="Delayed"/>
    <s v="No"/>
    <m/>
    <n v="5"/>
    <n v="3"/>
    <s v="No"/>
    <s v="None"/>
    <n v="1657.87"/>
    <n v="1.0446"/>
    <n v="365"/>
    <s v="In Stock"/>
  </r>
  <r>
    <s v="AMZ26-00893"/>
    <d v="2026-03-14T00:00:00"/>
    <x v="0"/>
    <s v="Q1"/>
    <n v="2026"/>
    <s v="CUST-4714"/>
    <s v="Nandini Patel"/>
    <s v="Small Business"/>
    <s v="India"/>
    <s v="Rajasthan"/>
    <s v="Jaipur"/>
    <x v="3"/>
    <s v="Amazon Website"/>
    <s v="Desktop"/>
    <x v="1"/>
    <s v="Accessories"/>
    <s v="Keyboard"/>
    <s v="HP"/>
    <s v="ELE-ACC-37219"/>
    <s v="FBA"/>
    <x v="5"/>
    <x v="1"/>
    <n v="4"/>
    <n v="4659.3"/>
    <n v="0.1"/>
    <n v="1863.72"/>
    <n v="18637.2"/>
    <n v="16773.48"/>
    <n v="27.06"/>
    <n v="11549.77"/>
    <n v="5196.6499999999996"/>
    <n v="0.30980000000000002"/>
    <n v="0"/>
    <s v="Not Applicable"/>
    <s v="No"/>
    <m/>
    <m/>
    <n v="0"/>
    <s v="Yes"/>
    <s v="Amazon Coupon"/>
    <n v="19782.93"/>
    <n v="0.84789999999999999"/>
    <n v="14"/>
    <s v="Low Stock"/>
  </r>
  <r>
    <s v="AMZ26-00894"/>
    <d v="2026-11-24T00:00:00"/>
    <x v="6"/>
    <s v="Q4"/>
    <n v="2026"/>
    <s v="CUST-4845"/>
    <s v="Nikhil Joshi"/>
    <s v="Consumer"/>
    <s v="India"/>
    <s v="Assam"/>
    <s v="Guwahati"/>
    <x v="2"/>
    <s v="Amazon App"/>
    <s v="iOS"/>
    <x v="3"/>
    <s v="Snacks"/>
    <s v="Mixed Nuts"/>
    <s v="Happilo"/>
    <s v="GRO-SNA-47811"/>
    <s v="FBM"/>
    <x v="2"/>
    <x v="0"/>
    <n v="5"/>
    <n v="963.27"/>
    <n v="0.05"/>
    <n v="240.82"/>
    <n v="4816.3500000000004"/>
    <n v="4575.53"/>
    <n v="129.76"/>
    <n v="3305.88"/>
    <n v="1139.8900000000001"/>
    <n v="0.24909999999999999"/>
    <n v="6"/>
    <s v="Delayed"/>
    <s v="No"/>
    <m/>
    <n v="3"/>
    <n v="0"/>
    <s v="No"/>
    <s v="Prime Deal"/>
    <n v="4865.57"/>
    <n v="0.94040000000000001"/>
    <n v="350"/>
    <s v="In Stock"/>
  </r>
  <r>
    <s v="AMZ26-00895"/>
    <d v="2026-05-19T00:00:00"/>
    <x v="2"/>
    <s v="Q2"/>
    <n v="2026"/>
    <s v="CUST-1759"/>
    <s v="Arjun Nair"/>
    <s v="Small Business"/>
    <s v="India"/>
    <s v="Punjab"/>
    <s v="Ludhiana"/>
    <x v="0"/>
    <s v="Amazon Website"/>
    <s v="iOS"/>
    <x v="0"/>
    <s v="Footwear"/>
    <s v="Running Shoes"/>
    <s v="Adidas"/>
    <s v="FAS-FOO-31273"/>
    <s v="FBM"/>
    <x v="5"/>
    <x v="0"/>
    <n v="4"/>
    <n v="4846.3"/>
    <n v="0"/>
    <n v="0"/>
    <n v="19385.2"/>
    <n v="19385.2"/>
    <n v="223.51"/>
    <n v="14563.77"/>
    <n v="4597.92"/>
    <n v="0.23719999999999999"/>
    <n v="6"/>
    <s v="Delayed"/>
    <s v="No"/>
    <m/>
    <n v="4"/>
    <n v="3"/>
    <s v="Yes"/>
    <s v="Amazon Coupon"/>
    <n v="19390.04"/>
    <n v="0.99980000000000002"/>
    <n v="67"/>
    <s v="In Stock"/>
  </r>
  <r>
    <s v="AMZ26-00896"/>
    <d v="2026-09-25T00:00:00"/>
    <x v="1"/>
    <s v="Q3"/>
    <n v="2026"/>
    <s v="CUST-4212"/>
    <s v="Vihaan Nair"/>
    <s v="Small Business"/>
    <s v="India"/>
    <s v="Bihar"/>
    <s v="Patna"/>
    <x v="2"/>
    <s v="Amazon App"/>
    <s v="Android"/>
    <x v="1"/>
    <s v="Mobiles"/>
    <s v="Nord CE"/>
    <s v="OnePlus"/>
    <s v="ELE-MOB-19462"/>
    <s v="FBM"/>
    <x v="2"/>
    <x v="0"/>
    <n v="2"/>
    <n v="48555.47"/>
    <n v="0.3"/>
    <n v="29133.279999999999"/>
    <n v="97110.94"/>
    <n v="67977.66"/>
    <n v="18.850000000000001"/>
    <n v="50847.82"/>
    <n v="17110.990000000002"/>
    <n v="0.25169999999999998"/>
    <n v="6"/>
    <s v="Delayed"/>
    <s v="No"/>
    <m/>
    <n v="4"/>
    <n v="4"/>
    <s v="No"/>
    <s v="Prime Deal"/>
    <n v="60567.71"/>
    <n v="1.1223000000000001"/>
    <n v="3"/>
    <s v="Low Stock"/>
  </r>
  <r>
    <s v="AMZ26-00897"/>
    <d v="2026-07-17T00:00:00"/>
    <x v="3"/>
    <s v="Q3"/>
    <n v="2026"/>
    <s v="CUST-1106"/>
    <s v="Meera Iyer"/>
    <s v="Consumer"/>
    <s v="India"/>
    <s v="Kerala"/>
    <s v="Kochi"/>
    <x v="1"/>
    <s v="Amazon Website"/>
    <s v="Tablet"/>
    <x v="3"/>
    <s v="Beverages"/>
    <s v="Coffee"/>
    <s v="Nescafe"/>
    <s v="GRO-BEV-47319"/>
    <s v="FBA"/>
    <x v="5"/>
    <x v="0"/>
    <n v="4"/>
    <n v="638.05999999999995"/>
    <n v="0.15"/>
    <n v="382.84"/>
    <n v="2552.2399999999998"/>
    <n v="2169.4"/>
    <n v="48.95"/>
    <n v="1207.0999999999999"/>
    <n v="913.35"/>
    <n v="0.42099999999999999"/>
    <n v="4"/>
    <s v="On Time"/>
    <s v="No"/>
    <m/>
    <n v="5"/>
    <n v="0"/>
    <s v="Yes"/>
    <s v="Prime Deal"/>
    <n v="2486.16"/>
    <n v="0.87260000000000004"/>
    <n v="475"/>
    <s v="In Stock"/>
  </r>
  <r>
    <s v="AMZ26-00898"/>
    <d v="2026-11-08T00:00:00"/>
    <x v="6"/>
    <s v="Q4"/>
    <n v="2026"/>
    <s v="CUST-2859"/>
    <s v="Meera Kumar"/>
    <s v="Consumer"/>
    <s v="India"/>
    <s v="Karnataka"/>
    <s v="Mysuru"/>
    <x v="1"/>
    <s v="Amazon App"/>
    <s v="Android"/>
    <x v="4"/>
    <s v="Kitchen Appliances"/>
    <s v="Mixer Grinder"/>
    <s v="Prestige"/>
    <s v="HOM-KIT-33776"/>
    <s v="FBM"/>
    <x v="5"/>
    <x v="0"/>
    <n v="1"/>
    <n v="6217.97"/>
    <n v="0"/>
    <n v="0"/>
    <n v="6217.97"/>
    <n v="6217.97"/>
    <n v="57.8"/>
    <n v="4432.8999999999996"/>
    <n v="1727.27"/>
    <n v="0.27779999999999999"/>
    <n v="2"/>
    <s v="On Time"/>
    <s v="No"/>
    <m/>
    <n v="5"/>
    <n v="1"/>
    <s v="Yes"/>
    <s v="Prime Deal"/>
    <n v="5636.53"/>
    <n v="1.1032"/>
    <n v="22"/>
    <s v="Low Stock"/>
  </r>
  <r>
    <s v="AMZ26-00899"/>
    <d v="2026-08-26T00:00:00"/>
    <x v="4"/>
    <s v="Q3"/>
    <n v="2026"/>
    <s v="CUST-2910"/>
    <s v="Aditi Patel"/>
    <s v="Consumer"/>
    <s v="India"/>
    <s v="Haryana"/>
    <s v="Gurugram"/>
    <x v="0"/>
    <s v="Amazon App"/>
    <s v="Desktop"/>
    <x v="0"/>
    <s v="Women Clothing"/>
    <s v="Denim Jeans"/>
    <s v="Levi's"/>
    <s v="FAS-WOM-33781"/>
    <s v="FBM"/>
    <x v="3"/>
    <x v="0"/>
    <n v="4"/>
    <n v="4581.2"/>
    <n v="0"/>
    <n v="0"/>
    <n v="18324.8"/>
    <n v="18324.8"/>
    <n v="58.21"/>
    <n v="13271.32"/>
    <n v="4995.2700000000004"/>
    <n v="0.27260000000000001"/>
    <n v="7"/>
    <s v="Delayed"/>
    <s v="No"/>
    <m/>
    <n v="5"/>
    <n v="4"/>
    <s v="Yes"/>
    <s v="Festival Sale"/>
    <n v="18427.150000000001"/>
    <n v="0.99439999999999995"/>
    <n v="463"/>
    <s v="In Stock"/>
  </r>
  <r>
    <s v="AMZ26-00900"/>
    <d v="2026-08-12T00:00:00"/>
    <x v="4"/>
    <s v="Q3"/>
    <n v="2026"/>
    <s v="CUST-2127"/>
    <s v="Aarav Jain"/>
    <s v="Consumer"/>
    <s v="India"/>
    <s v="Punjab"/>
    <s v="Ludhiana"/>
    <x v="0"/>
    <s v="Amazon Website"/>
    <s v="Android"/>
    <x v="4"/>
    <s v="Kitchen Appliances"/>
    <s v="Electric Kettle"/>
    <s v="Pigeon"/>
    <s v="HOM-KIT-80245"/>
    <s v="FBM"/>
    <x v="3"/>
    <x v="0"/>
    <n v="4"/>
    <n v="3278"/>
    <n v="0.05"/>
    <n v="655.6"/>
    <n v="13112"/>
    <n v="12456.4"/>
    <n v="208.46"/>
    <n v="6721.6"/>
    <n v="5526.34"/>
    <n v="0.44369999999999998"/>
    <n v="2"/>
    <s v="On Time"/>
    <s v="No"/>
    <m/>
    <n v="4"/>
    <n v="1"/>
    <s v="Yes"/>
    <s v="None"/>
    <n v="14923.72"/>
    <n v="0.8347"/>
    <n v="58"/>
    <s v="In Stock"/>
  </r>
  <r>
    <s v="AMZ26-00901"/>
    <d v="2026-08-27T00:00:00"/>
    <x v="4"/>
    <s v="Q3"/>
    <n v="2026"/>
    <s v="CUST-3661"/>
    <s v="Rohan Joshi"/>
    <s v="Consumer"/>
    <s v="India"/>
    <s v="Assam"/>
    <s v="Guwahati"/>
    <x v="2"/>
    <s v="Amazon App"/>
    <s v="iOS"/>
    <x v="2"/>
    <s v="Makeup"/>
    <s v="Foundation"/>
    <s v="Lakme"/>
    <s v="BEA-MAK-38740"/>
    <s v="FBM"/>
    <x v="2"/>
    <x v="0"/>
    <n v="3"/>
    <n v="654.19000000000005"/>
    <n v="0.25"/>
    <n v="490.64"/>
    <n v="1962.57"/>
    <n v="1471.93"/>
    <n v="69.06"/>
    <n v="1097.71"/>
    <n v="305.16000000000003"/>
    <n v="0.20730000000000001"/>
    <n v="8"/>
    <s v="Delayed"/>
    <s v="No"/>
    <m/>
    <n v="3"/>
    <n v="4"/>
    <s v="Yes"/>
    <s v="Festival Sale"/>
    <n v="1686.52"/>
    <n v="0.87280000000000002"/>
    <n v="48"/>
    <s v="In Stock"/>
  </r>
  <r>
    <s v="AMZ26-00902"/>
    <d v="2026-01-25T00:00:00"/>
    <x v="10"/>
    <s v="Q1"/>
    <n v="2026"/>
    <s v="CUST-3798"/>
    <s v="Priya Singh"/>
    <s v="Small Business"/>
    <s v="India"/>
    <s v="Uttar Pradesh"/>
    <s v="Noida"/>
    <x v="0"/>
    <s v="Amazon App"/>
    <s v="iOS"/>
    <x v="4"/>
    <s v="Kitchen Appliances"/>
    <s v="Air Fryer"/>
    <s v="Philips"/>
    <s v="HOM-KIT-81138"/>
    <s v="FBM"/>
    <x v="2"/>
    <x v="2"/>
    <n v="3"/>
    <n v="355.03"/>
    <n v="0"/>
    <n v="0"/>
    <n v="1065.0899999999999"/>
    <n v="1065.0899999999999"/>
    <n v="17.239999999999998"/>
    <n v="822.63"/>
    <n v="225.22"/>
    <n v="0.21149999999999999"/>
    <n v="4"/>
    <s v="In Transit"/>
    <s v="No"/>
    <m/>
    <m/>
    <n v="0"/>
    <s v="No"/>
    <s v="Amazon Coupon"/>
    <n v="1302.23"/>
    <n v="0.81789999999999996"/>
    <n v="26"/>
    <s v="Low Stock"/>
  </r>
  <r>
    <s v="AMZ26-00903"/>
    <d v="2026-12-13T00:00:00"/>
    <x v="11"/>
    <s v="Q4"/>
    <n v="2026"/>
    <s v="CUST-2739"/>
    <s v="Meera Singh"/>
    <s v="Small Business"/>
    <s v="India"/>
    <s v="Delhi"/>
    <s v="New Delhi"/>
    <x v="0"/>
    <s v="Amazon Website"/>
    <s v="iOS"/>
    <x v="1"/>
    <s v="Accessories"/>
    <s v="USB-C Hub"/>
    <s v="Portronics"/>
    <s v="ELE-ACC-77598"/>
    <s v="FBA"/>
    <x v="0"/>
    <x v="2"/>
    <n v="4"/>
    <n v="25755.73"/>
    <n v="0.2"/>
    <n v="20604.580000000002"/>
    <n v="103022.92"/>
    <n v="82418.34"/>
    <n v="158.41"/>
    <n v="58412.89"/>
    <n v="23847.040000000001"/>
    <n v="0.2893"/>
    <n v="1"/>
    <s v="In Transit"/>
    <s v="No"/>
    <m/>
    <m/>
    <n v="0"/>
    <s v="Yes"/>
    <s v="None"/>
    <n v="70165.58"/>
    <n v="1.1746000000000001"/>
    <n v="61"/>
    <s v="In Stock"/>
  </r>
  <r>
    <s v="AMZ26-00904"/>
    <d v="2026-10-31T00:00:00"/>
    <x v="8"/>
    <s v="Q4"/>
    <n v="2026"/>
    <s v="CUST-1009"/>
    <s v="Sneha Jain"/>
    <s v="Small Business"/>
    <s v="India"/>
    <s v="Tamil Nadu"/>
    <s v="Chennai"/>
    <x v="1"/>
    <s v="Amazon App"/>
    <s v="Desktop"/>
    <x v="4"/>
    <s v="Home Decor"/>
    <s v="Curtain Set"/>
    <s v="Home Centre"/>
    <s v="HOM-HOM-51556"/>
    <s v="FBA"/>
    <x v="4"/>
    <x v="0"/>
    <n v="1"/>
    <n v="7838.64"/>
    <n v="0.3"/>
    <n v="2351.59"/>
    <n v="7838.64"/>
    <n v="5487.05"/>
    <n v="72.64"/>
    <n v="2946.4"/>
    <n v="2468.0100000000002"/>
    <n v="0.44979999999999998"/>
    <n v="3"/>
    <s v="On Time"/>
    <s v="No"/>
    <m/>
    <n v="5"/>
    <n v="2"/>
    <s v="Yes"/>
    <s v="Prime Deal"/>
    <n v="6425.57"/>
    <n v="0.85389999999999999"/>
    <n v="154"/>
    <s v="In Stock"/>
  </r>
  <r>
    <s v="AMZ26-00905"/>
    <d v="2026-05-27T00:00:00"/>
    <x v="2"/>
    <s v="Q2"/>
    <n v="2026"/>
    <s v="CUST-2390"/>
    <s v="Nandini Singh"/>
    <s v="Small Business"/>
    <s v="India"/>
    <s v="Maharashtra"/>
    <s v="Mumbai"/>
    <x v="3"/>
    <s v="Amazon App"/>
    <s v="Tablet"/>
    <x v="0"/>
    <s v="Women Clothing"/>
    <s v="Printed Kurti"/>
    <s v="BIBA"/>
    <s v="FAS-WOM-77335"/>
    <s v="FBA"/>
    <x v="3"/>
    <x v="0"/>
    <n v="1"/>
    <n v="577.46"/>
    <n v="0.25"/>
    <n v="144.37"/>
    <n v="577.46"/>
    <n v="433.09"/>
    <n v="14.68"/>
    <n v="273.61"/>
    <n v="144.80000000000001"/>
    <n v="0.33429999999999999"/>
    <n v="6"/>
    <s v="Delayed"/>
    <s v="No"/>
    <m/>
    <n v="3"/>
    <n v="1"/>
    <s v="Yes"/>
    <s v="Festival Sale"/>
    <n v="370.91"/>
    <n v="1.1676"/>
    <n v="109"/>
    <s v="In Stock"/>
  </r>
  <r>
    <s v="AMZ26-00906"/>
    <d v="2026-02-06T00:00:00"/>
    <x v="7"/>
    <s v="Q1"/>
    <n v="2026"/>
    <s v="CUST-1073"/>
    <s v="Vihaan Verma"/>
    <s v="Small Business"/>
    <s v="India"/>
    <s v="Assam"/>
    <s v="Guwahati"/>
    <x v="2"/>
    <s v="Amazon Website"/>
    <s v="Tablet"/>
    <x v="3"/>
    <s v="Beverages"/>
    <s v="Coffee"/>
    <s v="Nescafe"/>
    <s v="GRO-BEV-80612"/>
    <s v="FBA"/>
    <x v="2"/>
    <x v="0"/>
    <n v="2"/>
    <n v="436.91"/>
    <n v="0.3"/>
    <n v="262.14999999999998"/>
    <n v="873.82"/>
    <n v="611.66999999999996"/>
    <n v="1.89"/>
    <n v="412.09"/>
    <n v="197.69"/>
    <n v="0.32319999999999999"/>
    <n v="6"/>
    <s v="Delayed"/>
    <s v="No"/>
    <m/>
    <n v="4"/>
    <n v="2"/>
    <s v="No"/>
    <s v="Bank Offer"/>
    <n v="625.39"/>
    <n v="0.97809999999999997"/>
    <n v="45"/>
    <s v="In Stock"/>
  </r>
  <r>
    <s v="AMZ26-00907"/>
    <d v="2026-12-03T00:00:00"/>
    <x v="11"/>
    <s v="Q4"/>
    <n v="2026"/>
    <s v="CUST-4954"/>
    <s v="Diya Singh"/>
    <s v="Corporate"/>
    <s v="India"/>
    <s v="Haryana"/>
    <s v="Gurugram"/>
    <x v="0"/>
    <s v="Amazon App"/>
    <s v="Android"/>
    <x v="3"/>
    <s v="Beverages"/>
    <s v="Coffee"/>
    <s v="Nescafe"/>
    <s v="GRO-BEV-28048"/>
    <s v="FBM"/>
    <x v="5"/>
    <x v="0"/>
    <n v="5"/>
    <n v="81.45"/>
    <n v="0.05"/>
    <n v="20.36"/>
    <n v="407.25"/>
    <n v="386.89"/>
    <n v="142.78"/>
    <n v="280.76"/>
    <n v="-36.65"/>
    <n v="-9.4700000000000006E-2"/>
    <n v="1"/>
    <s v="On Time"/>
    <s v="No"/>
    <m/>
    <n v="4"/>
    <n v="0"/>
    <s v="Yes"/>
    <s v="None"/>
    <n v="471.3"/>
    <n v="0.82089999999999996"/>
    <n v="94"/>
    <s v="In Stock"/>
  </r>
  <r>
    <s v="AMZ26-00908"/>
    <d v="2026-03-02T00:00:00"/>
    <x v="0"/>
    <s v="Q1"/>
    <n v="2026"/>
    <s v="CUST-4745"/>
    <s v="Rahul Verma"/>
    <s v="Small Business"/>
    <s v="India"/>
    <s v="Haryana"/>
    <s v="Gurugram"/>
    <x v="0"/>
    <s v="Amazon App"/>
    <s v="Android"/>
    <x v="1"/>
    <s v="Accessories"/>
    <s v="USB-C Hub"/>
    <s v="Portronics"/>
    <s v="ELE-ACC-96354"/>
    <s v="FBA"/>
    <x v="4"/>
    <x v="1"/>
    <n v="5"/>
    <n v="9812.02"/>
    <n v="0.25"/>
    <n v="12265.02"/>
    <n v="49060.1"/>
    <n v="36795.08"/>
    <n v="130.16999999999999"/>
    <n v="20421.060000000001"/>
    <n v="16243.85"/>
    <n v="0.4415"/>
    <n v="0"/>
    <s v="Not Applicable"/>
    <s v="No"/>
    <m/>
    <m/>
    <n v="0"/>
    <s v="Yes"/>
    <s v="Lightning Deal"/>
    <n v="31825.9"/>
    <n v="1.1560999999999999"/>
    <n v="354"/>
    <s v="In Stock"/>
  </r>
  <r>
    <s v="AMZ26-00909"/>
    <d v="2026-01-26T00:00:00"/>
    <x v="10"/>
    <s v="Q1"/>
    <n v="2026"/>
    <s v="CUST-4421"/>
    <s v="Kavya Shetty"/>
    <s v="Corporate"/>
    <s v="India"/>
    <s v="Telangana"/>
    <s v="Hyderabad"/>
    <x v="1"/>
    <s v="Amazon Website"/>
    <s v="Android"/>
    <x v="2"/>
    <s v="Skin Care"/>
    <s v="Moisturizer"/>
    <s v="Cetaphil"/>
    <s v="BEA-SKI-68111"/>
    <s v="FBM"/>
    <x v="2"/>
    <x v="2"/>
    <n v="4"/>
    <n v="1566.26"/>
    <n v="0.15"/>
    <n v="939.76"/>
    <n v="6265.04"/>
    <n v="5325.28"/>
    <n v="2.48"/>
    <n v="4022.82"/>
    <n v="1299.98"/>
    <n v="0.24410000000000001"/>
    <n v="1"/>
    <s v="In Transit"/>
    <s v="No"/>
    <m/>
    <m/>
    <n v="0"/>
    <s v="Yes"/>
    <s v="Amazon Coupon"/>
    <n v="5597.89"/>
    <n v="0.95130000000000003"/>
    <n v="430"/>
    <s v="In Stock"/>
  </r>
  <r>
    <s v="AMZ26-00910"/>
    <d v="2026-03-23T00:00:00"/>
    <x v="0"/>
    <s v="Q1"/>
    <n v="2026"/>
    <s v="CUST-2909"/>
    <s v="Isha Nair"/>
    <s v="Small Business"/>
    <s v="India"/>
    <s v="Odisha"/>
    <s v="Bhubaneswar"/>
    <x v="2"/>
    <s v="Amazon App"/>
    <s v="Tablet"/>
    <x v="1"/>
    <s v="Mobiles"/>
    <s v="Redmi Note"/>
    <s v="Xiaomi"/>
    <s v="ELE-MOB-63263"/>
    <s v="FBM"/>
    <x v="4"/>
    <x v="0"/>
    <n v="3"/>
    <n v="32748.84"/>
    <n v="0.1"/>
    <n v="9824.65"/>
    <n v="98246.52"/>
    <n v="88421.87"/>
    <n v="205.98"/>
    <n v="53695.31"/>
    <n v="34520.58"/>
    <n v="0.39040000000000002"/>
    <n v="2"/>
    <s v="On Time"/>
    <s v="No"/>
    <m/>
    <n v="5"/>
    <n v="0"/>
    <s v="No"/>
    <s v="None"/>
    <n v="89665.15"/>
    <n v="0.98609999999999998"/>
    <n v="17"/>
    <s v="Low Stock"/>
  </r>
  <r>
    <s v="AMZ26-00911"/>
    <d v="2026-11-11T00:00:00"/>
    <x v="6"/>
    <s v="Q4"/>
    <n v="2026"/>
    <s v="CUST-1662"/>
    <s v="Isha Jain"/>
    <s v="Small Business"/>
    <s v="India"/>
    <s v="Maharashtra"/>
    <s v="Mumbai"/>
    <x v="3"/>
    <s v="Amazon App"/>
    <s v="Android"/>
    <x v="4"/>
    <s v="Kitchen Appliances"/>
    <s v="Air Fryer"/>
    <s v="Philips"/>
    <s v="HOM-KIT-37238"/>
    <s v="FBM"/>
    <x v="3"/>
    <x v="0"/>
    <n v="2"/>
    <n v="3038.74"/>
    <n v="0.3"/>
    <n v="1823.24"/>
    <n v="6077.48"/>
    <n v="4254.24"/>
    <n v="216.24"/>
    <n v="2854.09"/>
    <n v="1183.9100000000001"/>
    <n v="0.27829999999999999"/>
    <n v="1"/>
    <s v="On Time"/>
    <s v="No"/>
    <m/>
    <n v="3"/>
    <n v="3"/>
    <s v="Yes"/>
    <s v="Bank Offer"/>
    <n v="4775.38"/>
    <n v="0.89090000000000003"/>
    <n v="376"/>
    <s v="In Stock"/>
  </r>
  <r>
    <s v="AMZ26-00912"/>
    <d v="2026-05-31T00:00:00"/>
    <x v="2"/>
    <s v="Q2"/>
    <n v="2026"/>
    <s v="CUST-4112"/>
    <s v="Sneha Joshi"/>
    <s v="Consumer"/>
    <s v="India"/>
    <s v="Delhi"/>
    <s v="New Delhi"/>
    <x v="0"/>
    <s v="Amazon Website"/>
    <s v="Android"/>
    <x v="0"/>
    <s v="Women Clothing"/>
    <s v="Denim Jeans"/>
    <s v="Levi's"/>
    <s v="FAS-WOM-85025"/>
    <s v="FBA"/>
    <x v="4"/>
    <x v="0"/>
    <n v="4"/>
    <n v="391.82"/>
    <n v="0.3"/>
    <n v="470.18"/>
    <n v="1567.28"/>
    <n v="1097.0999999999999"/>
    <n v="245.08"/>
    <n v="597.47"/>
    <n v="254.55"/>
    <n v="0.23200000000000001"/>
    <n v="8"/>
    <s v="Delayed"/>
    <s v="Yes"/>
    <s v="Changed Mind"/>
    <n v="4"/>
    <n v="0"/>
    <s v="Yes"/>
    <s v="Amazon Coupon"/>
    <n v="1060.3399999999999"/>
    <n v="1.0347"/>
    <n v="221"/>
    <s v="In Stock"/>
  </r>
  <r>
    <s v="AMZ26-00913"/>
    <d v="2026-03-18T00:00:00"/>
    <x v="0"/>
    <s v="Q1"/>
    <n v="2026"/>
    <s v="CUST-1182"/>
    <s v="Aditya Joshi"/>
    <s v="Consumer"/>
    <s v="India"/>
    <s v="Delhi"/>
    <s v="New Delhi"/>
    <x v="0"/>
    <s v="Amazon Website"/>
    <s v="Android"/>
    <x v="1"/>
    <s v="Mobiles"/>
    <s v="Moto G"/>
    <s v="Motorola"/>
    <s v="ELE-MOB-86465"/>
    <s v="FBA"/>
    <x v="1"/>
    <x v="0"/>
    <n v="2"/>
    <n v="33861.86"/>
    <n v="0.05"/>
    <n v="3386.19"/>
    <n v="67723.72"/>
    <n v="64337.53"/>
    <n v="169.83"/>
    <n v="39372.019999999997"/>
    <n v="24795.68"/>
    <n v="0.38540000000000002"/>
    <n v="7"/>
    <s v="Delayed"/>
    <s v="No"/>
    <m/>
    <n v="5"/>
    <n v="0"/>
    <s v="Yes"/>
    <s v="None"/>
    <n v="55692.35"/>
    <n v="1.1552"/>
    <n v="341"/>
    <s v="In Stock"/>
  </r>
  <r>
    <s v="AMZ26-00914"/>
    <d v="2026-12-30T00:00:00"/>
    <x v="11"/>
    <s v="Q4"/>
    <n v="2026"/>
    <s v="CUST-2207"/>
    <s v="Diya Das"/>
    <s v="Consumer"/>
    <s v="India"/>
    <s v="Gujarat"/>
    <s v="Ahmedabad"/>
    <x v="3"/>
    <s v="Amazon App"/>
    <s v="iOS"/>
    <x v="0"/>
    <s v="Women Clothing"/>
    <s v="Casual Top"/>
    <s v="ONLY"/>
    <s v="FAS-WOM-87354"/>
    <s v="FBA"/>
    <x v="5"/>
    <x v="0"/>
    <n v="4"/>
    <n v="4285.3999999999996"/>
    <n v="0.2"/>
    <n v="3428.32"/>
    <n v="17141.599999999999"/>
    <n v="13713.28"/>
    <n v="54.96"/>
    <n v="9978.26"/>
    <n v="3680.06"/>
    <n v="0.26840000000000003"/>
    <n v="3"/>
    <s v="On Time"/>
    <s v="No"/>
    <m/>
    <n v="4"/>
    <n v="1"/>
    <s v="Yes"/>
    <s v="Lightning Deal"/>
    <n v="13078.46"/>
    <n v="1.0485"/>
    <n v="50"/>
    <s v="In Stock"/>
  </r>
  <r>
    <s v="AMZ26-00915"/>
    <d v="2026-04-24T00:00:00"/>
    <x v="9"/>
    <s v="Q2"/>
    <n v="2026"/>
    <s v="CUST-1180"/>
    <s v="Arjun Rao"/>
    <s v="Consumer"/>
    <s v="India"/>
    <s v="Haryana"/>
    <s v="Gurugram"/>
    <x v="0"/>
    <s v="Amazon Website"/>
    <s v="Tablet"/>
    <x v="0"/>
    <s v="Women Clothing"/>
    <s v="Casual Top"/>
    <s v="ONLY"/>
    <s v="FAS-WOM-48885"/>
    <s v="FBM"/>
    <x v="2"/>
    <x v="0"/>
    <n v="1"/>
    <n v="1448.16"/>
    <n v="0.25"/>
    <n v="362.04"/>
    <n v="1448.16"/>
    <n v="1086.1199999999999"/>
    <n v="20.11"/>
    <n v="761.8"/>
    <n v="304.20999999999998"/>
    <n v="0.28010000000000002"/>
    <n v="7"/>
    <s v="Delayed"/>
    <s v="No"/>
    <m/>
    <n v="5"/>
    <n v="1"/>
    <s v="No"/>
    <s v="Bank Offer"/>
    <n v="1270.04"/>
    <n v="0.85519999999999996"/>
    <n v="416"/>
    <s v="In Stock"/>
  </r>
  <r>
    <s v="AMZ26-00916"/>
    <d v="2026-10-02T00:00:00"/>
    <x v="8"/>
    <s v="Q4"/>
    <n v="2026"/>
    <s v="CUST-3650"/>
    <s v="Rahul Gupta"/>
    <s v="Consumer"/>
    <s v="India"/>
    <s v="Maharashtra"/>
    <s v="Pune"/>
    <x v="3"/>
    <s v="Amazon App"/>
    <s v="Android"/>
    <x v="2"/>
    <s v="Makeup"/>
    <s v="Kajal"/>
    <s v="Lakme"/>
    <s v="BEA-MAK-21986"/>
    <s v="FBA"/>
    <x v="1"/>
    <x v="0"/>
    <n v="3"/>
    <n v="1510.17"/>
    <n v="0.05"/>
    <n v="226.53"/>
    <n v="4530.51"/>
    <n v="4303.9799999999996"/>
    <n v="119.66"/>
    <n v="2940.17"/>
    <n v="1244.1500000000001"/>
    <n v="0.28910000000000002"/>
    <n v="4"/>
    <s v="On Time"/>
    <s v="No"/>
    <m/>
    <n v="5"/>
    <n v="2"/>
    <s v="Yes"/>
    <s v="None"/>
    <n v="4499.2700000000004"/>
    <n v="0.95660000000000001"/>
    <n v="483"/>
    <s v="In Stock"/>
  </r>
  <r>
    <s v="AMZ26-00917"/>
    <d v="2026-04-10T00:00:00"/>
    <x v="9"/>
    <s v="Q2"/>
    <n v="2026"/>
    <s v="CUST-1744"/>
    <s v="Vihaan Sharma"/>
    <s v="Consumer"/>
    <s v="India"/>
    <s v="Haryana"/>
    <s v="Gurugram"/>
    <x v="0"/>
    <s v="Amazon App"/>
    <s v="Tablet"/>
    <x v="2"/>
    <s v="Makeup"/>
    <s v="Kajal"/>
    <s v="Lakme"/>
    <s v="BEA-MAK-24593"/>
    <s v="FBM"/>
    <x v="2"/>
    <x v="0"/>
    <n v="4"/>
    <n v="934.44"/>
    <n v="0.15"/>
    <n v="560.66"/>
    <n v="3737.76"/>
    <n v="3177.1"/>
    <n v="172.18"/>
    <n v="2038.25"/>
    <n v="966.67"/>
    <n v="0.30430000000000001"/>
    <n v="8"/>
    <s v="Delayed"/>
    <s v="No"/>
    <m/>
    <n v="4"/>
    <n v="3"/>
    <s v="Yes"/>
    <s v="Prime Deal"/>
    <n v="3422.08"/>
    <n v="0.9284"/>
    <n v="305"/>
    <s v="In Stock"/>
  </r>
  <r>
    <s v="AMZ26-00918"/>
    <d v="2026-03-13T00:00:00"/>
    <x v="0"/>
    <s v="Q1"/>
    <n v="2026"/>
    <s v="CUST-3899"/>
    <s v="Kavya Das"/>
    <s v="Small Business"/>
    <s v="India"/>
    <s v="Maharashtra"/>
    <s v="Pune"/>
    <x v="3"/>
    <s v="Amazon Website"/>
    <s v="Tablet"/>
    <x v="0"/>
    <s v="Women Clothing"/>
    <s v="Denim Jeans"/>
    <s v="Levi's"/>
    <s v="FAS-WOM-33366"/>
    <s v="FBM"/>
    <x v="1"/>
    <x v="0"/>
    <n v="1"/>
    <n v="989.48"/>
    <n v="0.1"/>
    <n v="98.95"/>
    <n v="989.48"/>
    <n v="890.53"/>
    <n v="205.46"/>
    <n v="490.68"/>
    <n v="194.39"/>
    <n v="0.21829999999999999"/>
    <n v="8"/>
    <s v="Delayed"/>
    <s v="No"/>
    <m/>
    <n v="4"/>
    <n v="2"/>
    <s v="Yes"/>
    <s v="Lightning Deal"/>
    <n v="980.76"/>
    <n v="0.90800000000000003"/>
    <n v="380"/>
    <s v="In Stock"/>
  </r>
  <r>
    <s v="AMZ26-00919"/>
    <d v="2026-06-05T00:00:00"/>
    <x v="5"/>
    <s v="Q2"/>
    <n v="2026"/>
    <s v="CUST-3576"/>
    <s v="Sai Yadav"/>
    <s v="Consumer"/>
    <s v="India"/>
    <s v="Tamil Nadu"/>
    <s v="Chennai"/>
    <x v="1"/>
    <s v="Amazon Website"/>
    <s v="Desktop"/>
    <x v="4"/>
    <s v="Kitchen Appliances"/>
    <s v="Mixer Grinder"/>
    <s v="Prestige"/>
    <s v="HOM-KIT-56730"/>
    <s v="FBM"/>
    <x v="0"/>
    <x v="0"/>
    <n v="1"/>
    <n v="4771.1000000000004"/>
    <n v="0.2"/>
    <n v="954.22"/>
    <n v="4771.1000000000004"/>
    <n v="3816.88"/>
    <n v="93.6"/>
    <n v="1832.81"/>
    <n v="1890.47"/>
    <n v="0.49530000000000002"/>
    <n v="5"/>
    <s v="Delayed"/>
    <s v="No"/>
    <m/>
    <n v="5"/>
    <n v="0"/>
    <s v="Yes"/>
    <s v="Amazon Coupon"/>
    <n v="4106.87"/>
    <n v="0.9294"/>
    <n v="299"/>
    <s v="In Stock"/>
  </r>
  <r>
    <s v="AMZ26-00920"/>
    <d v="2026-09-08T00:00:00"/>
    <x v="1"/>
    <s v="Q3"/>
    <n v="2026"/>
    <s v="CUST-4027"/>
    <s v="Kiran Kumar"/>
    <s v="Small Business"/>
    <s v="India"/>
    <s v="Odisha"/>
    <s v="Bhubaneswar"/>
    <x v="2"/>
    <s v="Amazon Website"/>
    <s v="Tablet"/>
    <x v="3"/>
    <s v="Staples"/>
    <s v="Basmati Rice"/>
    <s v="India Gate"/>
    <s v="GRO-STA-61037"/>
    <s v="FBA"/>
    <x v="4"/>
    <x v="0"/>
    <n v="5"/>
    <n v="234.42"/>
    <n v="0"/>
    <n v="0"/>
    <n v="1172.0999999999999"/>
    <n v="1172.0999999999999"/>
    <n v="43.99"/>
    <n v="784.37"/>
    <n v="343.74"/>
    <n v="0.29330000000000001"/>
    <n v="3"/>
    <s v="On Time"/>
    <s v="No"/>
    <m/>
    <n v="4"/>
    <n v="4"/>
    <s v="Yes"/>
    <s v="None"/>
    <n v="1267.56"/>
    <n v="0.92469999999999997"/>
    <n v="245"/>
    <s v="In Stock"/>
  </r>
  <r>
    <s v="AMZ26-00921"/>
    <d v="2026-09-08T00:00:00"/>
    <x v="1"/>
    <s v="Q3"/>
    <n v="2026"/>
    <s v="CUST-3506"/>
    <s v="Sneha Sharma"/>
    <s v="Consumer"/>
    <s v="India"/>
    <s v="Maharashtra"/>
    <s v="Pune"/>
    <x v="3"/>
    <s v="Amazon Website"/>
    <s v="Desktop"/>
    <x v="1"/>
    <s v="Accessories"/>
    <s v="Wireless Mouse"/>
    <s v="Logitech"/>
    <s v="ELE-ACC-39368"/>
    <s v="FBM"/>
    <x v="2"/>
    <x v="2"/>
    <n v="3"/>
    <n v="62908.4"/>
    <n v="0.25"/>
    <n v="47181.3"/>
    <n v="188725.2"/>
    <n v="141543.9"/>
    <n v="235.29"/>
    <n v="105549.25"/>
    <n v="35759.360000000001"/>
    <n v="0.25259999999999999"/>
    <n v="8"/>
    <s v="In Transit"/>
    <s v="No"/>
    <m/>
    <m/>
    <n v="0"/>
    <s v="No"/>
    <s v="Bank Offer"/>
    <n v="169798.47"/>
    <n v="0.83360000000000001"/>
    <n v="382"/>
    <s v="In Stock"/>
  </r>
  <r>
    <s v="AMZ26-00922"/>
    <d v="2026-05-29T00:00:00"/>
    <x v="2"/>
    <s v="Q2"/>
    <n v="2026"/>
    <s v="CUST-3390"/>
    <s v="Vivek Gupta"/>
    <s v="Corporate"/>
    <s v="India"/>
    <s v="Punjab"/>
    <s v="Ludhiana"/>
    <x v="0"/>
    <s v="Amazon App"/>
    <s v="Tablet"/>
    <x v="2"/>
    <s v="Hair Care"/>
    <s v="Shampoo"/>
    <s v="Dove"/>
    <s v="BEA-HAI-56323"/>
    <s v="FBM"/>
    <x v="5"/>
    <x v="0"/>
    <n v="2"/>
    <n v="2366.9699999999998"/>
    <n v="0.3"/>
    <n v="1420.18"/>
    <n v="4733.9399999999996"/>
    <n v="3313.76"/>
    <n v="47.07"/>
    <n v="2473.63"/>
    <n v="793.06"/>
    <n v="0.23930000000000001"/>
    <n v="1"/>
    <s v="On Time"/>
    <s v="No"/>
    <m/>
    <n v="5"/>
    <n v="3"/>
    <s v="Yes"/>
    <s v="Festival Sale"/>
    <n v="3940.13"/>
    <n v="0.84099999999999997"/>
    <n v="463"/>
    <s v="In Stock"/>
  </r>
  <r>
    <s v="AMZ26-00923"/>
    <d v="2026-09-15T00:00:00"/>
    <x v="1"/>
    <s v="Q3"/>
    <n v="2026"/>
    <s v="CUST-4797"/>
    <s v="Nandini Nair"/>
    <s v="Consumer"/>
    <s v="India"/>
    <s v="Assam"/>
    <s v="Guwahati"/>
    <x v="2"/>
    <s v="Amazon App"/>
    <s v="Android"/>
    <x v="4"/>
    <s v="Cookware"/>
    <s v="Nonstick Pan"/>
    <s v="Prestige"/>
    <s v="HOM-COO-80711"/>
    <s v="FBA"/>
    <x v="4"/>
    <x v="0"/>
    <n v="2"/>
    <n v="3123.85"/>
    <n v="0.1"/>
    <n v="624.77"/>
    <n v="6247.7"/>
    <n v="5622.93"/>
    <n v="171.15"/>
    <n v="3379.59"/>
    <n v="2072.19"/>
    <n v="0.36849999999999999"/>
    <n v="6"/>
    <s v="Delayed"/>
    <s v="No"/>
    <m/>
    <n v="5"/>
    <n v="3"/>
    <s v="Yes"/>
    <s v="Bank Offer"/>
    <n v="5721.81"/>
    <n v="0.98270000000000002"/>
    <n v="18"/>
    <s v="Low Stock"/>
  </r>
  <r>
    <s v="AMZ26-00924"/>
    <d v="2026-12-24T00:00:00"/>
    <x v="11"/>
    <s v="Q4"/>
    <n v="2026"/>
    <s v="CUST-1556"/>
    <s v="Ananya Rao"/>
    <s v="Consumer"/>
    <s v="India"/>
    <s v="Haryana"/>
    <s v="Gurugram"/>
    <x v="0"/>
    <s v="Amazon Website"/>
    <s v="Android"/>
    <x v="4"/>
    <s v="Kitchen Appliances"/>
    <s v="Mixer Grinder"/>
    <s v="Prestige"/>
    <s v="HOM-KIT-57240"/>
    <s v="FBM"/>
    <x v="0"/>
    <x v="2"/>
    <n v="5"/>
    <n v="1432.49"/>
    <n v="0.05"/>
    <n v="358.12"/>
    <n v="7162.45"/>
    <n v="6804.33"/>
    <n v="67.09"/>
    <n v="3494.32"/>
    <n v="3242.92"/>
    <n v="0.47660000000000002"/>
    <n v="2"/>
    <s v="In Transit"/>
    <s v="No"/>
    <m/>
    <m/>
    <n v="0"/>
    <s v="No"/>
    <s v="None"/>
    <n v="6060.9"/>
    <n v="1.1227"/>
    <n v="72"/>
    <s v="In Stock"/>
  </r>
  <r>
    <s v="AMZ26-00925"/>
    <d v="2026-09-10T00:00:00"/>
    <x v="1"/>
    <s v="Q3"/>
    <n v="2026"/>
    <s v="CUST-1360"/>
    <s v="Nandini Joshi"/>
    <s v="Corporate"/>
    <s v="India"/>
    <s v="Maharashtra"/>
    <s v="Pune"/>
    <x v="3"/>
    <s v="Amazon App"/>
    <s v="Android"/>
    <x v="4"/>
    <s v="Kitchen Appliances"/>
    <s v="Air Fryer"/>
    <s v="Philips"/>
    <s v="HOM-KIT-65427"/>
    <s v="FBA"/>
    <x v="3"/>
    <x v="0"/>
    <n v="2"/>
    <n v="6041.59"/>
    <n v="0.15"/>
    <n v="1812.48"/>
    <n v="12083.18"/>
    <n v="10270.700000000001"/>
    <n v="31.25"/>
    <n v="6349.87"/>
    <n v="3889.58"/>
    <n v="0.37869999999999998"/>
    <n v="4"/>
    <s v="On Time"/>
    <s v="No"/>
    <m/>
    <n v="4"/>
    <n v="4"/>
    <s v="No"/>
    <s v="Prime Deal"/>
    <n v="12355.33"/>
    <n v="0.83130000000000004"/>
    <n v="120"/>
    <s v="In Stock"/>
  </r>
  <r>
    <s v="AMZ26-00926"/>
    <d v="2026-03-29T00:00:00"/>
    <x v="0"/>
    <s v="Q1"/>
    <n v="2026"/>
    <s v="CUST-4418"/>
    <s v="Nikhil Patel"/>
    <s v="Consumer"/>
    <s v="India"/>
    <s v="Maharashtra"/>
    <s v="Mumbai"/>
    <x v="3"/>
    <s v="Amazon App"/>
    <s v="Tablet"/>
    <x v="1"/>
    <s v="Accessories"/>
    <s v="USB-C Hub"/>
    <s v="Portronics"/>
    <s v="ELE-ACC-52932"/>
    <s v="FBA"/>
    <x v="5"/>
    <x v="0"/>
    <n v="5"/>
    <n v="619.58000000000004"/>
    <n v="0.3"/>
    <n v="929.37"/>
    <n v="3097.9"/>
    <n v="2168.5300000000002"/>
    <n v="66.150000000000006"/>
    <n v="1333.83"/>
    <n v="768.55"/>
    <n v="0.35439999999999999"/>
    <n v="8"/>
    <s v="Delayed"/>
    <s v="No"/>
    <m/>
    <n v="5"/>
    <n v="0"/>
    <s v="Yes"/>
    <s v="None"/>
    <n v="2504.1799999999998"/>
    <n v="0.86599999999999999"/>
    <n v="67"/>
    <s v="In Stock"/>
  </r>
  <r>
    <s v="AMZ26-00927"/>
    <d v="2026-03-07T00:00:00"/>
    <x v="0"/>
    <s v="Q1"/>
    <n v="2026"/>
    <s v="CUST-3482"/>
    <s v="Nikhil Yadav"/>
    <s v="Consumer"/>
    <s v="India"/>
    <s v="Bihar"/>
    <s v="Patna"/>
    <x v="2"/>
    <s v="Amazon App"/>
    <s v="iOS"/>
    <x v="4"/>
    <s v="Cookware"/>
    <s v="Pressure Cooker"/>
    <s v="Hawkins"/>
    <s v="HOM-COO-10086"/>
    <s v="FBM"/>
    <x v="1"/>
    <x v="0"/>
    <n v="2"/>
    <n v="967.49"/>
    <n v="0.05"/>
    <n v="96.75"/>
    <n v="1934.98"/>
    <n v="1838.23"/>
    <n v="97.8"/>
    <n v="1076.71"/>
    <n v="663.72"/>
    <n v="0.36109999999999998"/>
    <n v="1"/>
    <s v="On Time"/>
    <s v="No"/>
    <m/>
    <n v="4"/>
    <n v="3"/>
    <s v="Yes"/>
    <s v="Lightning Deal"/>
    <n v="2222.61"/>
    <n v="0.82709999999999995"/>
    <n v="235"/>
    <s v="In Stock"/>
  </r>
  <r>
    <s v="AMZ26-00928"/>
    <d v="2026-07-25T00:00:00"/>
    <x v="3"/>
    <s v="Q3"/>
    <n v="2026"/>
    <s v="CUST-1018"/>
    <s v="Rahul Patel"/>
    <s v="Consumer"/>
    <s v="India"/>
    <s v="West Bengal"/>
    <s v="Kolkata"/>
    <x v="2"/>
    <s v="Amazon App"/>
    <s v="iOS"/>
    <x v="2"/>
    <s v="Hair Care"/>
    <s v="Shampoo"/>
    <s v="Dove"/>
    <s v="BEA-HAI-57121"/>
    <s v="FBM"/>
    <x v="5"/>
    <x v="1"/>
    <n v="3"/>
    <n v="364.21"/>
    <n v="0.25"/>
    <n v="273.16000000000003"/>
    <n v="1092.6300000000001"/>
    <n v="819.47"/>
    <n v="111.26"/>
    <n v="424.36"/>
    <n v="283.85000000000002"/>
    <n v="0.34639999999999999"/>
    <n v="0"/>
    <s v="Not Applicable"/>
    <s v="No"/>
    <m/>
    <m/>
    <n v="0"/>
    <s v="Yes"/>
    <s v="Amazon Coupon"/>
    <n v="740.94"/>
    <n v="1.1060000000000001"/>
    <n v="230"/>
    <s v="In Stock"/>
  </r>
  <r>
    <s v="AMZ26-00929"/>
    <d v="2026-05-16T00:00:00"/>
    <x v="2"/>
    <s v="Q2"/>
    <n v="2026"/>
    <s v="CUST-2403"/>
    <s v="Diya Singh"/>
    <s v="Corporate"/>
    <s v="India"/>
    <s v="Assam"/>
    <s v="Guwahati"/>
    <x v="2"/>
    <s v="Amazon App"/>
    <s v="Desktop"/>
    <x v="3"/>
    <s v="Staples"/>
    <s v="Basmati Rice"/>
    <s v="India Gate"/>
    <s v="GRO-STA-79481"/>
    <s v="FBA"/>
    <x v="2"/>
    <x v="0"/>
    <n v="5"/>
    <n v="1199.6500000000001"/>
    <n v="0"/>
    <n v="0"/>
    <n v="5998.25"/>
    <n v="5998.25"/>
    <n v="217.72"/>
    <n v="3605.65"/>
    <n v="2174.88"/>
    <n v="0.36259999999999998"/>
    <n v="4"/>
    <s v="On Time"/>
    <s v="No"/>
    <m/>
    <n v="5"/>
    <n v="0"/>
    <s v="Yes"/>
    <s v="Festival Sale"/>
    <n v="7003.58"/>
    <n v="0.85650000000000004"/>
    <n v="122"/>
    <s v="In Stock"/>
  </r>
  <r>
    <s v="AMZ26-00930"/>
    <d v="2026-04-19T00:00:00"/>
    <x v="9"/>
    <s v="Q2"/>
    <n v="2026"/>
    <s v="CUST-4396"/>
    <s v="Sneha Singh"/>
    <s v="Corporate"/>
    <s v="India"/>
    <s v="Delhi"/>
    <s v="New Delhi"/>
    <x v="0"/>
    <s v="Amazon Website"/>
    <s v="Android"/>
    <x v="4"/>
    <s v="Cookware"/>
    <s v="Nonstick Pan"/>
    <s v="Prestige"/>
    <s v="HOM-COO-46042"/>
    <s v="FBM"/>
    <x v="0"/>
    <x v="0"/>
    <n v="2"/>
    <n v="7973.18"/>
    <n v="0.15"/>
    <n v="2391.9499999999998"/>
    <n v="15946.36"/>
    <n v="13554.41"/>
    <n v="130.32"/>
    <n v="6964.31"/>
    <n v="6459.78"/>
    <n v="0.47660000000000002"/>
    <n v="7"/>
    <s v="Delayed"/>
    <s v="No"/>
    <m/>
    <n v="4"/>
    <n v="3"/>
    <s v="Yes"/>
    <s v="None"/>
    <n v="16790.45"/>
    <n v="0.80730000000000002"/>
    <n v="428"/>
    <s v="In Stock"/>
  </r>
  <r>
    <s v="AMZ26-00931"/>
    <d v="2026-10-28T00:00:00"/>
    <x v="8"/>
    <s v="Q4"/>
    <n v="2026"/>
    <s v="CUST-2455"/>
    <s v="Kiran Iyer"/>
    <s v="Corporate"/>
    <s v="India"/>
    <s v="Gujarat"/>
    <s v="Ahmedabad"/>
    <x v="3"/>
    <s v="Amazon Website"/>
    <s v="Android"/>
    <x v="4"/>
    <s v="Home Decor"/>
    <s v="Wall Clock"/>
    <s v="Ajanta"/>
    <s v="HOM-HOM-79646"/>
    <s v="FBA"/>
    <x v="0"/>
    <x v="2"/>
    <n v="1"/>
    <n v="2200.9699999999998"/>
    <n v="0.15"/>
    <n v="330.15"/>
    <n v="2200.9699999999998"/>
    <n v="1870.82"/>
    <n v="193.64"/>
    <n v="1240.21"/>
    <n v="436.97"/>
    <n v="0.2336"/>
    <n v="1"/>
    <s v="In Transit"/>
    <s v="No"/>
    <m/>
    <m/>
    <n v="0"/>
    <s v="Yes"/>
    <s v="Bank Offer"/>
    <n v="2168.85"/>
    <n v="0.86260000000000003"/>
    <n v="31"/>
    <s v="Low Stock"/>
  </r>
  <r>
    <s v="AMZ26-00932"/>
    <d v="2026-09-12T00:00:00"/>
    <x v="1"/>
    <s v="Q3"/>
    <n v="2026"/>
    <s v="CUST-3895"/>
    <s v="Sneha Shetty"/>
    <s v="Corporate"/>
    <s v="India"/>
    <s v="Kerala"/>
    <s v="Kochi"/>
    <x v="1"/>
    <s v="Amazon App"/>
    <s v="iOS"/>
    <x v="2"/>
    <s v="Hair Care"/>
    <s v="Hair Serum"/>
    <s v="L'Oreal"/>
    <s v="BEA-HAI-23570"/>
    <s v="FBM"/>
    <x v="0"/>
    <x v="0"/>
    <n v="2"/>
    <n v="1258.99"/>
    <n v="0.05"/>
    <n v="125.9"/>
    <n v="2517.98"/>
    <n v="2392.08"/>
    <n v="60.34"/>
    <n v="1648.15"/>
    <n v="683.59"/>
    <n v="0.2858"/>
    <n v="8"/>
    <s v="Delayed"/>
    <s v="No"/>
    <m/>
    <n v="5"/>
    <n v="4"/>
    <s v="Yes"/>
    <s v="Lightning Deal"/>
    <n v="2953.56"/>
    <n v="0.80989999999999995"/>
    <n v="69"/>
    <s v="In Stock"/>
  </r>
  <r>
    <s v="AMZ26-00933"/>
    <d v="2026-03-21T00:00:00"/>
    <x v="0"/>
    <s v="Q1"/>
    <n v="2026"/>
    <s v="CUST-2474"/>
    <s v="Isha Singh"/>
    <s v="Small Business"/>
    <s v="India"/>
    <s v="Haryana"/>
    <s v="Gurugram"/>
    <x v="0"/>
    <s v="Amazon Website"/>
    <s v="Tablet"/>
    <x v="0"/>
    <s v="Women Clothing"/>
    <s v="Denim Jeans"/>
    <s v="Levi's"/>
    <s v="FAS-WOM-55349"/>
    <s v="FBA"/>
    <x v="2"/>
    <x v="0"/>
    <n v="3"/>
    <n v="1904.88"/>
    <n v="0.25"/>
    <n v="1428.66"/>
    <n v="5714.64"/>
    <n v="4285.9799999999996"/>
    <n v="148.72999999999999"/>
    <n v="2922.59"/>
    <n v="1214.6600000000001"/>
    <n v="0.28339999999999999"/>
    <n v="1"/>
    <s v="On Time"/>
    <s v="Yes"/>
    <s v="Damaged Product"/>
    <n v="5"/>
    <n v="2"/>
    <s v="Yes"/>
    <s v="Lightning Deal"/>
    <n v="4046.47"/>
    <n v="1.0591999999999999"/>
    <n v="211"/>
    <s v="In Stock"/>
  </r>
  <r>
    <s v="AMZ26-00934"/>
    <d v="2026-06-19T00:00:00"/>
    <x v="5"/>
    <s v="Q2"/>
    <n v="2026"/>
    <s v="CUST-3573"/>
    <s v="Aarav Reddy"/>
    <s v="Small Business"/>
    <s v="India"/>
    <s v="Odisha"/>
    <s v="Bhubaneswar"/>
    <x v="2"/>
    <s v="Amazon Website"/>
    <s v="Tablet"/>
    <x v="1"/>
    <s v="Laptops"/>
    <s v="Pavilion"/>
    <s v="HP"/>
    <s v="ELE-LAP-35004"/>
    <s v="FBM"/>
    <x v="4"/>
    <x v="2"/>
    <n v="4"/>
    <n v="31824.63"/>
    <n v="0.25"/>
    <n v="31824.63"/>
    <n v="127298.52"/>
    <n v="95473.89"/>
    <n v="172.53"/>
    <n v="45871.89"/>
    <n v="49429.47"/>
    <n v="0.51770000000000005"/>
    <n v="4"/>
    <s v="In Transit"/>
    <s v="No"/>
    <m/>
    <m/>
    <n v="0"/>
    <s v="No"/>
    <s v="None"/>
    <n v="83204.56"/>
    <n v="1.1475"/>
    <n v="480"/>
    <s v="In Stock"/>
  </r>
  <r>
    <s v="AMZ26-00935"/>
    <d v="2026-05-17T00:00:00"/>
    <x v="2"/>
    <s v="Q2"/>
    <n v="2026"/>
    <s v="CUST-2209"/>
    <s v="Meera Yadav"/>
    <s v="Corporate"/>
    <s v="India"/>
    <s v="Uttar Pradesh"/>
    <s v="Noida"/>
    <x v="0"/>
    <s v="Amazon Website"/>
    <s v="Tablet"/>
    <x v="3"/>
    <s v="Staples"/>
    <s v="Cooking Oil"/>
    <s v="Fortune"/>
    <s v="GRO-STA-23597"/>
    <s v="FBA"/>
    <x v="5"/>
    <x v="0"/>
    <n v="4"/>
    <n v="788.19"/>
    <n v="0"/>
    <n v="0"/>
    <n v="3152.76"/>
    <n v="3152.76"/>
    <n v="177.61"/>
    <n v="1769.09"/>
    <n v="1206.06"/>
    <n v="0.38250000000000001"/>
    <n v="1"/>
    <s v="On Time"/>
    <s v="No"/>
    <m/>
    <n v="5"/>
    <n v="3"/>
    <s v="Yes"/>
    <s v="Bank Offer"/>
    <n v="3450.32"/>
    <n v="0.91379999999999995"/>
    <n v="69"/>
    <s v="In Stock"/>
  </r>
  <r>
    <s v="AMZ26-00936"/>
    <d v="2026-06-30T00:00:00"/>
    <x v="5"/>
    <s v="Q2"/>
    <n v="2026"/>
    <s v="CUST-1393"/>
    <s v="Nikhil Nair"/>
    <s v="Small Business"/>
    <s v="India"/>
    <s v="Delhi"/>
    <s v="New Delhi"/>
    <x v="0"/>
    <s v="Amazon App"/>
    <s v="Tablet"/>
    <x v="2"/>
    <s v="Hair Care"/>
    <s v="Hair Mask"/>
    <s v="Tresemme"/>
    <s v="BEA-HAI-16378"/>
    <s v="FBA"/>
    <x v="0"/>
    <x v="0"/>
    <n v="1"/>
    <n v="2253.6799999999998"/>
    <n v="0.25"/>
    <n v="563.41999999999996"/>
    <n v="2253.6799999999998"/>
    <n v="1690.26"/>
    <n v="153.75"/>
    <n v="935.82"/>
    <n v="600.69000000000005"/>
    <n v="0.35539999999999999"/>
    <n v="2"/>
    <s v="On Time"/>
    <s v="No"/>
    <m/>
    <n v="4"/>
    <n v="4"/>
    <s v="Yes"/>
    <s v="Festival Sale"/>
    <n v="1716.41"/>
    <n v="0.98480000000000001"/>
    <n v="53"/>
    <s v="In Stock"/>
  </r>
  <r>
    <s v="AMZ26-00937"/>
    <d v="2026-01-31T00:00:00"/>
    <x v="10"/>
    <s v="Q1"/>
    <n v="2026"/>
    <s v="CUST-3796"/>
    <s v="Sneha Rao"/>
    <s v="Small Business"/>
    <s v="India"/>
    <s v="Odisha"/>
    <s v="Bhubaneswar"/>
    <x v="2"/>
    <s v="Amazon Website"/>
    <s v="Desktop"/>
    <x v="1"/>
    <s v="Mobiles"/>
    <s v="Galaxy A Series"/>
    <s v="Samsung"/>
    <s v="ELE-MOB-30268"/>
    <s v="FBA"/>
    <x v="3"/>
    <x v="2"/>
    <n v="3"/>
    <n v="9128.43"/>
    <n v="0.3"/>
    <n v="8215.59"/>
    <n v="27385.29"/>
    <n v="19169.7"/>
    <n v="80.180000000000007"/>
    <n v="14171.36"/>
    <n v="4918.16"/>
    <n v="0.25659999999999999"/>
    <n v="1"/>
    <s v="In Transit"/>
    <s v="No"/>
    <m/>
    <m/>
    <n v="0"/>
    <s v="Yes"/>
    <s v="Festival Sale"/>
    <n v="18292.04"/>
    <n v="1.048"/>
    <n v="156"/>
    <s v="In Stock"/>
  </r>
  <r>
    <s v="AMZ26-00938"/>
    <d v="2026-02-15T00:00:00"/>
    <x v="7"/>
    <s v="Q1"/>
    <n v="2026"/>
    <s v="CUST-2957"/>
    <s v="Nikhil Iyer"/>
    <s v="Small Business"/>
    <s v="India"/>
    <s v="Tamil Nadu"/>
    <s v="Chennai"/>
    <x v="1"/>
    <s v="Amazon App"/>
    <s v="iOS"/>
    <x v="0"/>
    <s v="Women Clothing"/>
    <s v="Denim Jeans"/>
    <s v="Levi's"/>
    <s v="FAS-WOM-12875"/>
    <s v="FBM"/>
    <x v="5"/>
    <x v="1"/>
    <n v="5"/>
    <n v="4089.13"/>
    <n v="0.15"/>
    <n v="3066.85"/>
    <n v="20445.650000000001"/>
    <n v="17378.8"/>
    <n v="46.8"/>
    <n v="8952.52"/>
    <n v="8379.48"/>
    <n v="0.48220000000000002"/>
    <n v="0"/>
    <s v="Not Applicable"/>
    <s v="No"/>
    <m/>
    <m/>
    <n v="0"/>
    <s v="Yes"/>
    <s v="Prime Deal"/>
    <n v="17397.29"/>
    <n v="0.99890000000000001"/>
    <n v="240"/>
    <s v="In Stock"/>
  </r>
  <r>
    <s v="AMZ26-00939"/>
    <d v="2026-01-10T00:00:00"/>
    <x v="10"/>
    <s v="Q1"/>
    <n v="2026"/>
    <s v="CUST-4314"/>
    <s v="Aarav Gupta"/>
    <s v="Consumer"/>
    <s v="India"/>
    <s v="Delhi"/>
    <s v="New Delhi"/>
    <x v="0"/>
    <s v="Amazon App"/>
    <s v="Android"/>
    <x v="2"/>
    <s v="Makeup"/>
    <s v="Foundation"/>
    <s v="Lakme"/>
    <s v="BEA-MAK-97368"/>
    <s v="FBA"/>
    <x v="0"/>
    <x v="0"/>
    <n v="4"/>
    <n v="282.69"/>
    <n v="0.2"/>
    <n v="226.15"/>
    <n v="1130.76"/>
    <n v="904.61"/>
    <n v="44.93"/>
    <n v="654.03"/>
    <n v="205.65"/>
    <n v="0.2273"/>
    <n v="2"/>
    <s v="On Time"/>
    <s v="No"/>
    <m/>
    <n v="4"/>
    <n v="0"/>
    <s v="Yes"/>
    <s v="Festival Sale"/>
    <n v="1075"/>
    <n v="0.84150000000000003"/>
    <n v="199"/>
    <s v="In Stock"/>
  </r>
  <r>
    <s v="AMZ26-00940"/>
    <d v="2026-07-03T00:00:00"/>
    <x v="3"/>
    <s v="Q3"/>
    <n v="2026"/>
    <s v="CUST-3927"/>
    <s v="Kavya Das"/>
    <s v="Small Business"/>
    <s v="India"/>
    <s v="Assam"/>
    <s v="Guwahati"/>
    <x v="2"/>
    <s v="Amazon App"/>
    <s v="Tablet"/>
    <x v="3"/>
    <s v="Beverages"/>
    <s v="Fruit Juice"/>
    <s v="Real"/>
    <s v="GRO-BEV-17161"/>
    <s v="FBA"/>
    <x v="1"/>
    <x v="0"/>
    <n v="1"/>
    <n v="323.02999999999997"/>
    <n v="0.15"/>
    <n v="48.45"/>
    <n v="323.02999999999997"/>
    <n v="274.58"/>
    <n v="114.07"/>
    <n v="148.47"/>
    <n v="12.04"/>
    <n v="4.3799999999999999E-2"/>
    <n v="7"/>
    <s v="Delayed"/>
    <s v="No"/>
    <m/>
    <n v="4"/>
    <n v="3"/>
    <s v="Yes"/>
    <s v="Prime Deal"/>
    <n v="274.08999999999997"/>
    <n v="1.0018"/>
    <n v="289"/>
    <s v="In Stock"/>
  </r>
  <r>
    <s v="AMZ26-00941"/>
    <d v="2026-09-23T00:00:00"/>
    <x v="1"/>
    <s v="Q3"/>
    <n v="2026"/>
    <s v="CUST-2001"/>
    <s v="Kiran Sharma"/>
    <s v="Corporate"/>
    <s v="India"/>
    <s v="Assam"/>
    <s v="Guwahati"/>
    <x v="2"/>
    <s v="Amazon Website"/>
    <s v="Android"/>
    <x v="2"/>
    <s v="Makeup"/>
    <s v="Lipstick"/>
    <s v="Maybelline"/>
    <s v="BEA-MAK-94119"/>
    <s v="FBM"/>
    <x v="5"/>
    <x v="0"/>
    <n v="5"/>
    <n v="2386.4299999999998"/>
    <n v="0"/>
    <n v="0"/>
    <n v="11932.15"/>
    <n v="11932.15"/>
    <n v="87.03"/>
    <n v="8645.84"/>
    <n v="3199.28"/>
    <n v="0.2681"/>
    <n v="1"/>
    <s v="On Time"/>
    <s v="No"/>
    <m/>
    <n v="5"/>
    <n v="0"/>
    <s v="Yes"/>
    <s v="Amazon Coupon"/>
    <n v="14220.49"/>
    <n v="0.83909999999999996"/>
    <n v="399"/>
    <s v="In Stock"/>
  </r>
  <r>
    <s v="AMZ26-00942"/>
    <d v="2026-02-15T00:00:00"/>
    <x v="7"/>
    <s v="Q1"/>
    <n v="2026"/>
    <s v="CUST-4432"/>
    <s v="Vivek Iyer"/>
    <s v="Small Business"/>
    <s v="India"/>
    <s v="Assam"/>
    <s v="Guwahati"/>
    <x v="2"/>
    <s v="Amazon Website"/>
    <s v="iOS"/>
    <x v="0"/>
    <s v="Women Clothing"/>
    <s v="Denim Jeans"/>
    <s v="Levi's"/>
    <s v="FAS-WOM-28586"/>
    <s v="FBM"/>
    <x v="1"/>
    <x v="0"/>
    <n v="2"/>
    <n v="2180.52"/>
    <n v="0.3"/>
    <n v="1308.31"/>
    <n v="4361.04"/>
    <n v="3052.73"/>
    <n v="165.59"/>
    <n v="1635.91"/>
    <n v="1251.23"/>
    <n v="0.40989999999999999"/>
    <n v="6"/>
    <s v="Delayed"/>
    <s v="No"/>
    <m/>
    <n v="5"/>
    <n v="0"/>
    <s v="Yes"/>
    <s v="None"/>
    <n v="2920.23"/>
    <n v="1.0454000000000001"/>
    <n v="4"/>
    <s v="Low Stock"/>
  </r>
  <r>
    <s v="AMZ26-00943"/>
    <d v="2026-12-11T00:00:00"/>
    <x v="11"/>
    <s v="Q4"/>
    <n v="2026"/>
    <s v="CUST-4658"/>
    <s v="Kavya Reddy"/>
    <s v="Small Business"/>
    <s v="India"/>
    <s v="Telangana"/>
    <s v="Hyderabad"/>
    <x v="1"/>
    <s v="Amazon Website"/>
    <s v="iOS"/>
    <x v="0"/>
    <s v="Women Clothing"/>
    <s v="Casual Top"/>
    <s v="ONLY"/>
    <s v="FAS-WOM-19262"/>
    <s v="FBA"/>
    <x v="5"/>
    <x v="1"/>
    <n v="3"/>
    <n v="508.54"/>
    <n v="0.1"/>
    <n v="152.56"/>
    <n v="1525.62"/>
    <n v="1373.06"/>
    <n v="25.13"/>
    <n v="957.38"/>
    <n v="390.55"/>
    <n v="0.28439999999999999"/>
    <n v="0"/>
    <s v="Not Applicable"/>
    <s v="No"/>
    <m/>
    <m/>
    <n v="0"/>
    <s v="Yes"/>
    <s v="Bank Offer"/>
    <n v="1703.98"/>
    <n v="0.80579999999999996"/>
    <n v="43"/>
    <s v="In Stock"/>
  </r>
  <r>
    <s v="AMZ26-00944"/>
    <d v="2026-12-27T00:00:00"/>
    <x v="11"/>
    <s v="Q4"/>
    <n v="2026"/>
    <s v="CUST-2157"/>
    <s v="Sneha Yadav"/>
    <s v="Corporate"/>
    <s v="India"/>
    <s v="Uttar Pradesh"/>
    <s v="Noida"/>
    <x v="0"/>
    <s v="Amazon Website"/>
    <s v="Android"/>
    <x v="0"/>
    <s v="Women Clothing"/>
    <s v="Casual Top"/>
    <s v="ONLY"/>
    <s v="FAS-WOM-66395"/>
    <s v="FBM"/>
    <x v="2"/>
    <x v="2"/>
    <n v="4"/>
    <n v="2940.89"/>
    <n v="0.25"/>
    <n v="2940.89"/>
    <n v="11763.56"/>
    <n v="8822.67"/>
    <n v="228.89"/>
    <n v="4333.51"/>
    <n v="4260.2700000000004"/>
    <n v="0.4829"/>
    <n v="2"/>
    <s v="In Transit"/>
    <s v="No"/>
    <m/>
    <m/>
    <n v="0"/>
    <s v="Yes"/>
    <s v="None"/>
    <n v="7952.85"/>
    <n v="1.1093999999999999"/>
    <n v="169"/>
    <s v="In Stock"/>
  </r>
  <r>
    <s v="AMZ26-00945"/>
    <d v="2026-06-05T00:00:00"/>
    <x v="5"/>
    <s v="Q2"/>
    <n v="2026"/>
    <s v="CUST-2323"/>
    <s v="Nandini Verma"/>
    <s v="Corporate"/>
    <s v="India"/>
    <s v="Punjab"/>
    <s v="Ludhiana"/>
    <x v="0"/>
    <s v="Amazon App"/>
    <s v="Tablet"/>
    <x v="4"/>
    <s v="Cookware"/>
    <s v="Pressure Cooker"/>
    <s v="Hawkins"/>
    <s v="HOM-COO-89035"/>
    <s v="FBM"/>
    <x v="1"/>
    <x v="2"/>
    <n v="2"/>
    <n v="2039.83"/>
    <n v="0.25"/>
    <n v="1019.91"/>
    <n v="4079.66"/>
    <n v="3059.75"/>
    <n v="76.069999999999993"/>
    <n v="2007.86"/>
    <n v="975.82"/>
    <n v="0.31890000000000002"/>
    <n v="7"/>
    <s v="In Transit"/>
    <s v="No"/>
    <m/>
    <m/>
    <n v="0"/>
    <s v="No"/>
    <s v="None"/>
    <n v="3226.02"/>
    <n v="0.94850000000000001"/>
    <n v="361"/>
    <s v="In Stock"/>
  </r>
  <r>
    <s v="AMZ26-00946"/>
    <d v="2026-03-09T00:00:00"/>
    <x v="0"/>
    <s v="Q1"/>
    <n v="2026"/>
    <s v="CUST-2875"/>
    <s v="Kiran Verma"/>
    <s v="Small Business"/>
    <s v="India"/>
    <s v="Telangana"/>
    <s v="Hyderabad"/>
    <x v="1"/>
    <s v="Amazon App"/>
    <s v="Desktop"/>
    <x v="1"/>
    <s v="Accessories"/>
    <s v="USB-C Hub"/>
    <s v="Portronics"/>
    <s v="ELE-ACC-46762"/>
    <s v="FBM"/>
    <x v="4"/>
    <x v="0"/>
    <n v="2"/>
    <n v="6598.66"/>
    <n v="0.15"/>
    <n v="1979.6"/>
    <n v="13197.32"/>
    <n v="11217.72"/>
    <n v="153.94"/>
    <n v="5609.25"/>
    <n v="5454.53"/>
    <n v="0.48620000000000002"/>
    <n v="1"/>
    <s v="On Time"/>
    <s v="No"/>
    <m/>
    <n v="3"/>
    <n v="3"/>
    <s v="No"/>
    <s v="Amazon Coupon"/>
    <n v="12334.65"/>
    <n v="0.90939999999999999"/>
    <n v="473"/>
    <s v="In Stock"/>
  </r>
  <r>
    <s v="AMZ26-00947"/>
    <d v="2026-07-02T00:00:00"/>
    <x v="3"/>
    <s v="Q3"/>
    <n v="2026"/>
    <s v="CUST-3969"/>
    <s v="Aarav Jain"/>
    <s v="Corporate"/>
    <s v="India"/>
    <s v="Maharashtra"/>
    <s v="Mumbai"/>
    <x v="3"/>
    <s v="Amazon Website"/>
    <s v="Tablet"/>
    <x v="2"/>
    <s v="Skin Care"/>
    <s v="Face Serum"/>
    <s v="Minimalist"/>
    <s v="BEA-SKI-56399"/>
    <s v="FBA"/>
    <x v="5"/>
    <x v="0"/>
    <n v="2"/>
    <n v="163.18"/>
    <n v="0.2"/>
    <n v="65.27"/>
    <n v="326.36"/>
    <n v="261.08999999999997"/>
    <n v="102.71"/>
    <n v="156.13999999999999"/>
    <n v="2.2400000000000002"/>
    <n v="8.6E-3"/>
    <n v="2"/>
    <s v="On Time"/>
    <s v="No"/>
    <m/>
    <n v="5"/>
    <n v="0"/>
    <s v="Yes"/>
    <s v="Amazon Coupon"/>
    <n v="318.39999999999998"/>
    <n v="0.82"/>
    <n v="31"/>
    <s v="Low Stock"/>
  </r>
  <r>
    <s v="AMZ26-00948"/>
    <d v="2026-09-10T00:00:00"/>
    <x v="1"/>
    <s v="Q3"/>
    <n v="2026"/>
    <s v="CUST-2066"/>
    <s v="Isha Rao"/>
    <s v="Consumer"/>
    <s v="India"/>
    <s v="Maharashtra"/>
    <s v="Pune"/>
    <x v="3"/>
    <s v="Amazon Website"/>
    <s v="Tablet"/>
    <x v="1"/>
    <s v="Laptops"/>
    <s v="Inspiron Laptop"/>
    <s v="Dell"/>
    <s v="ELE-LAP-91009"/>
    <s v="FBA"/>
    <x v="2"/>
    <x v="2"/>
    <n v="1"/>
    <n v="43260.49"/>
    <n v="0.2"/>
    <n v="8652.1"/>
    <n v="43260.49"/>
    <n v="34608.39"/>
    <n v="182.42"/>
    <n v="24625.98"/>
    <n v="9799.99"/>
    <n v="0.28320000000000001"/>
    <n v="3"/>
    <s v="In Transit"/>
    <s v="No"/>
    <m/>
    <m/>
    <n v="0"/>
    <s v="Yes"/>
    <s v="Amazon Coupon"/>
    <n v="33220.800000000003"/>
    <n v="1.0418000000000001"/>
    <n v="487"/>
    <s v="In Stock"/>
  </r>
  <r>
    <s v="AMZ26-00949"/>
    <d v="2026-06-18T00:00:00"/>
    <x v="5"/>
    <s v="Q2"/>
    <n v="2026"/>
    <s v="CUST-2193"/>
    <s v="Nikhil Shetty"/>
    <s v="Small Business"/>
    <s v="India"/>
    <s v="Rajasthan"/>
    <s v="Jaipur"/>
    <x v="3"/>
    <s v="Amazon Website"/>
    <s v="Desktop"/>
    <x v="4"/>
    <s v="Cookware"/>
    <s v="Nonstick Pan"/>
    <s v="Prestige"/>
    <s v="HOM-COO-63361"/>
    <s v="FBM"/>
    <x v="2"/>
    <x v="0"/>
    <n v="2"/>
    <n v="6030.88"/>
    <n v="0.25"/>
    <n v="3015.44"/>
    <n v="12061.76"/>
    <n v="9046.32"/>
    <n v="90.89"/>
    <n v="5988.95"/>
    <n v="2966.48"/>
    <n v="0.32790000000000002"/>
    <n v="7"/>
    <s v="Delayed"/>
    <s v="No"/>
    <m/>
    <n v="4"/>
    <n v="1"/>
    <s v="Yes"/>
    <s v="Amazon Coupon"/>
    <n v="9830.61"/>
    <n v="0.92020000000000002"/>
    <n v="193"/>
    <s v="In Stock"/>
  </r>
  <r>
    <s v="AMZ26-00950"/>
    <d v="2026-06-03T00:00:00"/>
    <x v="5"/>
    <s v="Q2"/>
    <n v="2026"/>
    <s v="CUST-2759"/>
    <s v="Aarav Kumar"/>
    <s v="Consumer"/>
    <s v="India"/>
    <s v="Telangana"/>
    <s v="Hyderabad"/>
    <x v="1"/>
    <s v="Amazon Website"/>
    <s v="Android"/>
    <x v="2"/>
    <s v="Hair Care"/>
    <s v="Shampoo"/>
    <s v="Dove"/>
    <s v="BEA-HAI-95269"/>
    <s v="FBM"/>
    <x v="1"/>
    <x v="0"/>
    <n v="1"/>
    <n v="309.45"/>
    <n v="0.05"/>
    <n v="15.47"/>
    <n v="309.45"/>
    <n v="293.98"/>
    <n v="114.83"/>
    <n v="192.84"/>
    <n v="-13.69"/>
    <n v="-4.6600000000000003E-2"/>
    <n v="1"/>
    <s v="On Time"/>
    <s v="No"/>
    <m/>
    <n v="4"/>
    <n v="4"/>
    <s v="No"/>
    <s v="Amazon Coupon"/>
    <n v="287.05"/>
    <n v="1.0241"/>
    <n v="123"/>
    <s v="In Stock"/>
  </r>
  <r>
    <s v="AMZ26-00951"/>
    <d v="2026-11-02T00:00:00"/>
    <x v="6"/>
    <s v="Q4"/>
    <n v="2026"/>
    <s v="CUST-1802"/>
    <s v="Vihaan Kumar"/>
    <s v="Corporate"/>
    <s v="India"/>
    <s v="Odisha"/>
    <s v="Bhubaneswar"/>
    <x v="2"/>
    <s v="Amazon Website"/>
    <s v="Desktop"/>
    <x v="0"/>
    <s v="Women Clothing"/>
    <s v="Denim Jeans"/>
    <s v="Levi's"/>
    <s v="FAS-WOM-99527"/>
    <s v="FBA"/>
    <x v="1"/>
    <x v="0"/>
    <n v="4"/>
    <n v="739.23"/>
    <n v="0.25"/>
    <n v="739.23"/>
    <n v="2956.92"/>
    <n v="2217.69"/>
    <n v="105.92"/>
    <n v="1567.38"/>
    <n v="544.39"/>
    <n v="0.2455"/>
    <n v="6"/>
    <s v="Delayed"/>
    <s v="No"/>
    <m/>
    <n v="5"/>
    <n v="4"/>
    <s v="No"/>
    <s v="Festival Sale"/>
    <n v="2063.02"/>
    <n v="1.075"/>
    <n v="405"/>
    <s v="In Stock"/>
  </r>
  <r>
    <s v="AMZ26-00952"/>
    <d v="2026-11-20T00:00:00"/>
    <x v="6"/>
    <s v="Q4"/>
    <n v="2026"/>
    <s v="CUST-3163"/>
    <s v="Vivek Patel"/>
    <s v="Corporate"/>
    <s v="India"/>
    <s v="Karnataka"/>
    <s v="Bengaluru"/>
    <x v="1"/>
    <s v="Amazon App"/>
    <s v="iOS"/>
    <x v="4"/>
    <s v="Kitchen Appliances"/>
    <s v="Mixer Grinder"/>
    <s v="Prestige"/>
    <s v="HOM-KIT-34501"/>
    <s v="FBA"/>
    <x v="4"/>
    <x v="0"/>
    <n v="2"/>
    <n v="1698.32"/>
    <n v="0.05"/>
    <n v="169.83"/>
    <n v="3396.64"/>
    <n v="3226.81"/>
    <n v="205.3"/>
    <n v="2059.06"/>
    <n v="962.45"/>
    <n v="0.29830000000000001"/>
    <n v="5"/>
    <s v="Delayed"/>
    <s v="No"/>
    <m/>
    <n v="4"/>
    <n v="1"/>
    <s v="Yes"/>
    <s v="Bank Offer"/>
    <n v="3677.17"/>
    <n v="0.87749999999999995"/>
    <n v="461"/>
    <s v="In Stock"/>
  </r>
  <r>
    <s v="AMZ26-00953"/>
    <d v="2026-08-17T00:00:00"/>
    <x v="4"/>
    <s v="Q3"/>
    <n v="2026"/>
    <s v="CUST-1511"/>
    <s v="Pooja Shetty"/>
    <s v="Corporate"/>
    <s v="India"/>
    <s v="Rajasthan"/>
    <s v="Jaipur"/>
    <x v="3"/>
    <s v="Amazon Website"/>
    <s v="Tablet"/>
    <x v="3"/>
    <s v="Staples"/>
    <s v="Atta"/>
    <s v="Aashirvaad"/>
    <s v="GRO-STA-59952"/>
    <s v="FBM"/>
    <x v="3"/>
    <x v="0"/>
    <n v="2"/>
    <n v="1783.77"/>
    <n v="0.2"/>
    <n v="713.51"/>
    <n v="3567.54"/>
    <n v="2854.03"/>
    <n v="71.989999999999995"/>
    <n v="1910.58"/>
    <n v="871.46"/>
    <n v="0.30530000000000002"/>
    <n v="5"/>
    <s v="Delayed"/>
    <s v="No"/>
    <m/>
    <n v="5"/>
    <n v="2"/>
    <s v="Yes"/>
    <s v="Festival Sale"/>
    <n v="3429.25"/>
    <n v="0.83230000000000004"/>
    <n v="271"/>
    <s v="In Stock"/>
  </r>
  <r>
    <s v="AMZ26-00954"/>
    <d v="2026-09-13T00:00:00"/>
    <x v="1"/>
    <s v="Q3"/>
    <n v="2026"/>
    <s v="CUST-4597"/>
    <s v="Aditya Singh"/>
    <s v="Small Business"/>
    <s v="India"/>
    <s v="Punjab"/>
    <s v="Ludhiana"/>
    <x v="0"/>
    <s v="Amazon Website"/>
    <s v="Android"/>
    <x v="0"/>
    <s v="Women Clothing"/>
    <s v="Printed Kurti"/>
    <s v="BIBA"/>
    <s v="FAS-WOM-82021"/>
    <s v="FBA"/>
    <x v="1"/>
    <x v="2"/>
    <n v="5"/>
    <n v="2571.58"/>
    <n v="0"/>
    <n v="0"/>
    <n v="12857.9"/>
    <n v="12857.9"/>
    <n v="202.28"/>
    <n v="7305.58"/>
    <n v="5350.04"/>
    <n v="0.41610000000000003"/>
    <n v="4"/>
    <s v="In Transit"/>
    <s v="No"/>
    <m/>
    <m/>
    <n v="0"/>
    <s v="Yes"/>
    <s v="Amazon Coupon"/>
    <n v="14077.06"/>
    <n v="0.91339999999999999"/>
    <n v="75"/>
    <s v="In Stock"/>
  </r>
  <r>
    <s v="AMZ26-00955"/>
    <d v="2026-08-03T00:00:00"/>
    <x v="4"/>
    <s v="Q3"/>
    <n v="2026"/>
    <s v="CUST-2424"/>
    <s v="Kavya Nair"/>
    <s v="Small Business"/>
    <s v="India"/>
    <s v="Uttar Pradesh"/>
    <s v="Noida"/>
    <x v="0"/>
    <s v="Amazon Website"/>
    <s v="Android"/>
    <x v="4"/>
    <s v="Home Decor"/>
    <s v="Curtain Set"/>
    <s v="Home Centre"/>
    <s v="HOM-HOM-79760"/>
    <s v="FBM"/>
    <x v="3"/>
    <x v="0"/>
    <n v="3"/>
    <n v="3669.83"/>
    <n v="0.2"/>
    <n v="2201.9"/>
    <n v="11009.49"/>
    <n v="8807.59"/>
    <n v="48.55"/>
    <n v="5012.8100000000004"/>
    <n v="3746.23"/>
    <n v="0.42530000000000001"/>
    <n v="4"/>
    <s v="On Time"/>
    <s v="No"/>
    <m/>
    <n v="4"/>
    <n v="0"/>
    <s v="Yes"/>
    <s v="Prime Deal"/>
    <n v="9526.26"/>
    <n v="0.92459999999999998"/>
    <n v="175"/>
    <s v="In Stock"/>
  </r>
  <r>
    <s v="AMZ26-00956"/>
    <d v="2026-03-20T00:00:00"/>
    <x v="0"/>
    <s v="Q1"/>
    <n v="2026"/>
    <s v="CUST-3364"/>
    <s v="Priya Gupta"/>
    <s v="Corporate"/>
    <s v="India"/>
    <s v="Odisha"/>
    <s v="Bhubaneswar"/>
    <x v="2"/>
    <s v="Amazon Website"/>
    <s v="Tablet"/>
    <x v="2"/>
    <s v="Makeup"/>
    <s v="Kajal"/>
    <s v="Lakme"/>
    <s v="BEA-MAK-78656"/>
    <s v="FBM"/>
    <x v="4"/>
    <x v="0"/>
    <n v="2"/>
    <n v="556.80999999999995"/>
    <n v="0.2"/>
    <n v="222.72"/>
    <n v="1113.6199999999999"/>
    <n v="890.9"/>
    <n v="182.29"/>
    <n v="472.97"/>
    <n v="235.64"/>
    <n v="0.26450000000000001"/>
    <n v="5"/>
    <s v="Delayed"/>
    <s v="No"/>
    <m/>
    <n v="5"/>
    <n v="2"/>
    <s v="Yes"/>
    <s v="Festival Sale"/>
    <n v="852.35"/>
    <n v="1.0451999999999999"/>
    <n v="491"/>
    <s v="In Stock"/>
  </r>
  <r>
    <s v="AMZ26-00957"/>
    <d v="2026-06-17T00:00:00"/>
    <x v="5"/>
    <s v="Q2"/>
    <n v="2026"/>
    <s v="CUST-4928"/>
    <s v="Nikhil Das"/>
    <s v="Small Business"/>
    <s v="India"/>
    <s v="Kerala"/>
    <s v="Kochi"/>
    <x v="1"/>
    <s v="Amazon App"/>
    <s v="Tablet"/>
    <x v="2"/>
    <s v="Skin Care"/>
    <s v="Moisturizer"/>
    <s v="Cetaphil"/>
    <s v="BEA-SKI-65544"/>
    <s v="FBA"/>
    <x v="1"/>
    <x v="0"/>
    <n v="2"/>
    <n v="1279.25"/>
    <n v="0.05"/>
    <n v="127.93"/>
    <n v="2558.5"/>
    <n v="2430.5700000000002"/>
    <n v="233.67"/>
    <n v="1698.97"/>
    <n v="497.93"/>
    <n v="0.2049"/>
    <n v="6"/>
    <s v="Delayed"/>
    <s v="No"/>
    <m/>
    <n v="3"/>
    <n v="3"/>
    <s v="Yes"/>
    <s v="None"/>
    <n v="3017.41"/>
    <n v="0.80549999999999999"/>
    <n v="237"/>
    <s v="In Stock"/>
  </r>
  <r>
    <s v="AMZ26-00958"/>
    <d v="2026-06-22T00:00:00"/>
    <x v="5"/>
    <s v="Q2"/>
    <n v="2026"/>
    <s v="CUST-2813"/>
    <s v="Pooja Singh"/>
    <s v="Corporate"/>
    <s v="India"/>
    <s v="Bihar"/>
    <s v="Patna"/>
    <x v="2"/>
    <s v="Amazon Website"/>
    <s v="Desktop"/>
    <x v="3"/>
    <s v="Staples"/>
    <s v="Cooking Oil"/>
    <s v="Fortune"/>
    <s v="GRO-STA-10173"/>
    <s v="FBM"/>
    <x v="1"/>
    <x v="0"/>
    <n v="1"/>
    <n v="306.18"/>
    <n v="0.15"/>
    <n v="45.93"/>
    <n v="306.18"/>
    <n v="260.25"/>
    <n v="102.86"/>
    <n v="168.13"/>
    <n v="-10.74"/>
    <n v="-4.1300000000000003E-2"/>
    <n v="6"/>
    <s v="Delayed"/>
    <s v="No"/>
    <m/>
    <n v="3"/>
    <n v="3"/>
    <s v="Yes"/>
    <s v="Lightning Deal"/>
    <n v="253.05"/>
    <n v="1.0285"/>
    <n v="174"/>
    <s v="In Stock"/>
  </r>
  <r>
    <s v="AMZ26-00959"/>
    <d v="2026-08-09T00:00:00"/>
    <x v="4"/>
    <s v="Q3"/>
    <n v="2026"/>
    <s v="CUST-2412"/>
    <s v="Isha Kumar"/>
    <s v="Small Business"/>
    <s v="India"/>
    <s v="Odisha"/>
    <s v="Bhubaneswar"/>
    <x v="2"/>
    <s v="Amazon App"/>
    <s v="iOS"/>
    <x v="2"/>
    <s v="Makeup"/>
    <s v="Foundation"/>
    <s v="Lakme"/>
    <s v="BEA-MAK-87110"/>
    <s v="FBM"/>
    <x v="5"/>
    <x v="1"/>
    <n v="2"/>
    <n v="453.7"/>
    <n v="0.15"/>
    <n v="136.11000000000001"/>
    <n v="907.4"/>
    <n v="771.29"/>
    <n v="47.99"/>
    <n v="551.24"/>
    <n v="172.06"/>
    <n v="0.22309999999999999"/>
    <n v="0"/>
    <s v="Not Applicable"/>
    <s v="No"/>
    <m/>
    <m/>
    <n v="0"/>
    <s v="Yes"/>
    <s v="Amazon Coupon"/>
    <n v="726.61"/>
    <n v="1.0615000000000001"/>
    <n v="75"/>
    <s v="In Stock"/>
  </r>
  <r>
    <s v="AMZ26-00960"/>
    <d v="2026-04-03T00:00:00"/>
    <x v="9"/>
    <s v="Q2"/>
    <n v="2026"/>
    <s v="CUST-1586"/>
    <s v="Diya Shetty"/>
    <s v="Small Business"/>
    <s v="India"/>
    <s v="Karnataka"/>
    <s v="Bengaluru"/>
    <x v="1"/>
    <s v="Amazon App"/>
    <s v="Tablet"/>
    <x v="0"/>
    <s v="Footwear"/>
    <s v="Casual Sneakers"/>
    <s v="Puma"/>
    <s v="FAS-FOO-76626"/>
    <s v="FBM"/>
    <x v="4"/>
    <x v="0"/>
    <n v="5"/>
    <n v="2061.67"/>
    <n v="0"/>
    <n v="0"/>
    <n v="10308.35"/>
    <n v="10308.35"/>
    <n v="33.35"/>
    <n v="6932.86"/>
    <n v="3342.14"/>
    <n v="0.32419999999999999"/>
    <n v="1"/>
    <s v="On Time"/>
    <s v="No"/>
    <m/>
    <n v="4"/>
    <n v="2"/>
    <s v="No"/>
    <s v="Festival Sale"/>
    <n v="8893.4699999999993"/>
    <n v="1.1591"/>
    <n v="189"/>
    <s v="In Stock"/>
  </r>
  <r>
    <s v="AMZ26-00961"/>
    <d v="2026-05-03T00:00:00"/>
    <x v="2"/>
    <s v="Q2"/>
    <n v="2026"/>
    <s v="CUST-4903"/>
    <s v="Meera Shetty"/>
    <s v="Consumer"/>
    <s v="India"/>
    <s v="Bihar"/>
    <s v="Patna"/>
    <x v="2"/>
    <s v="Amazon Website"/>
    <s v="Desktop"/>
    <x v="1"/>
    <s v="Mobiles"/>
    <s v="Moto G"/>
    <s v="Motorola"/>
    <s v="ELE-MOB-88176"/>
    <s v="FBM"/>
    <x v="1"/>
    <x v="1"/>
    <n v="3"/>
    <n v="18625.740000000002"/>
    <n v="0.15"/>
    <n v="8381.58"/>
    <n v="55877.22"/>
    <n v="47495.64"/>
    <n v="31.73"/>
    <n v="29526.02"/>
    <n v="17937.89"/>
    <n v="0.37769999999999998"/>
    <n v="0"/>
    <s v="Not Applicable"/>
    <s v="No"/>
    <m/>
    <m/>
    <n v="0"/>
    <s v="No"/>
    <s v="Bank Offer"/>
    <n v="58695.35"/>
    <n v="0.80920000000000003"/>
    <n v="454"/>
    <s v="In Stock"/>
  </r>
  <r>
    <s v="AMZ26-00962"/>
    <d v="2026-01-13T00:00:00"/>
    <x v="10"/>
    <s v="Q1"/>
    <n v="2026"/>
    <s v="CUST-1124"/>
    <s v="Aarav Reddy"/>
    <s v="Corporate"/>
    <s v="India"/>
    <s v="Delhi"/>
    <s v="New Delhi"/>
    <x v="0"/>
    <s v="Amazon Website"/>
    <s v="Desktop"/>
    <x v="0"/>
    <s v="Women Clothing"/>
    <s v="Printed Kurti"/>
    <s v="BIBA"/>
    <s v="FAS-WOM-95115"/>
    <s v="FBA"/>
    <x v="2"/>
    <x v="1"/>
    <n v="4"/>
    <n v="749.64"/>
    <n v="0.25"/>
    <n v="749.64"/>
    <n v="2998.56"/>
    <n v="2248.92"/>
    <n v="69.37"/>
    <n v="1430.95"/>
    <n v="748.6"/>
    <n v="0.33289999999999997"/>
    <n v="0"/>
    <s v="Not Applicable"/>
    <s v="No"/>
    <m/>
    <m/>
    <n v="0"/>
    <s v="No"/>
    <s v="Prime Deal"/>
    <n v="1945.21"/>
    <n v="1.1560999999999999"/>
    <n v="28"/>
    <s v="Low Stock"/>
  </r>
  <r>
    <s v="AMZ26-00963"/>
    <d v="2026-03-08T00:00:00"/>
    <x v="0"/>
    <s v="Q1"/>
    <n v="2026"/>
    <s v="CUST-2761"/>
    <s v="Ananya Shetty"/>
    <s v="Consumer"/>
    <s v="India"/>
    <s v="Uttar Pradesh"/>
    <s v="Noida"/>
    <x v="0"/>
    <s v="Amazon App"/>
    <s v="Tablet"/>
    <x v="1"/>
    <s v="Accessories"/>
    <s v="USB-C Hub"/>
    <s v="Portronics"/>
    <s v="ELE-ACC-57387"/>
    <s v="FBM"/>
    <x v="4"/>
    <x v="0"/>
    <n v="5"/>
    <n v="50508.11"/>
    <n v="0.1"/>
    <n v="25254.06"/>
    <n v="252540.55"/>
    <n v="227286.49"/>
    <n v="165.3"/>
    <n v="153223.17000000001"/>
    <n v="73898.02"/>
    <n v="0.3251"/>
    <n v="2"/>
    <s v="On Time"/>
    <s v="No"/>
    <m/>
    <n v="4"/>
    <n v="4"/>
    <s v="Yes"/>
    <s v="None"/>
    <n v="265436.61"/>
    <n v="0.85629999999999995"/>
    <n v="467"/>
    <s v="In Stock"/>
  </r>
  <r>
    <s v="AMZ26-00964"/>
    <d v="2026-12-08T00:00:00"/>
    <x v="11"/>
    <s v="Q4"/>
    <n v="2026"/>
    <s v="CUST-1691"/>
    <s v="Priya Shetty"/>
    <s v="Corporate"/>
    <s v="India"/>
    <s v="Assam"/>
    <s v="Guwahati"/>
    <x v="2"/>
    <s v="Amazon App"/>
    <s v="Android"/>
    <x v="1"/>
    <s v="Accessories"/>
    <s v="USB-C Hub"/>
    <s v="Portronics"/>
    <s v="ELE-ACC-96238"/>
    <s v="FBM"/>
    <x v="4"/>
    <x v="0"/>
    <n v="1"/>
    <n v="44504.95"/>
    <n v="0"/>
    <n v="0"/>
    <n v="44504.95"/>
    <n v="44504.95"/>
    <n v="52.93"/>
    <n v="29250.34"/>
    <n v="15201.68"/>
    <n v="0.34160000000000001"/>
    <n v="1"/>
    <s v="On Time"/>
    <s v="No"/>
    <m/>
    <n v="3"/>
    <n v="4"/>
    <s v="Yes"/>
    <s v="None"/>
    <n v="53363.96"/>
    <n v="0.83399999999999996"/>
    <n v="210"/>
    <s v="In Stock"/>
  </r>
  <r>
    <s v="AMZ26-00965"/>
    <d v="2026-05-24T00:00:00"/>
    <x v="2"/>
    <s v="Q2"/>
    <n v="2026"/>
    <s v="CUST-1197"/>
    <s v="Aarav Rao"/>
    <s v="Small Business"/>
    <s v="India"/>
    <s v="Karnataka"/>
    <s v="Mysuru"/>
    <x v="1"/>
    <s v="Amazon App"/>
    <s v="iOS"/>
    <x v="2"/>
    <s v="Hair Care"/>
    <s v="Hair Mask"/>
    <s v="Tresemme"/>
    <s v="BEA-HAI-55237"/>
    <s v="FBA"/>
    <x v="1"/>
    <x v="0"/>
    <n v="2"/>
    <n v="2279.94"/>
    <n v="0.2"/>
    <n v="911.98"/>
    <n v="4559.88"/>
    <n v="3647.9"/>
    <n v="162.99"/>
    <n v="1933.02"/>
    <n v="1551.89"/>
    <n v="0.4254"/>
    <n v="8"/>
    <s v="Delayed"/>
    <s v="Yes"/>
    <s v="Late Delivery"/>
    <n v="4"/>
    <n v="3"/>
    <s v="Yes"/>
    <s v="Festival Sale"/>
    <n v="4061.94"/>
    <n v="0.89810000000000001"/>
    <n v="380"/>
    <s v="In Stock"/>
  </r>
  <r>
    <s v="AMZ26-00966"/>
    <d v="2026-08-11T00:00:00"/>
    <x v="4"/>
    <s v="Q3"/>
    <n v="2026"/>
    <s v="CUST-4908"/>
    <s v="Vihaan Patel"/>
    <s v="Corporate"/>
    <s v="India"/>
    <s v="Rajasthan"/>
    <s v="Jaipur"/>
    <x v="3"/>
    <s v="Amazon App"/>
    <s v="Tablet"/>
    <x v="2"/>
    <s v="Makeup"/>
    <s v="Lipstick"/>
    <s v="Maybelline"/>
    <s v="BEA-MAK-79381"/>
    <s v="FBA"/>
    <x v="4"/>
    <x v="0"/>
    <n v="4"/>
    <n v="1224"/>
    <n v="0.15"/>
    <n v="734.4"/>
    <n v="4896"/>
    <n v="4161.6000000000004"/>
    <n v="121.33"/>
    <n v="2280.1"/>
    <n v="1760.17"/>
    <n v="0.42299999999999999"/>
    <n v="4"/>
    <s v="On Time"/>
    <s v="No"/>
    <m/>
    <n v="3"/>
    <n v="4"/>
    <s v="Yes"/>
    <s v="None"/>
    <n v="4349.0600000000004"/>
    <n v="0.95689999999999997"/>
    <n v="490"/>
    <s v="In Stock"/>
  </r>
  <r>
    <s v="AMZ26-00967"/>
    <d v="2026-01-17T00:00:00"/>
    <x v="10"/>
    <s v="Q1"/>
    <n v="2026"/>
    <s v="CUST-3475"/>
    <s v="Priya Jain"/>
    <s v="Consumer"/>
    <s v="India"/>
    <s v="Assam"/>
    <s v="Guwahati"/>
    <x v="2"/>
    <s v="Amazon App"/>
    <s v="Tablet"/>
    <x v="0"/>
    <s v="Women Clothing"/>
    <s v="Denim Jeans"/>
    <s v="Levi's"/>
    <s v="FAS-WOM-20000"/>
    <s v="FBM"/>
    <x v="2"/>
    <x v="1"/>
    <n v="1"/>
    <n v="803.24"/>
    <n v="0.1"/>
    <n v="80.319999999999993"/>
    <n v="803.24"/>
    <n v="722.92"/>
    <n v="138.47999999999999"/>
    <n v="378.11"/>
    <n v="206.33"/>
    <n v="0.28539999999999999"/>
    <n v="0"/>
    <s v="Not Applicable"/>
    <s v="No"/>
    <m/>
    <m/>
    <n v="0"/>
    <s v="Yes"/>
    <s v="Prime Deal"/>
    <n v="754.74"/>
    <n v="0.95779999999999998"/>
    <n v="299"/>
    <s v="In Stock"/>
  </r>
  <r>
    <s v="AMZ26-00968"/>
    <d v="2026-01-07T00:00:00"/>
    <x v="10"/>
    <s v="Q1"/>
    <n v="2026"/>
    <s v="CUST-4144"/>
    <s v="Rohan Shetty"/>
    <s v="Consumer"/>
    <s v="India"/>
    <s v="Assam"/>
    <s v="Guwahati"/>
    <x v="2"/>
    <s v="Amazon App"/>
    <s v="Android"/>
    <x v="2"/>
    <s v="Skin Care"/>
    <s v="Moisturizer"/>
    <s v="Cetaphil"/>
    <s v="BEA-SKI-36921"/>
    <s v="FBM"/>
    <x v="5"/>
    <x v="0"/>
    <n v="3"/>
    <n v="744.68"/>
    <n v="0"/>
    <n v="0"/>
    <n v="2234.04"/>
    <n v="2234.04"/>
    <n v="192.01"/>
    <n v="1161.49"/>
    <n v="880.54"/>
    <n v="0.39410000000000001"/>
    <n v="2"/>
    <s v="On Time"/>
    <s v="No"/>
    <m/>
    <n v="3"/>
    <n v="3"/>
    <s v="No"/>
    <s v="Prime Deal"/>
    <n v="2079.42"/>
    <n v="1.0744"/>
    <n v="162"/>
    <s v="In Stock"/>
  </r>
  <r>
    <s v="AMZ26-00969"/>
    <d v="2026-10-05T00:00:00"/>
    <x v="8"/>
    <s v="Q4"/>
    <n v="2026"/>
    <s v="CUST-3704"/>
    <s v="Diya Patel"/>
    <s v="Consumer"/>
    <s v="India"/>
    <s v="Delhi"/>
    <s v="New Delhi"/>
    <x v="0"/>
    <s v="Amazon App"/>
    <s v="iOS"/>
    <x v="1"/>
    <s v="Accessories"/>
    <s v="Keyboard"/>
    <s v="HP"/>
    <s v="ELE-ACC-32457"/>
    <s v="FBA"/>
    <x v="2"/>
    <x v="0"/>
    <n v="3"/>
    <n v="15120.58"/>
    <n v="0.3"/>
    <n v="13608.52"/>
    <n v="45361.74"/>
    <n v="31753.22"/>
    <n v="197.68"/>
    <n v="20174.169999999998"/>
    <n v="11381.37"/>
    <n v="0.3584"/>
    <n v="4"/>
    <s v="On Time"/>
    <s v="Yes"/>
    <s v="Damaged Product"/>
    <n v="4"/>
    <n v="2"/>
    <s v="Yes"/>
    <s v="Festival Sale"/>
    <n v="33740.51"/>
    <n v="0.94110000000000005"/>
    <n v="175"/>
    <s v="In Stock"/>
  </r>
  <r>
    <s v="AMZ26-00970"/>
    <d v="2026-08-23T00:00:00"/>
    <x v="4"/>
    <s v="Q3"/>
    <n v="2026"/>
    <s v="CUST-2967"/>
    <s v="Aarav Iyer"/>
    <s v="Corporate"/>
    <s v="India"/>
    <s v="Maharashtra"/>
    <s v="Mumbai"/>
    <x v="3"/>
    <s v="Amazon App"/>
    <s v="Desktop"/>
    <x v="0"/>
    <s v="Women Clothing"/>
    <s v="Printed Kurti"/>
    <s v="BIBA"/>
    <s v="FAS-WOM-91615"/>
    <s v="FBM"/>
    <x v="3"/>
    <x v="1"/>
    <n v="2"/>
    <n v="411.68"/>
    <n v="0.15"/>
    <n v="123.5"/>
    <n v="823.36"/>
    <n v="699.86"/>
    <n v="73.13"/>
    <n v="520.28"/>
    <n v="106.45"/>
    <n v="0.15210000000000001"/>
    <n v="0"/>
    <s v="Not Applicable"/>
    <s v="No"/>
    <m/>
    <m/>
    <n v="0"/>
    <s v="Yes"/>
    <s v="Prime Deal"/>
    <n v="844.6"/>
    <n v="0.8286"/>
    <n v="273"/>
    <s v="In Stock"/>
  </r>
  <r>
    <s v="AMZ26-00971"/>
    <d v="2026-02-09T00:00:00"/>
    <x v="7"/>
    <s v="Q1"/>
    <n v="2026"/>
    <s v="CUST-1392"/>
    <s v="Rohan Gupta"/>
    <s v="Consumer"/>
    <s v="India"/>
    <s v="Gujarat"/>
    <s v="Ahmedabad"/>
    <x v="3"/>
    <s v="Amazon App"/>
    <s v="Desktop"/>
    <x v="4"/>
    <s v="Kitchen Appliances"/>
    <s v="Mixer Grinder"/>
    <s v="Prestige"/>
    <s v="HOM-KIT-91687"/>
    <s v="FBA"/>
    <x v="4"/>
    <x v="0"/>
    <n v="5"/>
    <n v="9330.65"/>
    <n v="0.2"/>
    <n v="9330.65"/>
    <n v="46653.25"/>
    <n v="37322.6"/>
    <n v="62.62"/>
    <n v="27217.55"/>
    <n v="10042.43"/>
    <n v="0.26910000000000001"/>
    <n v="3"/>
    <s v="On Time"/>
    <s v="No"/>
    <m/>
    <n v="5"/>
    <n v="1"/>
    <s v="Yes"/>
    <s v="Prime Deal"/>
    <n v="42892.75"/>
    <n v="0.87009999999999998"/>
    <n v="99"/>
    <s v="In Stock"/>
  </r>
  <r>
    <s v="AMZ26-00972"/>
    <d v="2026-12-18T00:00:00"/>
    <x v="11"/>
    <s v="Q4"/>
    <n v="2026"/>
    <s v="CUST-3848"/>
    <s v="Sai Rao"/>
    <s v="Small Business"/>
    <s v="India"/>
    <s v="Haryana"/>
    <s v="Gurugram"/>
    <x v="0"/>
    <s v="Amazon Website"/>
    <s v="iOS"/>
    <x v="1"/>
    <s v="Laptops"/>
    <s v="Vivobook"/>
    <s v="ASUS"/>
    <s v="ELE-LAP-45284"/>
    <s v="FBM"/>
    <x v="2"/>
    <x v="0"/>
    <n v="4"/>
    <n v="1925.6"/>
    <n v="0.15"/>
    <n v="1155.3599999999999"/>
    <n v="7702.4"/>
    <n v="6547.04"/>
    <n v="95.45"/>
    <n v="3156.22"/>
    <n v="3295.37"/>
    <n v="0.50329999999999997"/>
    <n v="6"/>
    <s v="Delayed"/>
    <s v="No"/>
    <m/>
    <n v="4"/>
    <n v="3"/>
    <s v="Yes"/>
    <s v="Lightning Deal"/>
    <n v="6853.93"/>
    <n v="0.95520000000000005"/>
    <n v="325"/>
    <s v="In Stock"/>
  </r>
  <r>
    <s v="AMZ26-00973"/>
    <d v="2026-11-15T00:00:00"/>
    <x v="6"/>
    <s v="Q4"/>
    <n v="2026"/>
    <s v="CUST-2621"/>
    <s v="Aarav Verma"/>
    <s v="Corporate"/>
    <s v="India"/>
    <s v="Karnataka"/>
    <s v="Mysuru"/>
    <x v="1"/>
    <s v="Amazon Website"/>
    <s v="iOS"/>
    <x v="2"/>
    <s v="Skin Care"/>
    <s v="Sunscreen"/>
    <s v="Neutrogena"/>
    <s v="BEA-SKI-61280"/>
    <s v="FBA"/>
    <x v="1"/>
    <x v="0"/>
    <n v="5"/>
    <n v="771.77"/>
    <n v="0.1"/>
    <n v="385.88"/>
    <n v="3858.85"/>
    <n v="3472.97"/>
    <n v="186.69"/>
    <n v="1841.78"/>
    <n v="1444.5"/>
    <n v="0.41589999999999999"/>
    <n v="5"/>
    <s v="Delayed"/>
    <s v="No"/>
    <m/>
    <n v="4"/>
    <n v="1"/>
    <s v="Yes"/>
    <s v="Bank Offer"/>
    <n v="4239.12"/>
    <n v="0.81930000000000003"/>
    <n v="132"/>
    <s v="In Stock"/>
  </r>
  <r>
    <s v="AMZ26-00974"/>
    <d v="2026-11-07T00:00:00"/>
    <x v="6"/>
    <s v="Q4"/>
    <n v="2026"/>
    <s v="CUST-1305"/>
    <s v="Arjun Rao"/>
    <s v="Corporate"/>
    <s v="India"/>
    <s v="Gujarat"/>
    <s v="Ahmedabad"/>
    <x v="3"/>
    <s v="Amazon Website"/>
    <s v="Tablet"/>
    <x v="3"/>
    <s v="Beverages"/>
    <s v="Fruit Juice"/>
    <s v="Real"/>
    <s v="GRO-BEV-33174"/>
    <s v="FBM"/>
    <x v="3"/>
    <x v="0"/>
    <n v="4"/>
    <n v="151.74"/>
    <n v="0"/>
    <n v="0"/>
    <n v="606.96"/>
    <n v="606.96"/>
    <n v="54.54"/>
    <n v="320.86"/>
    <n v="231.56"/>
    <n v="0.38150000000000001"/>
    <n v="8"/>
    <s v="Delayed"/>
    <s v="No"/>
    <m/>
    <n v="3"/>
    <n v="1"/>
    <s v="Yes"/>
    <s v="Lightning Deal"/>
    <n v="664.81"/>
    <n v="0.91300000000000003"/>
    <n v="289"/>
    <s v="In Stock"/>
  </r>
  <r>
    <s v="AMZ26-00975"/>
    <d v="2026-08-15T00:00:00"/>
    <x v="4"/>
    <s v="Q3"/>
    <n v="2026"/>
    <s v="CUST-2673"/>
    <s v="Pooja Gupta"/>
    <s v="Small Business"/>
    <s v="India"/>
    <s v="Odisha"/>
    <s v="Bhubaneswar"/>
    <x v="2"/>
    <s v="Amazon Website"/>
    <s v="Desktop"/>
    <x v="2"/>
    <s v="Skin Care"/>
    <s v="Sunscreen"/>
    <s v="Neutrogena"/>
    <s v="BEA-SKI-76974"/>
    <s v="FBA"/>
    <x v="2"/>
    <x v="1"/>
    <n v="3"/>
    <n v="717.48"/>
    <n v="0.05"/>
    <n v="107.62"/>
    <n v="2152.44"/>
    <n v="2044.82"/>
    <n v="246.53"/>
    <n v="1096.5999999999999"/>
    <n v="701.69"/>
    <n v="0.34320000000000001"/>
    <n v="0"/>
    <s v="Not Applicable"/>
    <s v="No"/>
    <m/>
    <m/>
    <n v="0"/>
    <s v="Yes"/>
    <s v="Festival Sale"/>
    <n v="1779.35"/>
    <n v="1.1492"/>
    <n v="252"/>
    <s v="In Stock"/>
  </r>
  <r>
    <s v="AMZ26-00976"/>
    <d v="2026-02-19T00:00:00"/>
    <x v="7"/>
    <s v="Q1"/>
    <n v="2026"/>
    <s v="CUST-3272"/>
    <s v="Kavya Verma"/>
    <s v="Consumer"/>
    <s v="India"/>
    <s v="Maharashtra"/>
    <s v="Mumbai"/>
    <x v="3"/>
    <s v="Amazon App"/>
    <s v="Desktop"/>
    <x v="3"/>
    <s v="Beverages"/>
    <s v="Green Tea"/>
    <s v="Tata Tea"/>
    <s v="GRO-BEV-29403"/>
    <s v="FBA"/>
    <x v="3"/>
    <x v="0"/>
    <n v="2"/>
    <n v="1412.72"/>
    <n v="0.15"/>
    <n v="423.82"/>
    <n v="2825.44"/>
    <n v="2401.62"/>
    <n v="77.260000000000005"/>
    <n v="1742.93"/>
    <n v="581.42999999999995"/>
    <n v="0.24210000000000001"/>
    <n v="3"/>
    <s v="On Time"/>
    <s v="No"/>
    <m/>
    <n v="4"/>
    <n v="1"/>
    <s v="No"/>
    <s v="None"/>
    <n v="2970.02"/>
    <n v="0.80859999999999999"/>
    <n v="234"/>
    <s v="In Stock"/>
  </r>
  <r>
    <s v="AMZ26-00977"/>
    <d v="2026-05-23T00:00:00"/>
    <x v="2"/>
    <s v="Q2"/>
    <n v="2026"/>
    <s v="CUST-4645"/>
    <s v="Ananya Joshi"/>
    <s v="Consumer"/>
    <s v="India"/>
    <s v="Maharashtra"/>
    <s v="Mumbai"/>
    <x v="3"/>
    <s v="Amazon App"/>
    <s v="iOS"/>
    <x v="2"/>
    <s v="Makeup"/>
    <s v="Lipstick"/>
    <s v="Maybelline"/>
    <s v="BEA-MAK-56563"/>
    <s v="FBM"/>
    <x v="0"/>
    <x v="0"/>
    <n v="4"/>
    <n v="266.48"/>
    <n v="0"/>
    <n v="0"/>
    <n v="1065.92"/>
    <n v="1065.92"/>
    <n v="38.15"/>
    <n v="549.04999999999995"/>
    <n v="478.72"/>
    <n v="0.4491"/>
    <n v="3"/>
    <s v="On Time"/>
    <s v="No"/>
    <m/>
    <n v="4"/>
    <n v="4"/>
    <s v="No"/>
    <s v="None"/>
    <n v="1057.71"/>
    <n v="1.0078"/>
    <n v="493"/>
    <s v="In Stock"/>
  </r>
  <r>
    <s v="AMZ26-00978"/>
    <d v="2026-12-24T00:00:00"/>
    <x v="11"/>
    <s v="Q4"/>
    <n v="2026"/>
    <s v="CUST-1650"/>
    <s v="Priya Reddy"/>
    <s v="Small Business"/>
    <s v="India"/>
    <s v="Maharashtra"/>
    <s v="Mumbai"/>
    <x v="3"/>
    <s v="Amazon App"/>
    <s v="iOS"/>
    <x v="3"/>
    <s v="Beverages"/>
    <s v="Green Tea"/>
    <s v="Tata Tea"/>
    <s v="GRO-BEV-90927"/>
    <s v="FBA"/>
    <x v="1"/>
    <x v="0"/>
    <n v="1"/>
    <n v="462.62"/>
    <n v="0"/>
    <n v="0"/>
    <n v="462.62"/>
    <n v="462.62"/>
    <n v="66.150000000000006"/>
    <n v="319.39999999999998"/>
    <n v="77.069999999999993"/>
    <n v="0.1666"/>
    <n v="1"/>
    <s v="On Time"/>
    <s v="No"/>
    <m/>
    <n v="4"/>
    <n v="2"/>
    <s v="Yes"/>
    <s v="Bank Offer"/>
    <n v="561.69000000000005"/>
    <n v="0.8236"/>
    <n v="169"/>
    <s v="In Stock"/>
  </r>
  <r>
    <s v="AMZ26-00979"/>
    <d v="2026-03-10T00:00:00"/>
    <x v="0"/>
    <s v="Q1"/>
    <n v="2026"/>
    <s v="CUST-3201"/>
    <s v="Vivek Patel"/>
    <s v="Consumer"/>
    <s v="India"/>
    <s v="West Bengal"/>
    <s v="Kolkata"/>
    <x v="2"/>
    <s v="Amazon Website"/>
    <s v="iOS"/>
    <x v="4"/>
    <s v="Kitchen Appliances"/>
    <s v="Mixer Grinder"/>
    <s v="Prestige"/>
    <s v="HOM-KIT-97810"/>
    <s v="FBM"/>
    <x v="5"/>
    <x v="1"/>
    <n v="1"/>
    <n v="413.08"/>
    <n v="0"/>
    <n v="0"/>
    <n v="413.08"/>
    <n v="413.08"/>
    <n v="86.77"/>
    <n v="237.36"/>
    <n v="88.95"/>
    <n v="0.21529999999999999"/>
    <n v="0"/>
    <s v="Not Applicable"/>
    <s v="No"/>
    <m/>
    <m/>
    <n v="0"/>
    <s v="Yes"/>
    <s v="Bank Offer"/>
    <n v="371.76"/>
    <n v="1.1111"/>
    <n v="150"/>
    <s v="In Stock"/>
  </r>
  <r>
    <s v="AMZ26-00980"/>
    <d v="2026-10-23T00:00:00"/>
    <x v="8"/>
    <s v="Q4"/>
    <n v="2026"/>
    <s v="CUST-2284"/>
    <s v="Isha Yadav"/>
    <s v="Small Business"/>
    <s v="India"/>
    <s v="Punjab"/>
    <s v="Ludhiana"/>
    <x v="0"/>
    <s v="Amazon App"/>
    <s v="Desktop"/>
    <x v="2"/>
    <s v="Makeup"/>
    <s v="Foundation"/>
    <s v="Lakme"/>
    <s v="BEA-MAK-46077"/>
    <s v="FBM"/>
    <x v="5"/>
    <x v="2"/>
    <n v="5"/>
    <n v="2246.62"/>
    <n v="0.25"/>
    <n v="2808.28"/>
    <n v="11233.1"/>
    <n v="8424.82"/>
    <n v="52.72"/>
    <n v="4383.68"/>
    <n v="3988.42"/>
    <n v="0.47339999999999999"/>
    <n v="7"/>
    <s v="In Transit"/>
    <s v="No"/>
    <m/>
    <m/>
    <n v="0"/>
    <s v="No"/>
    <s v="Festival Sale"/>
    <n v="9028.99"/>
    <n v="0.93310000000000004"/>
    <n v="389"/>
    <s v="In Stock"/>
  </r>
  <r>
    <s v="AMZ26-00981"/>
    <d v="2026-04-27T00:00:00"/>
    <x v="9"/>
    <s v="Q2"/>
    <n v="2026"/>
    <s v="CUST-1230"/>
    <s v="Pooja Shetty"/>
    <s v="Consumer"/>
    <s v="India"/>
    <s v="Gujarat"/>
    <s v="Ahmedabad"/>
    <x v="3"/>
    <s v="Amazon App"/>
    <s v="Tablet"/>
    <x v="0"/>
    <s v="Men Clothing"/>
    <s v="Casual T-Shirt"/>
    <s v="Puma"/>
    <s v="FAS-MEN-72281"/>
    <s v="FBA"/>
    <x v="0"/>
    <x v="0"/>
    <n v="5"/>
    <n v="353.64"/>
    <n v="0.2"/>
    <n v="353.64"/>
    <n v="1768.2"/>
    <n v="1414.56"/>
    <n v="123.86"/>
    <n v="932.38"/>
    <n v="358.32"/>
    <n v="0.25330000000000003"/>
    <n v="3"/>
    <s v="On Time"/>
    <s v="No"/>
    <m/>
    <n v="3"/>
    <n v="0"/>
    <s v="Yes"/>
    <s v="Festival Sale"/>
    <n v="1427.97"/>
    <n v="0.99060000000000004"/>
    <n v="271"/>
    <s v="In Stock"/>
  </r>
  <r>
    <s v="AMZ26-00982"/>
    <d v="2026-03-14T00:00:00"/>
    <x v="0"/>
    <s v="Q1"/>
    <n v="2026"/>
    <s v="CUST-2112"/>
    <s v="Nandini Verma"/>
    <s v="Corporate"/>
    <s v="India"/>
    <s v="Maharashtra"/>
    <s v="Pune"/>
    <x v="3"/>
    <s v="Amazon Website"/>
    <s v="Desktop"/>
    <x v="3"/>
    <s v="Snacks"/>
    <s v="Mixed Nuts"/>
    <s v="Happilo"/>
    <s v="GRO-SNA-46437"/>
    <s v="FBA"/>
    <x v="0"/>
    <x v="0"/>
    <n v="2"/>
    <n v="1577.71"/>
    <n v="0.1"/>
    <n v="315.54000000000002"/>
    <n v="3155.42"/>
    <n v="2839.88"/>
    <n v="135.62"/>
    <n v="1780.45"/>
    <n v="923.81"/>
    <n v="0.32529999999999998"/>
    <n v="5"/>
    <s v="Delayed"/>
    <s v="No"/>
    <m/>
    <n v="3"/>
    <n v="0"/>
    <s v="Yes"/>
    <s v="None"/>
    <n v="3133.39"/>
    <n v="0.90629999999999999"/>
    <n v="32"/>
    <s v="Low Stock"/>
  </r>
  <r>
    <s v="AMZ26-00983"/>
    <d v="2026-10-25T00:00:00"/>
    <x v="8"/>
    <s v="Q4"/>
    <n v="2026"/>
    <s v="CUST-3522"/>
    <s v="Nikhil Shetty"/>
    <s v="Consumer"/>
    <s v="India"/>
    <s v="Assam"/>
    <s v="Guwahati"/>
    <x v="2"/>
    <s v="Amazon Website"/>
    <s v="Tablet"/>
    <x v="2"/>
    <s v="Hair Care"/>
    <s v="Hair Serum"/>
    <s v="L'Oreal"/>
    <s v="BEA-HAI-61235"/>
    <s v="FBM"/>
    <x v="4"/>
    <x v="0"/>
    <n v="3"/>
    <n v="151.12"/>
    <n v="0.05"/>
    <n v="22.67"/>
    <n v="453.36"/>
    <n v="430.69"/>
    <n v="51.63"/>
    <n v="225.17"/>
    <n v="153.88999999999999"/>
    <n v="0.35730000000000001"/>
    <n v="6"/>
    <s v="Delayed"/>
    <s v="No"/>
    <m/>
    <n v="3"/>
    <n v="4"/>
    <s v="Yes"/>
    <s v="Festival Sale"/>
    <n v="498.01"/>
    <n v="0.86480000000000001"/>
    <n v="47"/>
    <s v="In Stock"/>
  </r>
  <r>
    <s v="AMZ26-00984"/>
    <d v="2026-03-22T00:00:00"/>
    <x v="0"/>
    <s v="Q1"/>
    <n v="2026"/>
    <s v="CUST-4699"/>
    <s v="Diya Nair"/>
    <s v="Consumer"/>
    <s v="India"/>
    <s v="Maharashtra"/>
    <s v="Mumbai"/>
    <x v="3"/>
    <s v="Amazon Website"/>
    <s v="Desktop"/>
    <x v="0"/>
    <s v="Women Clothing"/>
    <s v="Printed Kurti"/>
    <s v="BIBA"/>
    <s v="FAS-WOM-14731"/>
    <s v="FBM"/>
    <x v="5"/>
    <x v="0"/>
    <n v="2"/>
    <n v="1422.13"/>
    <n v="0.3"/>
    <n v="853.28"/>
    <n v="2844.26"/>
    <n v="1990.98"/>
    <n v="9.1300000000000008"/>
    <n v="1324.08"/>
    <n v="657.77"/>
    <n v="0.33040000000000003"/>
    <n v="8"/>
    <s v="Delayed"/>
    <s v="No"/>
    <m/>
    <n v="4"/>
    <n v="1"/>
    <s v="Yes"/>
    <s v="Lightning Deal"/>
    <n v="2143.14"/>
    <n v="0.92900000000000005"/>
    <n v="272"/>
    <s v="In Stock"/>
  </r>
  <r>
    <s v="AMZ26-00985"/>
    <d v="2026-12-02T00:00:00"/>
    <x v="11"/>
    <s v="Q4"/>
    <n v="2026"/>
    <s v="CUST-3296"/>
    <s v="Aditi Rao"/>
    <s v="Small Business"/>
    <s v="India"/>
    <s v="Punjab"/>
    <s v="Ludhiana"/>
    <x v="0"/>
    <s v="Amazon App"/>
    <s v="iOS"/>
    <x v="4"/>
    <s v="Home Decor"/>
    <s v="LED Lamp"/>
    <s v="Wipro"/>
    <s v="HOM-HOM-54932"/>
    <s v="FBA"/>
    <x v="3"/>
    <x v="0"/>
    <n v="2"/>
    <n v="342.44"/>
    <n v="0.05"/>
    <n v="34.24"/>
    <n v="684.88"/>
    <n v="650.64"/>
    <n v="11.02"/>
    <n v="464.05"/>
    <n v="175.57"/>
    <n v="0.26979999999999998"/>
    <n v="6"/>
    <s v="Delayed"/>
    <s v="No"/>
    <m/>
    <n v="4"/>
    <n v="1"/>
    <s v="Yes"/>
    <s v="Amazon Coupon"/>
    <n v="555.85"/>
    <n v="1.1705000000000001"/>
    <n v="189"/>
    <s v="In Stock"/>
  </r>
  <r>
    <s v="AMZ26-00986"/>
    <d v="2026-01-16T00:00:00"/>
    <x v="10"/>
    <s v="Q1"/>
    <n v="2026"/>
    <s v="CUST-1707"/>
    <s v="Aditya Jain"/>
    <s v="Small Business"/>
    <s v="India"/>
    <s v="Punjab"/>
    <s v="Ludhiana"/>
    <x v="0"/>
    <s v="Amazon Website"/>
    <s v="iOS"/>
    <x v="1"/>
    <s v="Mobiles"/>
    <s v="Galaxy A Series"/>
    <s v="Samsung"/>
    <s v="ELE-MOB-12177"/>
    <s v="FBA"/>
    <x v="4"/>
    <x v="1"/>
    <n v="3"/>
    <n v="48301.760000000002"/>
    <n v="0.2"/>
    <n v="28981.06"/>
    <n v="144905.28"/>
    <n v="115924.22"/>
    <n v="108.05"/>
    <n v="70016.67"/>
    <n v="45799.5"/>
    <n v="0.39510000000000001"/>
    <n v="0"/>
    <s v="Not Applicable"/>
    <s v="No"/>
    <m/>
    <m/>
    <n v="0"/>
    <s v="Yes"/>
    <s v="Prime Deal"/>
    <n v="125138.52"/>
    <n v="0.9264"/>
    <n v="364"/>
    <s v="In Stock"/>
  </r>
  <r>
    <s v="AMZ26-00987"/>
    <d v="2026-06-01T00:00:00"/>
    <x v="5"/>
    <s v="Q2"/>
    <n v="2026"/>
    <s v="CUST-1936"/>
    <s v="Meera Shetty"/>
    <s v="Corporate"/>
    <s v="India"/>
    <s v="Maharashtra"/>
    <s v="Pune"/>
    <x v="3"/>
    <s v="Amazon App"/>
    <s v="Desktop"/>
    <x v="1"/>
    <s v="Accessories"/>
    <s v="Bluetooth Speaker"/>
    <s v="boAt"/>
    <s v="ELE-ACC-56015"/>
    <s v="FBM"/>
    <x v="1"/>
    <x v="0"/>
    <n v="4"/>
    <n v="12811.02"/>
    <n v="0.05"/>
    <n v="2562.1999999999998"/>
    <n v="51244.08"/>
    <n v="48681.88"/>
    <n v="235.62"/>
    <n v="32720.11"/>
    <n v="15726.15"/>
    <n v="0.32300000000000001"/>
    <n v="2"/>
    <s v="On Time"/>
    <s v="No"/>
    <m/>
    <n v="4"/>
    <n v="0"/>
    <s v="Yes"/>
    <s v="Lightning Deal"/>
    <n v="43426.48"/>
    <n v="1.121"/>
    <n v="211"/>
    <s v="In Stock"/>
  </r>
  <r>
    <s v="AMZ26-00988"/>
    <d v="2026-10-17T00:00:00"/>
    <x v="8"/>
    <s v="Q4"/>
    <n v="2026"/>
    <s v="CUST-2928"/>
    <s v="Arjun Yadav"/>
    <s v="Consumer"/>
    <s v="India"/>
    <s v="Maharashtra"/>
    <s v="Mumbai"/>
    <x v="3"/>
    <s v="Amazon App"/>
    <s v="Desktop"/>
    <x v="4"/>
    <s v="Kitchen Appliances"/>
    <s v="Air Fryer"/>
    <s v="Philips"/>
    <s v="HOM-KIT-68387"/>
    <s v="FBM"/>
    <x v="4"/>
    <x v="0"/>
    <n v="2"/>
    <n v="5081.43"/>
    <n v="0.15"/>
    <n v="1524.43"/>
    <n v="10162.86"/>
    <n v="8638.43"/>
    <n v="107.88"/>
    <n v="6444.98"/>
    <n v="2085.5700000000002"/>
    <n v="0.2414"/>
    <n v="1"/>
    <s v="On Time"/>
    <s v="Yes"/>
    <s v="Size/Fit Issue"/>
    <n v="5"/>
    <n v="1"/>
    <s v="No"/>
    <s v="None"/>
    <n v="8564.16"/>
    <n v="1.0086999999999999"/>
    <n v="96"/>
    <s v="In Stock"/>
  </r>
  <r>
    <s v="AMZ26-00989"/>
    <d v="2026-12-12T00:00:00"/>
    <x v="11"/>
    <s v="Q4"/>
    <n v="2026"/>
    <s v="CUST-4247"/>
    <s v="Aarav Yadav"/>
    <s v="Corporate"/>
    <s v="India"/>
    <s v="Telangana"/>
    <s v="Hyderabad"/>
    <x v="1"/>
    <s v="Amazon Website"/>
    <s v="iOS"/>
    <x v="1"/>
    <s v="Mobiles"/>
    <s v="Redmi Note"/>
    <s v="Xiaomi"/>
    <s v="ELE-MOB-39150"/>
    <s v="FBM"/>
    <x v="5"/>
    <x v="2"/>
    <n v="2"/>
    <n v="35777.39"/>
    <n v="0"/>
    <n v="0"/>
    <n v="71554.78"/>
    <n v="71554.78"/>
    <n v="62.67"/>
    <n v="51269.07"/>
    <n v="20223.04"/>
    <n v="0.28260000000000002"/>
    <n v="1"/>
    <s v="In Transit"/>
    <s v="No"/>
    <m/>
    <m/>
    <n v="0"/>
    <s v="Yes"/>
    <s v="Bank Offer"/>
    <n v="78388.13"/>
    <n v="0.91279999999999994"/>
    <n v="472"/>
    <s v="In Stock"/>
  </r>
  <r>
    <s v="AMZ26-00990"/>
    <d v="2026-09-28T00:00:00"/>
    <x v="1"/>
    <s v="Q3"/>
    <n v="2026"/>
    <s v="CUST-1860"/>
    <s v="Meera Patel"/>
    <s v="Small Business"/>
    <s v="India"/>
    <s v="Delhi"/>
    <s v="New Delhi"/>
    <x v="0"/>
    <s v="Amazon App"/>
    <s v="iOS"/>
    <x v="3"/>
    <s v="Beverages"/>
    <s v="Fruit Juice"/>
    <s v="Real"/>
    <s v="GRO-BEV-57451"/>
    <s v="FBM"/>
    <x v="0"/>
    <x v="1"/>
    <n v="1"/>
    <n v="392.26"/>
    <n v="0.05"/>
    <n v="19.61"/>
    <n v="392.26"/>
    <n v="372.65"/>
    <n v="175.63"/>
    <n v="190.51"/>
    <n v="6.51"/>
    <n v="1.7500000000000002E-2"/>
    <n v="0"/>
    <s v="Not Applicable"/>
    <s v="No"/>
    <m/>
    <m/>
    <n v="0"/>
    <s v="No"/>
    <s v="None"/>
    <n v="352.92"/>
    <n v="1.0559000000000001"/>
    <n v="176"/>
    <s v="In Stock"/>
  </r>
  <r>
    <s v="AMZ26-00991"/>
    <d v="2026-01-05T00:00:00"/>
    <x v="10"/>
    <s v="Q1"/>
    <n v="2026"/>
    <s v="CUST-3442"/>
    <s v="Ananya Kumar"/>
    <s v="Consumer"/>
    <s v="India"/>
    <s v="Telangana"/>
    <s v="Hyderabad"/>
    <x v="1"/>
    <s v="Amazon App"/>
    <s v="iOS"/>
    <x v="1"/>
    <s v="Laptops"/>
    <s v="Vivobook"/>
    <s v="ASUS"/>
    <s v="ELE-LAP-88469"/>
    <s v="FBM"/>
    <x v="5"/>
    <x v="0"/>
    <n v="4"/>
    <n v="618.9"/>
    <n v="0"/>
    <n v="0"/>
    <n v="2475.6"/>
    <n v="2475.6"/>
    <n v="90.82"/>
    <n v="1242.02"/>
    <n v="1142.76"/>
    <n v="0.46160000000000001"/>
    <n v="3"/>
    <s v="On Time"/>
    <s v="No"/>
    <m/>
    <n v="3"/>
    <n v="2"/>
    <s v="Yes"/>
    <s v="Festival Sale"/>
    <n v="2361.8000000000002"/>
    <n v="1.0482"/>
    <n v="444"/>
    <s v="In Stock"/>
  </r>
  <r>
    <s v="AMZ26-00992"/>
    <d v="2026-10-13T00:00:00"/>
    <x v="8"/>
    <s v="Q4"/>
    <n v="2026"/>
    <s v="CUST-2003"/>
    <s v="Pooja Shetty"/>
    <s v="Small Business"/>
    <s v="India"/>
    <s v="Maharashtra"/>
    <s v="Mumbai"/>
    <x v="3"/>
    <s v="Amazon App"/>
    <s v="iOS"/>
    <x v="2"/>
    <s v="Makeup"/>
    <s v="Kajal"/>
    <s v="Lakme"/>
    <s v="BEA-MAK-75749"/>
    <s v="FBA"/>
    <x v="2"/>
    <x v="0"/>
    <n v="3"/>
    <n v="1071.5899999999999"/>
    <n v="0.15"/>
    <n v="482.22"/>
    <n v="3214.77"/>
    <n v="2732.55"/>
    <n v="42.64"/>
    <n v="1932.52"/>
    <n v="757.39"/>
    <n v="0.2772"/>
    <n v="8"/>
    <s v="Delayed"/>
    <s v="No"/>
    <m/>
    <n v="4"/>
    <n v="4"/>
    <s v="Yes"/>
    <s v="None"/>
    <n v="2836.58"/>
    <n v="0.96330000000000005"/>
    <n v="410"/>
    <s v="In Stock"/>
  </r>
  <r>
    <s v="AMZ26-00993"/>
    <d v="2026-07-26T00:00:00"/>
    <x v="3"/>
    <s v="Q3"/>
    <n v="2026"/>
    <s v="CUST-3973"/>
    <s v="Arjun Joshi"/>
    <s v="Small Business"/>
    <s v="India"/>
    <s v="Rajasthan"/>
    <s v="Jaipur"/>
    <x v="3"/>
    <s v="Amazon App"/>
    <s v="Android"/>
    <x v="4"/>
    <s v="Home Decor"/>
    <s v="LED Lamp"/>
    <s v="Wipro"/>
    <s v="HOM-HOM-71316"/>
    <s v="FBM"/>
    <x v="5"/>
    <x v="0"/>
    <n v="3"/>
    <n v="1095.24"/>
    <n v="0.1"/>
    <n v="328.57"/>
    <n v="3285.72"/>
    <n v="2957.15"/>
    <n v="175.73"/>
    <n v="1925.47"/>
    <n v="855.95"/>
    <n v="0.28949999999999998"/>
    <n v="8"/>
    <s v="Delayed"/>
    <s v="No"/>
    <m/>
    <n v="5"/>
    <n v="0"/>
    <s v="Yes"/>
    <s v="Amazon Coupon"/>
    <n v="2932.7"/>
    <n v="1.0083"/>
    <n v="199"/>
    <s v="In Stock"/>
  </r>
  <r>
    <s v="AMZ26-00994"/>
    <d v="2026-03-31T00:00:00"/>
    <x v="0"/>
    <s v="Q1"/>
    <n v="2026"/>
    <s v="CUST-4402"/>
    <s v="Aditi Jain"/>
    <s v="Corporate"/>
    <s v="India"/>
    <s v="Haryana"/>
    <s v="Gurugram"/>
    <x v="0"/>
    <s v="Amazon Website"/>
    <s v="Android"/>
    <x v="2"/>
    <s v="Skin Care"/>
    <s v="Moisturizer"/>
    <s v="Cetaphil"/>
    <s v="BEA-SKI-12702"/>
    <s v="FBM"/>
    <x v="0"/>
    <x v="0"/>
    <n v="3"/>
    <n v="1010.43"/>
    <n v="0"/>
    <n v="0"/>
    <n v="3031.29"/>
    <n v="3031.29"/>
    <n v="35.65"/>
    <n v="1602.26"/>
    <n v="1393.38"/>
    <n v="0.4597"/>
    <n v="4"/>
    <s v="On Time"/>
    <s v="Yes"/>
    <s v="Damaged Product"/>
    <n v="5"/>
    <n v="0"/>
    <s v="No"/>
    <s v="Lightning Deal"/>
    <n v="3101.31"/>
    <n v="0.97740000000000005"/>
    <n v="400"/>
    <s v="In Stock"/>
  </r>
  <r>
    <s v="AMZ26-00995"/>
    <d v="2026-12-21T00:00:00"/>
    <x v="11"/>
    <s v="Q4"/>
    <n v="2026"/>
    <s v="CUST-1893"/>
    <s v="Meera Gupta"/>
    <s v="Small Business"/>
    <s v="India"/>
    <s v="Telangana"/>
    <s v="Hyderabad"/>
    <x v="1"/>
    <s v="Amazon Website"/>
    <s v="Desktop"/>
    <x v="2"/>
    <s v="Hair Care"/>
    <s v="Shampoo"/>
    <s v="Dove"/>
    <s v="BEA-HAI-71663"/>
    <s v="FBM"/>
    <x v="4"/>
    <x v="0"/>
    <n v="2"/>
    <n v="324.22000000000003"/>
    <n v="0.2"/>
    <n v="129.69"/>
    <n v="648.44000000000005"/>
    <n v="518.75"/>
    <n v="86.57"/>
    <n v="287.70999999999998"/>
    <n v="144.47"/>
    <n v="0.27850000000000003"/>
    <n v="4"/>
    <s v="On Time"/>
    <s v="No"/>
    <m/>
    <n v="4"/>
    <n v="4"/>
    <s v="No"/>
    <s v="Festival Sale"/>
    <n v="639.99"/>
    <n v="0.81059999999999999"/>
    <n v="193"/>
    <s v="In Stock"/>
  </r>
  <r>
    <s v="AMZ26-00996"/>
    <d v="2026-11-24T00:00:00"/>
    <x v="6"/>
    <s v="Q4"/>
    <n v="2026"/>
    <s v="CUST-2032"/>
    <s v="Arjun Kumar"/>
    <s v="Small Business"/>
    <s v="India"/>
    <s v="Assam"/>
    <s v="Guwahati"/>
    <x v="2"/>
    <s v="Amazon Website"/>
    <s v="iOS"/>
    <x v="3"/>
    <s v="Beverages"/>
    <s v="Coffee"/>
    <s v="Nescafe"/>
    <s v="GRO-BEV-88577"/>
    <s v="FBM"/>
    <x v="0"/>
    <x v="0"/>
    <n v="3"/>
    <n v="799.89"/>
    <n v="0.15"/>
    <n v="359.95"/>
    <n v="2399.67"/>
    <n v="2039.72"/>
    <n v="26.95"/>
    <n v="1098.6600000000001"/>
    <n v="914.11"/>
    <n v="0.44819999999999999"/>
    <n v="5"/>
    <s v="Delayed"/>
    <s v="Yes"/>
    <s v="Changed Mind"/>
    <n v="5"/>
    <n v="4"/>
    <s v="No"/>
    <s v="Prime Deal"/>
    <n v="1868.78"/>
    <n v="1.0914999999999999"/>
    <n v="40"/>
    <s v="In Stock"/>
  </r>
  <r>
    <s v="AMZ26-00997"/>
    <d v="2026-11-06T00:00:00"/>
    <x v="6"/>
    <s v="Q4"/>
    <n v="2026"/>
    <s v="CUST-4232"/>
    <s v="Aditya Sharma"/>
    <s v="Consumer"/>
    <s v="India"/>
    <s v="Punjab"/>
    <s v="Ludhiana"/>
    <x v="0"/>
    <s v="Amazon Website"/>
    <s v="Desktop"/>
    <x v="0"/>
    <s v="Footwear"/>
    <s v="Sandals"/>
    <s v="Bata"/>
    <s v="FAS-FOO-80747"/>
    <s v="FBM"/>
    <x v="1"/>
    <x v="0"/>
    <n v="5"/>
    <n v="1548.56"/>
    <n v="0.2"/>
    <n v="1548.56"/>
    <n v="7742.8"/>
    <n v="6194.24"/>
    <n v="159.41"/>
    <n v="4156.93"/>
    <n v="1877.9"/>
    <n v="0.30320000000000003"/>
    <n v="5"/>
    <s v="Delayed"/>
    <s v="No"/>
    <m/>
    <n v="5"/>
    <n v="4"/>
    <s v="Yes"/>
    <s v="Amazon Coupon"/>
    <n v="6637.12"/>
    <n v="0.93330000000000002"/>
    <n v="139"/>
    <s v="In Stock"/>
  </r>
  <r>
    <s v="AMZ26-00998"/>
    <d v="2026-12-02T00:00:00"/>
    <x v="11"/>
    <s v="Q4"/>
    <n v="2026"/>
    <s v="CUST-3077"/>
    <s v="Rohan Jain"/>
    <s v="Small Business"/>
    <s v="India"/>
    <s v="Haryana"/>
    <s v="Gurugram"/>
    <x v="0"/>
    <s v="Amazon App"/>
    <s v="Desktop"/>
    <x v="1"/>
    <s v="Mobiles"/>
    <s v="Galaxy A Series"/>
    <s v="Samsung"/>
    <s v="ELE-MOB-43654"/>
    <s v="FBA"/>
    <x v="3"/>
    <x v="0"/>
    <n v="1"/>
    <n v="44520.3"/>
    <n v="0"/>
    <n v="0"/>
    <n v="44520.3"/>
    <n v="44520.3"/>
    <n v="3.62"/>
    <n v="27014.83"/>
    <n v="17501.849999999999"/>
    <n v="0.3931"/>
    <n v="7"/>
    <s v="Delayed"/>
    <s v="No"/>
    <m/>
    <n v="5"/>
    <n v="0"/>
    <s v="Yes"/>
    <s v="Amazon Coupon"/>
    <n v="47034.62"/>
    <n v="0.94650000000000001"/>
    <n v="34"/>
    <s v="Low Stock"/>
  </r>
  <r>
    <s v="AMZ26-00999"/>
    <d v="2026-09-17T00:00:00"/>
    <x v="1"/>
    <s v="Q3"/>
    <n v="2026"/>
    <s v="CUST-1805"/>
    <s v="Ananya Jain"/>
    <s v="Consumer"/>
    <s v="India"/>
    <s v="West Bengal"/>
    <s v="Kolkata"/>
    <x v="2"/>
    <s v="Amazon Website"/>
    <s v="Tablet"/>
    <x v="2"/>
    <s v="Hair Care"/>
    <s v="Hair Serum"/>
    <s v="L'Oreal"/>
    <s v="BEA-HAI-66026"/>
    <s v="FBA"/>
    <x v="0"/>
    <x v="0"/>
    <n v="2"/>
    <n v="223.44"/>
    <n v="0.3"/>
    <n v="134.06"/>
    <n v="446.88"/>
    <n v="312.82"/>
    <n v="69.599999999999994"/>
    <n v="194.58"/>
    <n v="48.64"/>
    <n v="0.1555"/>
    <n v="6"/>
    <s v="Delayed"/>
    <s v="No"/>
    <m/>
    <n v="4"/>
    <n v="0"/>
    <s v="Yes"/>
    <s v="None"/>
    <n v="282.29000000000002"/>
    <n v="1.1082000000000001"/>
    <n v="176"/>
    <s v="In Stock"/>
  </r>
  <r>
    <s v="AMZ26-01000"/>
    <d v="2026-01-30T00:00:00"/>
    <x v="10"/>
    <s v="Q1"/>
    <n v="2026"/>
    <s v="CUST-3623"/>
    <s v="Nikhil Joshi"/>
    <s v="Small Business"/>
    <s v="India"/>
    <s v="Maharashtra"/>
    <s v="Mumbai"/>
    <x v="3"/>
    <s v="Amazon App"/>
    <s v="Tablet"/>
    <x v="2"/>
    <s v="Makeup"/>
    <s v="Lipstick"/>
    <s v="Maybelline"/>
    <s v="BEA-MAK-75155"/>
    <s v="FBM"/>
    <x v="1"/>
    <x v="0"/>
    <n v="5"/>
    <n v="232.43"/>
    <n v="0.05"/>
    <n v="58.11"/>
    <n v="1162.1500000000001"/>
    <n v="1104.04"/>
    <n v="129.49"/>
    <n v="807.13"/>
    <n v="167.42"/>
    <n v="0.15160000000000001"/>
    <n v="8"/>
    <s v="Delayed"/>
    <s v="No"/>
    <m/>
    <n v="4"/>
    <n v="2"/>
    <s v="Yes"/>
    <s v="Prime Deal"/>
    <n v="1213.1400000000001"/>
    <n v="0.91010000000000002"/>
    <n v="449"/>
    <s v="In Stoc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620F8F-0B1D-47C2-AA89-9D0D924A4BAF}" name="PT_OrderStatus"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8" firstHeaderRow="1" firstDataRow="2" firstDataCol="1"/>
  <pivotFields count="44">
    <pivotField dataField="1"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1"/>
  </rowFields>
  <rowItems count="4">
    <i>
      <x/>
    </i>
    <i>
      <x v="1"/>
    </i>
    <i>
      <x v="2"/>
    </i>
    <i t="grand">
      <x/>
    </i>
  </rowItems>
  <colFields count="1">
    <field x="-2"/>
  </colFields>
  <colItems count="2">
    <i>
      <x/>
    </i>
    <i i="1">
      <x v="1"/>
    </i>
  </colItems>
  <dataFields count="2">
    <dataField name="Sum of Net Sales" fld="27" baseField="0" baseItem="0"/>
    <dataField name="Count of Order ID" fld="0" subtotal="count" baseField="0" baseItem="0"/>
  </dataFields>
  <formats count="2">
    <format dxfId="1">
      <pivotArea outline="0" fieldPosition="0">
        <references count="2">
          <reference field="4294967294" count="1" selected="0">
            <x v="0"/>
          </reference>
          <reference field="21" count="0" selected="0"/>
        </references>
      </pivotArea>
    </format>
    <format dxfId="0">
      <pivotArea outline="0" fieldPosition="0">
        <references count="2">
          <reference field="4294967294" count="1" selected="0">
            <x v="1"/>
          </reference>
          <reference field="21"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B728EF-3A71-432C-87D6-421AC18AC11E}" name="PT_TargetVsActual"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chartFormat="10">
  <location ref="D25:F31" firstHeaderRow="1" firstDataRow="2"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outline="0" showAll="0"/>
  </pivotFields>
  <rowFields count="1">
    <field x="11"/>
  </rowFields>
  <rowItems count="5">
    <i>
      <x/>
    </i>
    <i>
      <x v="1"/>
    </i>
    <i>
      <x v="2"/>
    </i>
    <i>
      <x v="3"/>
    </i>
    <i t="grand">
      <x/>
    </i>
  </rowItems>
  <colFields count="1">
    <field x="-2"/>
  </colFields>
  <colItems count="2">
    <i>
      <x/>
    </i>
    <i i="1">
      <x v="1"/>
    </i>
  </colItems>
  <dataFields count="2">
    <dataField name="Actual Sales" fld="27" baseField="0" baseItem="0"/>
    <dataField name="Sum of Sales Target" fld="40" baseField="0" baseItem="0"/>
  </dataFields>
  <formats count="19">
    <format dxfId="20">
      <pivotArea outline="0" collapsedLevelsAreSubtotals="1" fieldPosition="0"/>
    </format>
    <format dxfId="19">
      <pivotArea type="all" dataOnly="0" outline="0" fieldPosition="0"/>
    </format>
    <format dxfId="18">
      <pivotArea outline="0" collapsedLevelsAreSubtotals="1" fieldPosition="0"/>
    </format>
    <format dxfId="17">
      <pivotArea type="origin" dataOnly="0" labelOnly="1" outline="0" fieldPosition="0"/>
    </format>
    <format dxfId="16">
      <pivotArea field="-2" type="button" dataOnly="0" labelOnly="1" outline="0" axis="axisCol" fieldPosition="0"/>
    </format>
    <format dxfId="15">
      <pivotArea type="topRight" dataOnly="0" labelOnly="1" outline="0" fieldPosition="0"/>
    </format>
    <format dxfId="14">
      <pivotArea field="11" type="button" dataOnly="0" labelOnly="1" outline="0" axis="axisRow" fieldPosition="0"/>
    </format>
    <format dxfId="13">
      <pivotArea dataOnly="0" labelOnly="1" outline="0" fieldPosition="0">
        <references count="1">
          <reference field="11" count="0"/>
        </references>
      </pivotArea>
    </format>
    <format dxfId="12">
      <pivotArea dataOnly="0" labelOnly="1" grandRow="1" outline="0" fieldPosition="0"/>
    </format>
    <format dxfId="11">
      <pivotArea dataOnly="0" labelOnly="1" outline="0" fieldPosition="0">
        <references count="1">
          <reference field="4294967294" count="2">
            <x v="0"/>
            <x v="1"/>
          </reference>
        </references>
      </pivotArea>
    </format>
    <format dxfId="10">
      <pivotArea type="all" dataOnly="0" outline="0" fieldPosition="0"/>
    </format>
    <format dxfId="9">
      <pivotArea outline="0" collapsedLevelsAreSubtotals="1" fieldPosition="0"/>
    </format>
    <format dxfId="8">
      <pivotArea type="origin" dataOnly="0" labelOnly="1" outline="0" fieldPosition="0"/>
    </format>
    <format dxfId="7">
      <pivotArea field="-2" type="button" dataOnly="0" labelOnly="1" outline="0" axis="axisCol" fieldPosition="0"/>
    </format>
    <format dxfId="6">
      <pivotArea type="topRight" dataOnly="0" labelOnly="1" outline="0" fieldPosition="0"/>
    </format>
    <format dxfId="5">
      <pivotArea field="11" type="button" dataOnly="0" labelOnly="1" outline="0" axis="axisRow" fieldPosition="0"/>
    </format>
    <format dxfId="4">
      <pivotArea dataOnly="0" labelOnly="1" outline="0" fieldPosition="0">
        <references count="1">
          <reference field="11" count="0"/>
        </references>
      </pivotArea>
    </format>
    <format dxfId="3">
      <pivotArea dataOnly="0" labelOnly="1" grandRow="1" outline="0" fieldPosition="0"/>
    </format>
    <format dxfId="2">
      <pivotArea dataOnly="0" labelOnly="1" outline="0" fieldPosition="0">
        <references count="1">
          <reference field="4294967294" count="2">
            <x v="0"/>
            <x v="1"/>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201A20-5652-48A5-B8CA-00F3E0F3BCE3}" name="PT_SalesByRegion"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chartFormat="4">
  <location ref="A3:B8"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11"/>
  </rowFields>
  <rowItems count="5">
    <i>
      <x/>
    </i>
    <i>
      <x v="1"/>
    </i>
    <i>
      <x v="2"/>
    </i>
    <i>
      <x v="3"/>
    </i>
    <i t="grand">
      <x/>
    </i>
  </rowItems>
  <colItems count="1">
    <i/>
  </colItems>
  <dataFields count="1">
    <dataField name="Sum of Net Sales" fld="27" baseField="0" baseItem="0" numFmtId="165"/>
  </dataFields>
  <formats count="13">
    <format dxfId="33">
      <pivotArea outline="0" collapsedLevelsAreSubtotals="1" fieldPosition="0"/>
    </format>
    <format dxfId="32">
      <pivotArea type="all" dataOnly="0" outline="0" fieldPosition="0"/>
    </format>
    <format dxfId="31">
      <pivotArea outline="0" collapsedLevelsAreSubtotals="1" fieldPosition="0"/>
    </format>
    <format dxfId="30">
      <pivotArea field="11" type="button" dataOnly="0" labelOnly="1" outline="0" axis="axisRow" fieldPosition="0"/>
    </format>
    <format dxfId="29">
      <pivotArea dataOnly="0" labelOnly="1" outline="0" fieldPosition="0">
        <references count="1">
          <reference field="11" count="0"/>
        </references>
      </pivotArea>
    </format>
    <format dxfId="28">
      <pivotArea dataOnly="0" labelOnly="1" grandRow="1" outline="0" fieldPosition="0"/>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field="11" type="button" dataOnly="0" labelOnly="1" outline="0" axis="axisRow" fieldPosition="0"/>
    </format>
    <format dxfId="23">
      <pivotArea dataOnly="0" labelOnly="1" outline="0" fieldPosition="0">
        <references count="1">
          <reference field="11" count="0"/>
        </references>
      </pivotArea>
    </format>
    <format dxfId="22">
      <pivotArea dataOnly="0" labelOnly="1" grandRow="1" outline="0" fieldPosition="0"/>
    </format>
    <format dxfId="21">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2E2A24-5B39-4782-AECE-8989993F2693}" name="PT_KPI"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44">
    <pivotField dataField="1" showAll="0"/>
    <pivotField numFmtId="164" showAll="0"/>
    <pivotField showAll="0">
      <items count="13">
        <item x="10"/>
        <item x="7"/>
        <item x="0"/>
        <item x="9"/>
        <item x="2"/>
        <item x="5"/>
        <item x="3"/>
        <item x="4"/>
        <item x="1"/>
        <item x="8"/>
        <item x="6"/>
        <item x="11"/>
        <item t="default"/>
      </items>
    </pivotField>
    <pivotField showAll="0"/>
    <pivotField showAll="0"/>
    <pivotField showAll="0"/>
    <pivotField showAll="0"/>
    <pivotField showAll="0"/>
    <pivotField showAll="0"/>
    <pivotField showAll="0"/>
    <pivotField showAll="0"/>
    <pivotField showAll="0">
      <items count="5">
        <item x="2"/>
        <item x="0"/>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pivotField showAll="0"/>
    <pivotField showAll="0"/>
    <pivotField dataField="1" numFmtId="165" showAll="0"/>
    <pivotField showAll="0"/>
    <pivotField showAll="0"/>
    <pivotField showAll="0"/>
    <pivotField showAll="0"/>
    <pivotField showAll="0"/>
    <pivotField showAll="0"/>
    <pivotField showAll="0"/>
    <pivotField showAll="0"/>
    <pivotField showAll="0"/>
    <pivotField dataField="1" numFmtId="165" showAll="0"/>
    <pivotField showAll="0"/>
    <pivotField showAll="0"/>
    <pivotField showAll="0"/>
  </pivotFields>
  <rowItems count="1">
    <i/>
  </rowItems>
  <colFields count="1">
    <field x="-2"/>
  </colFields>
  <colItems count="4">
    <i>
      <x/>
    </i>
    <i i="1">
      <x v="1"/>
    </i>
    <i i="2">
      <x v="2"/>
    </i>
    <i i="3">
      <x v="3"/>
    </i>
  </colItems>
  <dataFields count="4">
    <dataField name="Sum of Net Sales" fld="27" baseField="0" baseItem="0"/>
    <dataField name="Sum of Sales Target" fld="40" baseField="0" baseItem="0"/>
    <dataField name="Sum of Profit" fld="30" baseField="0" baseItem="0"/>
    <dataField name="Count of Order ID" fld="0" subtotal="count" baseField="0" baseItem="0" numFmtId="3"/>
  </dataFields>
  <formats count="12">
    <format dxfId="45">
      <pivotArea outline="0" collapsedLevelsAreSubtotals="1" fieldPosition="0"/>
    </format>
    <format dxfId="44">
      <pivotArea outline="0" collapsedLevelsAreSubtotals="1" fieldPosition="0">
        <references count="1">
          <reference field="4294967294" count="1" selected="0">
            <x v="3"/>
          </reference>
        </references>
      </pivotArea>
    </format>
    <format dxfId="43">
      <pivotArea type="all" dataOnly="0" outline="0" fieldPosition="0"/>
    </format>
    <format dxfId="42">
      <pivotArea outline="0" collapsedLevelsAreSubtotals="1" fieldPosition="0"/>
    </format>
    <format dxfId="41">
      <pivotArea field="-2" type="button" dataOnly="0" labelOnly="1" outline="0" axis="axisCol" fieldPosition="0"/>
    </format>
    <format dxfId="40">
      <pivotArea type="topRight" dataOnly="0" labelOnly="1" outline="0" fieldPosition="0"/>
    </format>
    <format dxfId="39">
      <pivotArea dataOnly="0" labelOnly="1" outline="0" fieldPosition="0">
        <references count="1">
          <reference field="4294967294" count="4">
            <x v="0"/>
            <x v="1"/>
            <x v="2"/>
            <x v="3"/>
          </reference>
        </references>
      </pivotArea>
    </format>
    <format dxfId="38">
      <pivotArea type="all" dataOnly="0" outline="0" fieldPosition="0"/>
    </format>
    <format dxfId="37">
      <pivotArea outline="0" collapsedLevelsAreSubtotals="1" fieldPosition="0"/>
    </format>
    <format dxfId="36">
      <pivotArea field="-2" type="button" dataOnly="0" labelOnly="1" outline="0" axis="axisCol" fieldPosition="0"/>
    </format>
    <format dxfId="35">
      <pivotArea type="topRight" dataOnly="0" labelOnly="1" outline="0" fieldPosition="0"/>
    </format>
    <format dxfId="3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134D9-F0E3-48BC-BE38-DB2FBF1144EB}" name="PT_PaymentMetho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2"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
        <item x="3"/>
        <item x="1"/>
        <item x="4"/>
        <item x="0"/>
        <item x="2"/>
        <item x="5"/>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0"/>
  </rowFields>
  <rowItems count="7">
    <i>
      <x/>
    </i>
    <i>
      <x v="1"/>
    </i>
    <i>
      <x v="2"/>
    </i>
    <i>
      <x v="3"/>
    </i>
    <i>
      <x v="4"/>
    </i>
    <i>
      <x v="5"/>
    </i>
    <i t="grand">
      <x/>
    </i>
  </rowItems>
  <colItems count="1">
    <i/>
  </colItems>
  <dataFields count="1">
    <dataField name="Sum of Net Sales" fld="27" baseField="0" baseItem="0" numFmtId="165"/>
  </dataFields>
  <formats count="13">
    <format dxfId="58">
      <pivotArea outline="0" collapsedLevelsAreSubtotals="1" fieldPosition="0"/>
    </format>
    <format dxfId="57">
      <pivotArea type="all" dataOnly="0" outline="0" fieldPosition="0"/>
    </format>
    <format dxfId="56">
      <pivotArea outline="0" collapsedLevelsAreSubtotals="1" fieldPosition="0"/>
    </format>
    <format dxfId="55">
      <pivotArea field="20" type="button" dataOnly="0" labelOnly="1" outline="0" axis="axisRow" fieldPosition="0"/>
    </format>
    <format dxfId="54">
      <pivotArea dataOnly="0" labelOnly="1" outline="0" fieldPosition="0">
        <references count="1">
          <reference field="20" count="0"/>
        </references>
      </pivotArea>
    </format>
    <format dxfId="53">
      <pivotArea dataOnly="0" labelOnly="1" grandRow="1" outline="0" fieldPosition="0"/>
    </format>
    <format dxfId="52">
      <pivotArea dataOnly="0" labelOnly="1" outline="0" axis="axisValues" fieldPosition="0"/>
    </format>
    <format dxfId="51">
      <pivotArea type="all" dataOnly="0" outline="0" fieldPosition="0"/>
    </format>
    <format dxfId="50">
      <pivotArea outline="0" collapsedLevelsAreSubtotals="1" fieldPosition="0"/>
    </format>
    <format dxfId="49">
      <pivotArea field="20" type="button" dataOnly="0" labelOnly="1" outline="0" axis="axisRow" fieldPosition="0"/>
    </format>
    <format dxfId="48">
      <pivotArea dataOnly="0" labelOnly="1" outline="0" fieldPosition="0">
        <references count="1">
          <reference field="20" count="0"/>
        </references>
      </pivotArea>
    </format>
    <format dxfId="47">
      <pivotArea dataOnly="0" labelOnly="1" grandRow="1" outline="0" fieldPosition="0"/>
    </format>
    <format dxfId="46">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9ED95A-5B1F-4C0E-BAC2-1900399CD237}" name="PT_MonthlyTrend"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chartFormat="4">
  <location ref="G3:H16" firstHeaderRow="1" firstDataRow="1" firstDataCol="1"/>
  <pivotFields count="44">
    <pivotField compact="0" outline="0" showAll="0"/>
    <pivotField compact="0" numFmtId="164" outline="0" showAll="0"/>
    <pivotField axis="axisRow" compact="0" outline="0" showAll="0" sortType="ascending">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Sum of Net Sales" fld="27" baseField="0" baseItem="0" numFmtId="165"/>
  </dataFields>
  <formats count="13">
    <format dxfId="71">
      <pivotArea outline="0" collapsedLevelsAreSubtotals="1" fieldPosition="0"/>
    </format>
    <format dxfId="70">
      <pivotArea type="all" dataOnly="0" outline="0" fieldPosition="0"/>
    </format>
    <format dxfId="69">
      <pivotArea outline="0" collapsedLevelsAreSubtotals="1" fieldPosition="0"/>
    </format>
    <format dxfId="68">
      <pivotArea field="2" type="button" dataOnly="0" labelOnly="1" outline="0" axis="axisRow" fieldPosition="0"/>
    </format>
    <format dxfId="67">
      <pivotArea dataOnly="0" labelOnly="1" outline="0" fieldPosition="0">
        <references count="1">
          <reference field="2" count="0"/>
        </references>
      </pivotArea>
    </format>
    <format dxfId="66">
      <pivotArea dataOnly="0" labelOnly="1" grandRow="1" outline="0"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2" type="button" dataOnly="0" labelOnly="1" outline="0" axis="axisRow" fieldPosition="0"/>
    </format>
    <format dxfId="61">
      <pivotArea dataOnly="0" labelOnly="1" outline="0" fieldPosition="0">
        <references count="1">
          <reference field="2" count="0"/>
        </references>
      </pivotArea>
    </format>
    <format dxfId="60">
      <pivotArea dataOnly="0" labelOnly="1" grandRow="1" outline="0" fieldPosition="0"/>
    </format>
    <format dxfId="59">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64BF12-9DBE-4E57-AF8E-253DFED57D80}" name="PT_SalesByCategory" cacheId="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chartFormat="6">
  <location ref="D3:E9" firstHeaderRow="1" firstDataRow="1" firstDataCol="1"/>
  <pivotFields count="44">
    <pivotField compact="0" outline="0" showAll="0"/>
    <pivotField compact="0" numFmtId="164" outline="0" showAll="0"/>
    <pivotField compact="0" outline="0" showAll="0">
      <items count="13">
        <item x="10"/>
        <item x="7"/>
        <item x="0"/>
        <item x="9"/>
        <item x="2"/>
        <item x="5"/>
        <item x="3"/>
        <item x="4"/>
        <item x="1"/>
        <item x="8"/>
        <item x="6"/>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x="3"/>
        <item t="default"/>
      </items>
    </pivotField>
    <pivotField compact="0" outline="0" showAll="0"/>
    <pivotField compact="0" outline="0" showAll="0"/>
    <pivotField axis="axisRow" compact="0" outline="0" showAll="0">
      <items count="6">
        <item x="2"/>
        <item x="1"/>
        <item x="0"/>
        <item x="3"/>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outline="0" showAll="0"/>
    <pivotField compact="0" outline="0" showAll="0"/>
  </pivotFields>
  <rowFields count="1">
    <field x="14"/>
  </rowFields>
  <rowItems count="6">
    <i>
      <x/>
    </i>
    <i>
      <x v="1"/>
    </i>
    <i>
      <x v="2"/>
    </i>
    <i>
      <x v="3"/>
    </i>
    <i>
      <x v="4"/>
    </i>
    <i t="grand">
      <x/>
    </i>
  </rowItems>
  <colItems count="1">
    <i/>
  </colItems>
  <dataFields count="1">
    <dataField name="Sum of Net Sales" fld="27" baseField="0" baseItem="0" numFmtId="165"/>
  </dataFields>
  <formats count="13">
    <format dxfId="84">
      <pivotArea outline="0" collapsedLevelsAreSubtotals="1" fieldPosition="0"/>
    </format>
    <format dxfId="83">
      <pivotArea type="all" dataOnly="0" outline="0" fieldPosition="0"/>
    </format>
    <format dxfId="82">
      <pivotArea outline="0" collapsedLevelsAreSubtotals="1" fieldPosition="0"/>
    </format>
    <format dxfId="81">
      <pivotArea field="14" type="button" dataOnly="0" labelOnly="1" outline="0" axis="axisRow" fieldPosition="0"/>
    </format>
    <format dxfId="80">
      <pivotArea dataOnly="0" labelOnly="1" outline="0" fieldPosition="0">
        <references count="1">
          <reference field="14" count="0"/>
        </references>
      </pivotArea>
    </format>
    <format dxfId="79">
      <pivotArea dataOnly="0" labelOnly="1" grandRow="1" outline="0"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4" type="button" dataOnly="0" labelOnly="1" outline="0" axis="axisRow" fieldPosition="0"/>
    </format>
    <format dxfId="74">
      <pivotArea dataOnly="0" labelOnly="1" outline="0" fieldPosition="0">
        <references count="1">
          <reference field="14" count="0"/>
        </references>
      </pivotArea>
    </format>
    <format dxfId="73">
      <pivotArea dataOnly="0" labelOnly="1" grandRow="1" outline="0" fieldPosition="0"/>
    </format>
    <format dxfId="72">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4" count="1" selected="0">
            <x v="0"/>
          </reference>
        </references>
      </pivotArea>
    </chartFormat>
    <chartFormat chart="5" format="9">
      <pivotArea type="data" outline="0" fieldPosition="0">
        <references count="2">
          <reference field="4294967294" count="1" selected="0">
            <x v="0"/>
          </reference>
          <reference field="14" count="1" selected="0">
            <x v="1"/>
          </reference>
        </references>
      </pivotArea>
    </chartFormat>
    <chartFormat chart="5" format="10">
      <pivotArea type="data" outline="0" fieldPosition="0">
        <references count="2">
          <reference field="4294967294" count="1" selected="0">
            <x v="0"/>
          </reference>
          <reference field="14" count="1" selected="0">
            <x v="2"/>
          </reference>
        </references>
      </pivotArea>
    </chartFormat>
    <chartFormat chart="5" format="11">
      <pivotArea type="data" outline="0" fieldPosition="0">
        <references count="2">
          <reference field="4294967294" count="1" selected="0">
            <x v="0"/>
          </reference>
          <reference field="14" count="1" selected="0">
            <x v="3"/>
          </reference>
        </references>
      </pivotArea>
    </chartFormat>
    <chartFormat chart="5" format="12">
      <pivotArea type="data" outline="0" fieldPosition="0">
        <references count="2">
          <reference field="4294967294" count="1" selected="0">
            <x v="0"/>
          </reference>
          <reference field="14"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9E56E8C-507B-4DD0-94CD-261069209915}" sourceName="Month">
  <pivotTables>
    <pivotTable tabId="5" name="PT_SalesByRegion"/>
    <pivotTable tabId="5" name="PT_SalesByCategory"/>
    <pivotTable tabId="5" name="PT_MonthlyTrend"/>
    <pivotTable tabId="5" name="PT_OrderStatus"/>
    <pivotTable tabId="5" name="PT_KPI"/>
    <pivotTable tabId="5" name="PT_PaymentMethod"/>
    <pivotTable tabId="5" name="PT_TargetVsActual"/>
  </pivotTables>
  <data>
    <tabular pivotCacheId="2139070043">
      <items count="12">
        <i x="10" s="1"/>
        <i x="7" s="1"/>
        <i x="0" s="1"/>
        <i x="9" s="1"/>
        <i x="2" s="1"/>
        <i x="5" s="1"/>
        <i x="3" s="1"/>
        <i x="4" s="1"/>
        <i x="1" s="1"/>
        <i x="8" s="1"/>
        <i x="6"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06B3A1C-C417-4432-B301-0B56256A47BE}" sourceName="Region">
  <pivotTables>
    <pivotTable tabId="5" name="PT_SalesByRegion"/>
    <pivotTable tabId="5" name="PT_SalesByCategory"/>
    <pivotTable tabId="5" name="PT_MonthlyTrend"/>
    <pivotTable tabId="5" name="PT_OrderStatus"/>
    <pivotTable tabId="5" name="PT_KPI"/>
    <pivotTable tabId="5" name="PT_PaymentMethod"/>
    <pivotTable tabId="5" name="PT_TargetVsActual"/>
  </pivotTables>
  <data>
    <tabular pivotCacheId="2139070043">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653F8985-56C4-4C68-8010-33774C8A0802}" sourceName="Payment Method">
  <pivotTables>
    <pivotTable tabId="5" name="PT_PaymentMethod"/>
  </pivotTables>
  <data>
    <tabular pivotCacheId="2139070043">
      <items count="6">
        <i x="3" s="1"/>
        <i x="1" s="1"/>
        <i x="4" s="1"/>
        <i x="0" s="1"/>
        <i x="2"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08958A7-D55D-482F-9312-B6A75E26AB78}" sourceName="Category">
  <pivotTables>
    <pivotTable tabId="5" name="PT_SalesByCategory"/>
  </pivotTables>
  <data>
    <tabular pivotCacheId="2139070043">
      <items count="5">
        <i x="2" s="1"/>
        <i x="1" s="1"/>
        <i x="0"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9472031-8AC5-4F2B-B307-A47AF02AB935}" cache="Slicer_Month" caption="Month" columnCount="4" rowHeight="234950"/>
  <slicer name="Region" xr10:uid="{458229D0-E486-4244-9372-AC35D709655C}" cache="Slicer_Region" caption="Region" columnCount="6" style="SlicerStyleLight4" rowHeight="234950"/>
  <slicer name="Payment Method" xr10:uid="{5302924C-D15A-44A7-B239-80C96B314728}" cache="Slicer_Payment_Method" caption="Payment Method" rowHeight="234950"/>
  <slicer name="Category" xr10:uid="{CAA38BA5-1790-44F2-938B-9836DD8A079A}"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6F3D95-8A8D-4759-BC2D-AE219AAAFADE}" name="Amazon_Data_Set" displayName="Amazon_Data_Set" ref="A1:AH1001" totalsRowShown="0" headerRowDxfId="91">
  <autoFilter ref="A1:AH1001" xr:uid="{216F3D95-8A8D-4759-BC2D-AE219AAAFADE}"/>
  <tableColumns count="34">
    <tableColumn id="1" xr3:uid="{6B54A21A-C635-4D23-89CA-39AB311191B4}" name="Order ID"/>
    <tableColumn id="2" xr3:uid="{F1DC5259-801D-475B-B920-295B52230838}" name="Order Date" dataDxfId="90"/>
    <tableColumn id="3" xr3:uid="{6BEF00B4-594B-4BFF-AB09-B7FF7E832EFD}" name="Month">
      <calculatedColumnFormula>TEXT(Amazon_Data_Set[[#This Row],[Order Date]],"mmm")</calculatedColumnFormula>
    </tableColumn>
    <tableColumn id="7" xr3:uid="{853A929E-6AD0-40F8-9E9C-F820C59BD691}" name="Customer Name"/>
    <tableColumn id="10" xr3:uid="{990D6188-0FC3-4A15-940E-E64E5D8BCA53}" name="State"/>
    <tableColumn id="11" xr3:uid="{242572AD-93CC-440A-A2B3-8BF326D65FAD}" name="City"/>
    <tableColumn id="12" xr3:uid="{45E45AEF-B7DA-4634-9F51-7EC83B322235}" name="Region"/>
    <tableColumn id="15" xr3:uid="{69C8469F-031A-4AC7-9D2F-3C0AC16DC819}" name="Category"/>
    <tableColumn id="16" xr3:uid="{512FE99F-F233-47EC-9952-A66A87A9CBEF}" name="Sub-Category"/>
    <tableColumn id="17" xr3:uid="{42853346-81CE-4777-A90B-E469D880B4ED}" name="Product Name"/>
    <tableColumn id="18" xr3:uid="{A242E84F-E204-44D1-B2D6-25FE41F147F1}" name="Brand"/>
    <tableColumn id="19" xr3:uid="{A06D6AB6-81E3-4175-A2EE-3006D2B69268}" name="SKU"/>
    <tableColumn id="20" xr3:uid="{751D7D0A-18EB-4A29-B086-17E7B16D7DD4}" name="Fulfillment Type"/>
    <tableColumn id="21" xr3:uid="{B326D12D-B80A-4545-B562-081B2A3386E3}" name="Payment Method"/>
    <tableColumn id="22" xr3:uid="{3B67BCBB-F932-4827-9A08-492962D00ED5}" name="Order Status"/>
    <tableColumn id="23" xr3:uid="{4C72AEF8-D548-43F9-9B69-7BB082BCF09B}" name="Quantity"/>
    <tableColumn id="24" xr3:uid="{F541DE92-C28C-480C-ABB7-1BC8F6A3513D}" name="Unit Price"/>
    <tableColumn id="25" xr3:uid="{EF7CE1D9-B740-46F6-850B-0129FC973458}" name="Discount %" dataDxfId="89"/>
    <tableColumn id="26" xr3:uid="{0093C36C-7B61-4E65-B0A1-1F5942BDCF11}" name="Discount Amount" dataCellStyle="Currency"/>
    <tableColumn id="27" xr3:uid="{CC2E8159-4393-4542-B479-0AE5EC6596AE}" name="Gross Sales"/>
    <tableColumn id="28" xr3:uid="{4DD056CE-5075-47C7-AB15-8D8F3F164909}" name="Net Sales" dataDxfId="88"/>
    <tableColumn id="29" xr3:uid="{5130DE4A-0BFA-460B-B3C8-A09655B75186}" name="Shipping Cost"/>
    <tableColumn id="30" xr3:uid="{E6C2DD60-699B-4B19-A07B-410718718F21}" name="COGS"/>
    <tableColumn id="31" xr3:uid="{7F6A0E79-3251-41D0-A161-9A4CBE30496F}" name="Profit" dataDxfId="87"/>
    <tableColumn id="32" xr3:uid="{53791C5E-7064-4D14-837A-9956A7C0F57D}" name="Profit Margin %"/>
    <tableColumn id="33" xr3:uid="{E0841057-036A-429B-97D6-66C384F67161}" name="Delivery Days"/>
    <tableColumn id="34" xr3:uid="{43674297-34AB-4B9A-AD8C-F9411D2A81D2}" name="Delivery Status"/>
    <tableColumn id="35" xr3:uid="{D36E9CDC-4682-4D39-BF3F-64EAD39C7EDE}" name="Return Status"/>
    <tableColumn id="36" xr3:uid="{56108E71-A2E0-4D73-8250-77D6DF059DB1}" name="Return Reason"/>
    <tableColumn id="37" xr3:uid="{7EA950D7-251C-4BAE-A678-C67DBC528AF6}" name="Customer Rating"/>
    <tableColumn id="41" xr3:uid="{92169DD0-12E2-4427-8899-921D685B5EFA}" name="Sales Target" dataDxfId="86"/>
    <tableColumn id="42" xr3:uid="{A5B163DB-DE97-476C-8E80-557F0D0C76D9}" name="Target Achievement %"/>
    <tableColumn id="44" xr3:uid="{388FB06C-5408-448A-9888-73368EB17858}" name="Stock Status"/>
    <tableColumn id="45" xr3:uid="{2FEEBDA7-B70F-4FF5-861B-69F3360761EA}" name="NET REVENUE" dataDxfId="85">
      <calculatedColumnFormula>SUM(Amazon_Data_Set[[#This Row],[Gross Sales]]-Amazon_Data_Set[[#This Row],[Discount Amount]])</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D63384"/>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CD96F-C636-4748-91A8-47A122809CE5}">
  <dimension ref="A1:AL1001"/>
  <sheetViews>
    <sheetView tabSelected="1" topLeftCell="J1" workbookViewId="0">
      <selection activeCell="M1" sqref="M1"/>
    </sheetView>
  </sheetViews>
  <sheetFormatPr defaultRowHeight="13.8"/>
  <cols>
    <col min="1" max="1" width="15.69921875" customWidth="1"/>
    <col min="2" max="2" width="13.59765625" customWidth="1"/>
    <col min="3" max="3" width="11.59765625" customWidth="1"/>
    <col min="4" max="4" width="18.59765625" customWidth="1"/>
    <col min="5" max="5" width="10.796875" customWidth="1"/>
    <col min="8" max="8" width="17.69921875" customWidth="1"/>
    <col min="9" max="9" width="19.69921875" customWidth="1"/>
    <col min="10" max="10" width="13.19921875" customWidth="1"/>
    <col min="13" max="13" width="12.59765625" customWidth="1"/>
    <col min="14" max="14" width="19.19921875" customWidth="1"/>
    <col min="15" max="15" width="14.3984375" customWidth="1"/>
    <col min="16" max="16" width="11.5" customWidth="1"/>
    <col min="17" max="17" width="10.796875" customWidth="1"/>
    <col min="18" max="18" width="15" style="19" customWidth="1"/>
    <col min="19" max="19" width="20" style="21" customWidth="1"/>
    <col min="20" max="20" width="13" customWidth="1"/>
    <col min="21" max="21" width="11.69921875" customWidth="1"/>
    <col min="22" max="22" width="14.59765625" customWidth="1"/>
    <col min="23" max="23" width="13.09765625" customWidth="1"/>
    <col min="24" max="24" width="10.296875" customWidth="1"/>
    <col min="25" max="25" width="13.59765625" customWidth="1"/>
    <col min="26" max="26" width="13.3984375" customWidth="1"/>
    <col min="27" max="27" width="16.796875" customWidth="1"/>
    <col min="28" max="28" width="16.3984375" customWidth="1"/>
    <col min="29" max="29" width="16.296875" customWidth="1"/>
    <col min="30" max="30" width="19" customWidth="1"/>
    <col min="31" max="31" width="16.296875" customWidth="1"/>
    <col min="32" max="32" width="14.69921875" customWidth="1"/>
    <col min="33" max="33" width="13.19921875" customWidth="1"/>
    <col min="34" max="34" width="15.5" customWidth="1"/>
    <col min="37" max="37" width="17.796875" customWidth="1"/>
    <col min="38" max="38" width="14" bestFit="1" customWidth="1"/>
  </cols>
  <sheetData>
    <row r="1" spans="1:38">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18" t="s">
        <v>17</v>
      </c>
      <c r="S1" s="20"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2515</v>
      </c>
    </row>
    <row r="2" spans="1:38">
      <c r="A2" t="s">
        <v>33</v>
      </c>
      <c r="B2" s="1">
        <v>46083</v>
      </c>
      <c r="C2" t="str">
        <f>TEXT(Amazon_Data_Set[[#This Row],[Order Date]],"mmm")</f>
        <v>Mar</v>
      </c>
      <c r="D2" t="s">
        <v>34</v>
      </c>
      <c r="E2" t="s">
        <v>35</v>
      </c>
      <c r="F2" t="s">
        <v>36</v>
      </c>
      <c r="G2" t="s">
        <v>37</v>
      </c>
      <c r="H2" t="s">
        <v>38</v>
      </c>
      <c r="I2" t="s">
        <v>39</v>
      </c>
      <c r="J2" t="s">
        <v>40</v>
      </c>
      <c r="K2" t="s">
        <v>41</v>
      </c>
      <c r="L2" t="s">
        <v>42</v>
      </c>
      <c r="M2" t="s">
        <v>43</v>
      </c>
      <c r="N2" t="s">
        <v>44</v>
      </c>
      <c r="O2" t="s">
        <v>45</v>
      </c>
      <c r="P2">
        <v>5</v>
      </c>
      <c r="Q2">
        <v>1328.24</v>
      </c>
      <c r="R2" s="19">
        <v>0.3</v>
      </c>
      <c r="S2" s="21">
        <v>1992.36</v>
      </c>
      <c r="T2">
        <v>6641.2</v>
      </c>
      <c r="U2" s="2">
        <v>4648.84</v>
      </c>
      <c r="V2">
        <v>187.76</v>
      </c>
      <c r="W2">
        <v>3049.44</v>
      </c>
      <c r="X2" s="2">
        <v>1411.64</v>
      </c>
      <c r="Y2">
        <v>0.30370000000000003</v>
      </c>
      <c r="Z2">
        <v>1</v>
      </c>
      <c r="AA2" t="s">
        <v>46</v>
      </c>
      <c r="AB2" t="s">
        <v>47</v>
      </c>
      <c r="AD2">
        <v>3</v>
      </c>
      <c r="AE2" s="2">
        <v>5470.31</v>
      </c>
      <c r="AF2">
        <v>0.8498</v>
      </c>
      <c r="AG2" t="s">
        <v>49</v>
      </c>
      <c r="AH2" s="23">
        <f>SUM(Amazon_Data_Set[[#This Row],[Gross Sales]]-Amazon_Data_Set[[#This Row],[Discount Amount]])</f>
        <v>4648.84</v>
      </c>
    </row>
    <row r="3" spans="1:38">
      <c r="A3" t="s">
        <v>50</v>
      </c>
      <c r="B3" s="1">
        <v>46285</v>
      </c>
      <c r="C3" t="str">
        <f>TEXT(Amazon_Data_Set[[#This Row],[Order Date]],"mmm")</f>
        <v>Sep</v>
      </c>
      <c r="D3" t="s">
        <v>51</v>
      </c>
      <c r="E3" t="s">
        <v>52</v>
      </c>
      <c r="F3" t="s">
        <v>53</v>
      </c>
      <c r="G3" t="s">
        <v>54</v>
      </c>
      <c r="H3" t="s">
        <v>55</v>
      </c>
      <c r="I3" t="s">
        <v>56</v>
      </c>
      <c r="J3" t="s">
        <v>57</v>
      </c>
      <c r="K3" t="s">
        <v>58</v>
      </c>
      <c r="L3" t="s">
        <v>59</v>
      </c>
      <c r="M3" t="s">
        <v>43</v>
      </c>
      <c r="N3" t="s">
        <v>60</v>
      </c>
      <c r="O3" t="s">
        <v>45</v>
      </c>
      <c r="P3">
        <v>3</v>
      </c>
      <c r="Q3">
        <v>16282.45</v>
      </c>
      <c r="R3" s="19">
        <v>0.15</v>
      </c>
      <c r="S3" s="21">
        <v>7327.1</v>
      </c>
      <c r="T3">
        <v>48847.35</v>
      </c>
      <c r="U3" s="2">
        <v>41520.25</v>
      </c>
      <c r="V3">
        <v>6.18</v>
      </c>
      <c r="W3">
        <v>28784.27</v>
      </c>
      <c r="X3" s="2">
        <v>12729.8</v>
      </c>
      <c r="Y3">
        <v>0.30659999999999998</v>
      </c>
      <c r="Z3">
        <v>8</v>
      </c>
      <c r="AA3" t="s">
        <v>61</v>
      </c>
      <c r="AB3" t="s">
        <v>47</v>
      </c>
      <c r="AD3">
        <v>4</v>
      </c>
      <c r="AE3" s="2">
        <v>44500.56</v>
      </c>
      <c r="AF3">
        <v>0.93300000000000005</v>
      </c>
      <c r="AG3" t="s">
        <v>49</v>
      </c>
      <c r="AH3" s="23">
        <f>SUM(Amazon_Data_Set[[#This Row],[Gross Sales]]-Amazon_Data_Set[[#This Row],[Discount Amount]])</f>
        <v>41520.25</v>
      </c>
    </row>
    <row r="4" spans="1:38">
      <c r="A4" t="s">
        <v>62</v>
      </c>
      <c r="B4" s="1">
        <v>46288</v>
      </c>
      <c r="C4" t="str">
        <f>TEXT(Amazon_Data_Set[[#This Row],[Order Date]],"mmm")</f>
        <v>Sep</v>
      </c>
      <c r="D4" t="s">
        <v>63</v>
      </c>
      <c r="E4" t="s">
        <v>64</v>
      </c>
      <c r="F4" t="s">
        <v>65</v>
      </c>
      <c r="G4" t="s">
        <v>54</v>
      </c>
      <c r="H4" t="s">
        <v>38</v>
      </c>
      <c r="I4" t="s">
        <v>66</v>
      </c>
      <c r="J4" t="s">
        <v>67</v>
      </c>
      <c r="K4" t="s">
        <v>68</v>
      </c>
      <c r="L4" t="s">
        <v>69</v>
      </c>
      <c r="M4" t="s">
        <v>43</v>
      </c>
      <c r="N4" t="s">
        <v>70</v>
      </c>
      <c r="O4" t="s">
        <v>45</v>
      </c>
      <c r="P4">
        <v>5</v>
      </c>
      <c r="Q4">
        <v>4095.94</v>
      </c>
      <c r="R4" s="19">
        <v>0</v>
      </c>
      <c r="S4" s="21">
        <v>0</v>
      </c>
      <c r="T4">
        <v>20479.7</v>
      </c>
      <c r="U4" s="2">
        <v>20479.7</v>
      </c>
      <c r="V4">
        <v>179.33</v>
      </c>
      <c r="W4">
        <v>12468.51</v>
      </c>
      <c r="X4" s="2">
        <v>7831.86</v>
      </c>
      <c r="Y4">
        <v>0.38240000000000002</v>
      </c>
      <c r="Z4">
        <v>8</v>
      </c>
      <c r="AA4" t="s">
        <v>61</v>
      </c>
      <c r="AB4" t="s">
        <v>47</v>
      </c>
      <c r="AD4">
        <v>5</v>
      </c>
      <c r="AE4" s="2">
        <v>22541.35</v>
      </c>
      <c r="AF4">
        <v>0.90849999999999997</v>
      </c>
      <c r="AG4" t="s">
        <v>49</v>
      </c>
      <c r="AH4" s="23">
        <f>SUM(Amazon_Data_Set[[#This Row],[Gross Sales]]-Amazon_Data_Set[[#This Row],[Discount Amount]])</f>
        <v>20479.7</v>
      </c>
    </row>
    <row r="5" spans="1:38">
      <c r="A5" t="s">
        <v>71</v>
      </c>
      <c r="B5" s="1">
        <v>46173</v>
      </c>
      <c r="C5" t="str">
        <f>TEXT(Amazon_Data_Set[[#This Row],[Order Date]],"mmm")</f>
        <v>May</v>
      </c>
      <c r="D5" t="s">
        <v>72</v>
      </c>
      <c r="E5" t="s">
        <v>35</v>
      </c>
      <c r="F5" t="s">
        <v>36</v>
      </c>
      <c r="G5" t="s">
        <v>37</v>
      </c>
      <c r="H5" t="s">
        <v>55</v>
      </c>
      <c r="I5" t="s">
        <v>73</v>
      </c>
      <c r="J5" t="s">
        <v>74</v>
      </c>
      <c r="K5" t="s">
        <v>75</v>
      </c>
      <c r="L5" t="s">
        <v>76</v>
      </c>
      <c r="M5" t="s">
        <v>43</v>
      </c>
      <c r="N5" t="s">
        <v>77</v>
      </c>
      <c r="O5" t="s">
        <v>45</v>
      </c>
      <c r="P5">
        <v>5</v>
      </c>
      <c r="Q5">
        <v>56768.79</v>
      </c>
      <c r="R5" s="19">
        <v>0.2</v>
      </c>
      <c r="S5" s="21">
        <v>56768.79</v>
      </c>
      <c r="T5">
        <v>283843.95</v>
      </c>
      <c r="U5" s="2">
        <v>227075.16</v>
      </c>
      <c r="V5">
        <v>230.38</v>
      </c>
      <c r="W5">
        <v>126715.47</v>
      </c>
      <c r="X5" s="2">
        <v>100129.31</v>
      </c>
      <c r="Y5">
        <v>0.441</v>
      </c>
      <c r="Z5">
        <v>8</v>
      </c>
      <c r="AA5" t="s">
        <v>61</v>
      </c>
      <c r="AB5" t="s">
        <v>47</v>
      </c>
      <c r="AD5">
        <v>5</v>
      </c>
      <c r="AE5" s="2">
        <v>266400.88</v>
      </c>
      <c r="AF5">
        <v>0.85240000000000005</v>
      </c>
      <c r="AG5" t="s">
        <v>49</v>
      </c>
      <c r="AH5" s="23">
        <f>SUM(Amazon_Data_Set[[#This Row],[Gross Sales]]-Amazon_Data_Set[[#This Row],[Discount Amount]])</f>
        <v>227075.16</v>
      </c>
    </row>
    <row r="6" spans="1:38">
      <c r="A6" t="s">
        <v>78</v>
      </c>
      <c r="B6" s="1">
        <v>46155</v>
      </c>
      <c r="C6" t="str">
        <f>TEXT(Amazon_Data_Set[[#This Row],[Order Date]],"mmm")</f>
        <v>May</v>
      </c>
      <c r="D6" t="s">
        <v>79</v>
      </c>
      <c r="E6" t="s">
        <v>80</v>
      </c>
      <c r="F6" t="s">
        <v>81</v>
      </c>
      <c r="G6" t="s">
        <v>82</v>
      </c>
      <c r="H6" t="s">
        <v>83</v>
      </c>
      <c r="I6" t="s">
        <v>84</v>
      </c>
      <c r="J6" t="s">
        <v>85</v>
      </c>
      <c r="K6" t="s">
        <v>86</v>
      </c>
      <c r="L6" t="s">
        <v>87</v>
      </c>
      <c r="M6" t="s">
        <v>43</v>
      </c>
      <c r="N6" t="s">
        <v>77</v>
      </c>
      <c r="O6" t="s">
        <v>45</v>
      </c>
      <c r="P6">
        <v>1</v>
      </c>
      <c r="Q6">
        <v>1227.8599999999999</v>
      </c>
      <c r="R6" s="19">
        <v>0.3</v>
      </c>
      <c r="S6" s="21">
        <v>368.36</v>
      </c>
      <c r="T6">
        <v>1227.8599999999999</v>
      </c>
      <c r="U6" s="2">
        <v>859.5</v>
      </c>
      <c r="V6">
        <v>92.53</v>
      </c>
      <c r="W6">
        <v>462.73</v>
      </c>
      <c r="X6" s="2">
        <v>304.24</v>
      </c>
      <c r="Y6">
        <v>0.35399999999999998</v>
      </c>
      <c r="Z6">
        <v>3</v>
      </c>
      <c r="AA6" t="s">
        <v>46</v>
      </c>
      <c r="AB6" t="s">
        <v>47</v>
      </c>
      <c r="AD6">
        <v>3</v>
      </c>
      <c r="AE6" s="2">
        <v>730.65</v>
      </c>
      <c r="AF6">
        <v>1.1762999999999999</v>
      </c>
      <c r="AG6" t="s">
        <v>49</v>
      </c>
      <c r="AH6" s="23">
        <f>SUM(Amazon_Data_Set[[#This Row],[Gross Sales]]-Amazon_Data_Set[[#This Row],[Discount Amount]])</f>
        <v>859.49999999999989</v>
      </c>
    </row>
    <row r="7" spans="1:38">
      <c r="A7" t="s">
        <v>88</v>
      </c>
      <c r="B7" s="1">
        <v>46102</v>
      </c>
      <c r="C7" t="str">
        <f>TEXT(Amazon_Data_Set[[#This Row],[Order Date]],"mmm")</f>
        <v>Mar</v>
      </c>
      <c r="D7" t="s">
        <v>89</v>
      </c>
      <c r="E7" t="s">
        <v>52</v>
      </c>
      <c r="F7" t="s">
        <v>53</v>
      </c>
      <c r="G7" t="s">
        <v>54</v>
      </c>
      <c r="H7" t="s">
        <v>90</v>
      </c>
      <c r="I7" t="s">
        <v>91</v>
      </c>
      <c r="J7" t="s">
        <v>92</v>
      </c>
      <c r="K7" t="s">
        <v>93</v>
      </c>
      <c r="L7" t="s">
        <v>94</v>
      </c>
      <c r="M7" t="s">
        <v>43</v>
      </c>
      <c r="N7" t="s">
        <v>95</v>
      </c>
      <c r="O7" t="s">
        <v>96</v>
      </c>
      <c r="P7">
        <v>2</v>
      </c>
      <c r="Q7">
        <v>658.35</v>
      </c>
      <c r="R7" s="19">
        <v>0.3</v>
      </c>
      <c r="S7" s="21">
        <v>395.01</v>
      </c>
      <c r="T7">
        <v>1316.7</v>
      </c>
      <c r="U7" s="2">
        <v>921.69</v>
      </c>
      <c r="V7">
        <v>146.97999999999999</v>
      </c>
      <c r="W7">
        <v>707.38</v>
      </c>
      <c r="X7" s="2">
        <v>67.33</v>
      </c>
      <c r="Y7">
        <v>7.3099999999999998E-2</v>
      </c>
      <c r="Z7">
        <v>0</v>
      </c>
      <c r="AA7" t="s">
        <v>97</v>
      </c>
      <c r="AB7" t="s">
        <v>47</v>
      </c>
      <c r="AE7" s="2">
        <v>969.52</v>
      </c>
      <c r="AF7">
        <v>0.95069999999999999</v>
      </c>
      <c r="AG7" t="s">
        <v>49</v>
      </c>
      <c r="AH7" s="23">
        <f>SUM(Amazon_Data_Set[[#This Row],[Gross Sales]]-Amazon_Data_Set[[#This Row],[Discount Amount]])</f>
        <v>921.69</v>
      </c>
    </row>
    <row r="8" spans="1:38">
      <c r="A8" t="s">
        <v>98</v>
      </c>
      <c r="B8" s="1">
        <v>46215</v>
      </c>
      <c r="C8" t="str">
        <f>TEXT(Amazon_Data_Set[[#This Row],[Order Date]],"mmm")</f>
        <v>Jul</v>
      </c>
      <c r="D8" t="s">
        <v>99</v>
      </c>
      <c r="E8" t="s">
        <v>100</v>
      </c>
      <c r="F8" t="s">
        <v>101</v>
      </c>
      <c r="G8" t="s">
        <v>54</v>
      </c>
      <c r="H8" t="s">
        <v>83</v>
      </c>
      <c r="I8" t="s">
        <v>102</v>
      </c>
      <c r="J8" t="s">
        <v>103</v>
      </c>
      <c r="K8" t="s">
        <v>104</v>
      </c>
      <c r="L8" t="s">
        <v>105</v>
      </c>
      <c r="M8" t="s">
        <v>106</v>
      </c>
      <c r="N8" t="s">
        <v>70</v>
      </c>
      <c r="O8" t="s">
        <v>96</v>
      </c>
      <c r="P8">
        <v>3</v>
      </c>
      <c r="Q8">
        <v>1221.07</v>
      </c>
      <c r="R8" s="19">
        <v>0</v>
      </c>
      <c r="S8" s="21">
        <v>0</v>
      </c>
      <c r="T8">
        <v>3663.21</v>
      </c>
      <c r="U8" s="2">
        <v>3663.21</v>
      </c>
      <c r="V8">
        <v>6.4</v>
      </c>
      <c r="W8">
        <v>2281.4699999999998</v>
      </c>
      <c r="X8" s="2">
        <v>1375.34</v>
      </c>
      <c r="Y8">
        <v>0.37540000000000001</v>
      </c>
      <c r="Z8">
        <v>0</v>
      </c>
      <c r="AA8" t="s">
        <v>97</v>
      </c>
      <c r="AB8" t="s">
        <v>47</v>
      </c>
      <c r="AE8" s="2">
        <v>3558.69</v>
      </c>
      <c r="AF8">
        <v>1.0294000000000001</v>
      </c>
      <c r="AG8" t="s">
        <v>49</v>
      </c>
      <c r="AH8" s="23">
        <f>SUM(Amazon_Data_Set[[#This Row],[Gross Sales]]-Amazon_Data_Set[[#This Row],[Discount Amount]])</f>
        <v>3663.21</v>
      </c>
      <c r="AK8" s="26" t="s">
        <v>2520</v>
      </c>
      <c r="AL8" s="27">
        <f>SUMIF(G:G,G5,GROSS_SALES)</f>
        <v>4555668.2699999996</v>
      </c>
    </row>
    <row r="9" spans="1:38">
      <c r="A9" t="s">
        <v>107</v>
      </c>
      <c r="B9" s="1">
        <v>46257</v>
      </c>
      <c r="C9" t="str">
        <f>TEXT(Amazon_Data_Set[[#This Row],[Order Date]],"mmm")</f>
        <v>Aug</v>
      </c>
      <c r="D9" t="s">
        <v>108</v>
      </c>
      <c r="E9" t="s">
        <v>109</v>
      </c>
      <c r="F9" t="s">
        <v>110</v>
      </c>
      <c r="G9" t="s">
        <v>111</v>
      </c>
      <c r="H9" t="s">
        <v>90</v>
      </c>
      <c r="I9" t="s">
        <v>112</v>
      </c>
      <c r="J9" t="s">
        <v>113</v>
      </c>
      <c r="K9" t="s">
        <v>114</v>
      </c>
      <c r="L9" t="s">
        <v>115</v>
      </c>
      <c r="M9" t="s">
        <v>106</v>
      </c>
      <c r="N9" t="s">
        <v>77</v>
      </c>
      <c r="O9" t="s">
        <v>45</v>
      </c>
      <c r="P9">
        <v>2</v>
      </c>
      <c r="Q9">
        <v>866.02</v>
      </c>
      <c r="R9" s="19">
        <v>0.05</v>
      </c>
      <c r="S9" s="21">
        <v>86.6</v>
      </c>
      <c r="T9">
        <v>1732.04</v>
      </c>
      <c r="U9" s="2">
        <v>1645.44</v>
      </c>
      <c r="V9">
        <v>11.31</v>
      </c>
      <c r="W9">
        <v>1058.73</v>
      </c>
      <c r="X9" s="2">
        <v>575.4</v>
      </c>
      <c r="Y9">
        <v>0.34970000000000001</v>
      </c>
      <c r="Z9">
        <v>8</v>
      </c>
      <c r="AA9" t="s">
        <v>61</v>
      </c>
      <c r="AB9" t="s">
        <v>47</v>
      </c>
      <c r="AD9">
        <v>5</v>
      </c>
      <c r="AE9" s="2">
        <v>1717.08</v>
      </c>
      <c r="AF9">
        <v>0.95830000000000004</v>
      </c>
      <c r="AG9" t="s">
        <v>49</v>
      </c>
      <c r="AH9" s="23">
        <f>SUM(Amazon_Data_Set[[#This Row],[Gross Sales]]-Amazon_Data_Set[[#This Row],[Discount Amount]])</f>
        <v>1645.44</v>
      </c>
      <c r="AK9" s="26" t="s">
        <v>2521</v>
      </c>
      <c r="AL9" s="27">
        <f>SUMIF(G:G,G6,GROSS_SALES)</f>
        <v>5431941.9200000055</v>
      </c>
    </row>
    <row r="10" spans="1:38">
      <c r="A10" t="s">
        <v>116</v>
      </c>
      <c r="B10" s="1">
        <v>46162</v>
      </c>
      <c r="C10" t="str">
        <f>TEXT(Amazon_Data_Set[[#This Row],[Order Date]],"mmm")</f>
        <v>May</v>
      </c>
      <c r="D10" t="s">
        <v>117</v>
      </c>
      <c r="E10" t="s">
        <v>118</v>
      </c>
      <c r="F10" t="s">
        <v>119</v>
      </c>
      <c r="G10" t="s">
        <v>82</v>
      </c>
      <c r="H10" t="s">
        <v>55</v>
      </c>
      <c r="I10" t="s">
        <v>120</v>
      </c>
      <c r="J10" t="s">
        <v>121</v>
      </c>
      <c r="K10" t="s">
        <v>122</v>
      </c>
      <c r="L10" t="s">
        <v>123</v>
      </c>
      <c r="M10" t="s">
        <v>106</v>
      </c>
      <c r="N10" t="s">
        <v>124</v>
      </c>
      <c r="O10" t="s">
        <v>45</v>
      </c>
      <c r="P10">
        <v>2</v>
      </c>
      <c r="Q10">
        <v>9951.81</v>
      </c>
      <c r="R10" s="19">
        <v>0.15</v>
      </c>
      <c r="S10" s="21">
        <v>2985.54</v>
      </c>
      <c r="T10">
        <v>19903.62</v>
      </c>
      <c r="U10" s="2">
        <v>16918.080000000002</v>
      </c>
      <c r="V10">
        <v>115.98</v>
      </c>
      <c r="W10">
        <v>13192.26</v>
      </c>
      <c r="X10" s="2">
        <v>3609.84</v>
      </c>
      <c r="Y10">
        <v>0.21340000000000001</v>
      </c>
      <c r="Z10">
        <v>5</v>
      </c>
      <c r="AA10" t="s">
        <v>61</v>
      </c>
      <c r="AB10" t="s">
        <v>47</v>
      </c>
      <c r="AD10">
        <v>4</v>
      </c>
      <c r="AE10" s="2">
        <v>17642.53</v>
      </c>
      <c r="AF10">
        <v>0.95889999999999997</v>
      </c>
      <c r="AG10" t="s">
        <v>49</v>
      </c>
      <c r="AH10" s="23">
        <f>SUM(Amazon_Data_Set[[#This Row],[Gross Sales]]-Amazon_Data_Set[[#This Row],[Discount Amount]])</f>
        <v>16918.079999999998</v>
      </c>
      <c r="AK10" s="26" t="s">
        <v>2522</v>
      </c>
      <c r="AL10" s="27">
        <f>SUMIF(G:G,G9,GROSS_SALES)</f>
        <v>5038237.8099999987</v>
      </c>
    </row>
    <row r="11" spans="1:38">
      <c r="A11" t="s">
        <v>125</v>
      </c>
      <c r="B11" s="1">
        <v>46192</v>
      </c>
      <c r="C11" t="str">
        <f>TEXT(Amazon_Data_Set[[#This Row],[Order Date]],"mmm")</f>
        <v>Jun</v>
      </c>
      <c r="D11" t="s">
        <v>126</v>
      </c>
      <c r="E11" t="s">
        <v>80</v>
      </c>
      <c r="F11" t="s">
        <v>81</v>
      </c>
      <c r="G11" t="s">
        <v>82</v>
      </c>
      <c r="H11" t="s">
        <v>55</v>
      </c>
      <c r="I11" t="s">
        <v>120</v>
      </c>
      <c r="J11" t="s">
        <v>127</v>
      </c>
      <c r="K11" t="s">
        <v>128</v>
      </c>
      <c r="L11" t="s">
        <v>129</v>
      </c>
      <c r="M11" t="s">
        <v>106</v>
      </c>
      <c r="N11" t="s">
        <v>124</v>
      </c>
      <c r="O11" t="s">
        <v>130</v>
      </c>
      <c r="P11">
        <v>3</v>
      </c>
      <c r="Q11">
        <v>23360.65</v>
      </c>
      <c r="R11" s="19">
        <v>0.1</v>
      </c>
      <c r="S11" s="21">
        <v>7008.19</v>
      </c>
      <c r="T11">
        <v>70081.95</v>
      </c>
      <c r="U11" s="2">
        <v>63073.760000000002</v>
      </c>
      <c r="V11">
        <v>27.42</v>
      </c>
      <c r="W11">
        <v>43823.89</v>
      </c>
      <c r="X11" s="2">
        <v>19222.45</v>
      </c>
      <c r="Y11">
        <v>0.30480000000000002</v>
      </c>
      <c r="Z11">
        <v>4</v>
      </c>
      <c r="AA11" t="s">
        <v>131</v>
      </c>
      <c r="AB11" t="s">
        <v>47</v>
      </c>
      <c r="AE11" s="2">
        <v>67989.350000000006</v>
      </c>
      <c r="AF11">
        <v>0.92769999999999997</v>
      </c>
      <c r="AG11" t="s">
        <v>49</v>
      </c>
      <c r="AH11" s="23">
        <f>SUM(Amazon_Data_Set[[#This Row],[Gross Sales]]-Amazon_Data_Set[[#This Row],[Discount Amount]])</f>
        <v>63073.759999999995</v>
      </c>
      <c r="AK11" s="26" t="s">
        <v>2523</v>
      </c>
      <c r="AL11" s="27">
        <f>SUMIF(G:G,G19,GROSS_SALES)</f>
        <v>3934248.8899999997</v>
      </c>
    </row>
    <row r="12" spans="1:38">
      <c r="A12" t="s">
        <v>132</v>
      </c>
      <c r="B12" s="1">
        <v>46205</v>
      </c>
      <c r="C12" t="str">
        <f>TEXT(Amazon_Data_Set[[#This Row],[Order Date]],"mmm")</f>
        <v>Jul</v>
      </c>
      <c r="D12" t="s">
        <v>133</v>
      </c>
      <c r="E12" t="s">
        <v>109</v>
      </c>
      <c r="F12" t="s">
        <v>110</v>
      </c>
      <c r="G12" t="s">
        <v>111</v>
      </c>
      <c r="H12" t="s">
        <v>90</v>
      </c>
      <c r="I12" t="s">
        <v>112</v>
      </c>
      <c r="J12" t="s">
        <v>134</v>
      </c>
      <c r="K12" t="s">
        <v>135</v>
      </c>
      <c r="L12" t="s">
        <v>136</v>
      </c>
      <c r="M12" t="s">
        <v>43</v>
      </c>
      <c r="N12" t="s">
        <v>60</v>
      </c>
      <c r="O12" t="s">
        <v>45</v>
      </c>
      <c r="P12">
        <v>5</v>
      </c>
      <c r="Q12">
        <v>1329.68</v>
      </c>
      <c r="R12" s="19">
        <v>0.15</v>
      </c>
      <c r="S12" s="21">
        <v>997.26</v>
      </c>
      <c r="T12">
        <v>6648.4</v>
      </c>
      <c r="U12" s="2">
        <v>5651.14</v>
      </c>
      <c r="V12">
        <v>232.95</v>
      </c>
      <c r="W12">
        <v>2986.16</v>
      </c>
      <c r="X12" s="2">
        <v>2432.0300000000002</v>
      </c>
      <c r="Y12">
        <v>0.4304</v>
      </c>
      <c r="Z12">
        <v>2</v>
      </c>
      <c r="AA12" t="s">
        <v>46</v>
      </c>
      <c r="AB12" t="s">
        <v>48</v>
      </c>
      <c r="AC12" t="s">
        <v>137</v>
      </c>
      <c r="AD12">
        <v>4</v>
      </c>
      <c r="AE12" s="2">
        <v>4933.0200000000004</v>
      </c>
      <c r="AF12">
        <v>1.1456</v>
      </c>
      <c r="AG12" t="s">
        <v>49</v>
      </c>
      <c r="AH12" s="23">
        <f>SUM(Amazon_Data_Set[[#This Row],[Gross Sales]]-Amazon_Data_Set[[#This Row],[Discount Amount]])</f>
        <v>5651.1399999999994</v>
      </c>
    </row>
    <row r="13" spans="1:38">
      <c r="A13" t="s">
        <v>138</v>
      </c>
      <c r="B13" s="1">
        <v>46337</v>
      </c>
      <c r="C13" t="str">
        <f>TEXT(Amazon_Data_Set[[#This Row],[Order Date]],"mmm")</f>
        <v>Nov</v>
      </c>
      <c r="D13" t="s">
        <v>139</v>
      </c>
      <c r="E13" t="s">
        <v>140</v>
      </c>
      <c r="F13" t="s">
        <v>141</v>
      </c>
      <c r="G13" t="s">
        <v>54</v>
      </c>
      <c r="H13" t="s">
        <v>142</v>
      </c>
      <c r="I13" t="s">
        <v>143</v>
      </c>
      <c r="J13" t="s">
        <v>144</v>
      </c>
      <c r="K13" t="s">
        <v>145</v>
      </c>
      <c r="L13" t="s">
        <v>146</v>
      </c>
      <c r="M13" t="s">
        <v>43</v>
      </c>
      <c r="N13" t="s">
        <v>77</v>
      </c>
      <c r="O13" t="s">
        <v>96</v>
      </c>
      <c r="P13">
        <v>5</v>
      </c>
      <c r="Q13">
        <v>3184.45</v>
      </c>
      <c r="R13" s="19">
        <v>0</v>
      </c>
      <c r="S13" s="21">
        <v>0</v>
      </c>
      <c r="T13">
        <v>15922.25</v>
      </c>
      <c r="U13" s="2">
        <v>15922.25</v>
      </c>
      <c r="V13">
        <v>171.62</v>
      </c>
      <c r="W13">
        <v>11756.83</v>
      </c>
      <c r="X13" s="2">
        <v>3993.8</v>
      </c>
      <c r="Y13">
        <v>0.25080000000000002</v>
      </c>
      <c r="Z13">
        <v>0</v>
      </c>
      <c r="AA13" t="s">
        <v>97</v>
      </c>
      <c r="AB13" t="s">
        <v>47</v>
      </c>
      <c r="AE13" s="2">
        <v>19739.060000000001</v>
      </c>
      <c r="AF13">
        <v>0.80659999999999998</v>
      </c>
      <c r="AG13" t="s">
        <v>49</v>
      </c>
      <c r="AH13" s="23">
        <f>SUM(Amazon_Data_Set[[#This Row],[Gross Sales]]-Amazon_Data_Set[[#This Row],[Discount Amount]])</f>
        <v>15922.25</v>
      </c>
    </row>
    <row r="14" spans="1:38">
      <c r="A14" t="s">
        <v>147</v>
      </c>
      <c r="B14" s="1">
        <v>46085</v>
      </c>
      <c r="C14" t="str">
        <f>TEXT(Amazon_Data_Set[[#This Row],[Order Date]],"mmm")</f>
        <v>Mar</v>
      </c>
      <c r="D14" t="s">
        <v>148</v>
      </c>
      <c r="E14" t="s">
        <v>149</v>
      </c>
      <c r="F14" t="s">
        <v>150</v>
      </c>
      <c r="G14" t="s">
        <v>37</v>
      </c>
      <c r="H14" t="s">
        <v>142</v>
      </c>
      <c r="I14" t="s">
        <v>143</v>
      </c>
      <c r="J14" t="s">
        <v>144</v>
      </c>
      <c r="K14" t="s">
        <v>145</v>
      </c>
      <c r="L14" t="s">
        <v>151</v>
      </c>
      <c r="M14" t="s">
        <v>43</v>
      </c>
      <c r="N14" t="s">
        <v>70</v>
      </c>
      <c r="O14" t="s">
        <v>45</v>
      </c>
      <c r="P14">
        <v>5</v>
      </c>
      <c r="Q14">
        <v>11101.95</v>
      </c>
      <c r="R14" s="19">
        <v>0.1</v>
      </c>
      <c r="S14" s="21">
        <v>5550.98</v>
      </c>
      <c r="T14">
        <v>55509.75</v>
      </c>
      <c r="U14" s="2">
        <v>49958.77</v>
      </c>
      <c r="V14">
        <v>140.22</v>
      </c>
      <c r="W14">
        <v>34796.46</v>
      </c>
      <c r="X14" s="2">
        <v>15022.09</v>
      </c>
      <c r="Y14">
        <v>0.30070000000000002</v>
      </c>
      <c r="Z14">
        <v>3</v>
      </c>
      <c r="AA14" t="s">
        <v>46</v>
      </c>
      <c r="AB14" t="s">
        <v>47</v>
      </c>
      <c r="AD14">
        <v>3</v>
      </c>
      <c r="AE14" s="2">
        <v>44976.52</v>
      </c>
      <c r="AF14">
        <v>1.1108</v>
      </c>
      <c r="AG14" t="s">
        <v>49</v>
      </c>
      <c r="AH14" s="23">
        <f>SUM(Amazon_Data_Set[[#This Row],[Gross Sales]]-Amazon_Data_Set[[#This Row],[Discount Amount]])</f>
        <v>49958.770000000004</v>
      </c>
    </row>
    <row r="15" spans="1:38">
      <c r="A15" t="s">
        <v>152</v>
      </c>
      <c r="B15" s="1">
        <v>46238</v>
      </c>
      <c r="C15" t="str">
        <f>TEXT(Amazon_Data_Set[[#This Row],[Order Date]],"mmm")</f>
        <v>Aug</v>
      </c>
      <c r="D15" t="s">
        <v>153</v>
      </c>
      <c r="E15" t="s">
        <v>109</v>
      </c>
      <c r="F15" t="s">
        <v>154</v>
      </c>
      <c r="G15" t="s">
        <v>111</v>
      </c>
      <c r="H15" t="s">
        <v>38</v>
      </c>
      <c r="I15" t="s">
        <v>39</v>
      </c>
      <c r="J15" t="s">
        <v>155</v>
      </c>
      <c r="K15" t="s">
        <v>156</v>
      </c>
      <c r="L15" t="s">
        <v>157</v>
      </c>
      <c r="M15" t="s">
        <v>43</v>
      </c>
      <c r="N15" t="s">
        <v>77</v>
      </c>
      <c r="O15" t="s">
        <v>45</v>
      </c>
      <c r="P15">
        <v>5</v>
      </c>
      <c r="Q15">
        <v>2695.69</v>
      </c>
      <c r="R15" s="19">
        <v>0.25</v>
      </c>
      <c r="S15" s="21">
        <v>3369.61</v>
      </c>
      <c r="T15">
        <v>13478.45</v>
      </c>
      <c r="U15" s="2">
        <v>10108.84</v>
      </c>
      <c r="V15">
        <v>222.29</v>
      </c>
      <c r="W15">
        <v>7237.74</v>
      </c>
      <c r="X15" s="2">
        <v>2648.81</v>
      </c>
      <c r="Y15">
        <v>0.26200000000000001</v>
      </c>
      <c r="Z15">
        <v>1</v>
      </c>
      <c r="AA15" t="s">
        <v>46</v>
      </c>
      <c r="AB15" t="s">
        <v>48</v>
      </c>
      <c r="AC15" t="s">
        <v>158</v>
      </c>
      <c r="AD15">
        <v>4</v>
      </c>
      <c r="AE15" s="2">
        <v>9659.26</v>
      </c>
      <c r="AF15">
        <v>1.0465</v>
      </c>
      <c r="AG15" t="s">
        <v>49</v>
      </c>
      <c r="AH15" s="23">
        <f>SUM(Amazon_Data_Set[[#This Row],[Gross Sales]]-Amazon_Data_Set[[#This Row],[Discount Amount]])</f>
        <v>10108.84</v>
      </c>
    </row>
    <row r="16" spans="1:38">
      <c r="A16" t="s">
        <v>159</v>
      </c>
      <c r="B16" s="1">
        <v>46185</v>
      </c>
      <c r="C16" t="str">
        <f>TEXT(Amazon_Data_Set[[#This Row],[Order Date]],"mmm")</f>
        <v>Jun</v>
      </c>
      <c r="D16" t="s">
        <v>160</v>
      </c>
      <c r="E16" t="s">
        <v>100</v>
      </c>
      <c r="F16" t="s">
        <v>101</v>
      </c>
      <c r="G16" t="s">
        <v>54</v>
      </c>
      <c r="H16" t="s">
        <v>38</v>
      </c>
      <c r="I16" t="s">
        <v>161</v>
      </c>
      <c r="J16" t="s">
        <v>162</v>
      </c>
      <c r="K16" t="s">
        <v>163</v>
      </c>
      <c r="L16" t="s">
        <v>164</v>
      </c>
      <c r="M16" t="s">
        <v>43</v>
      </c>
      <c r="N16" t="s">
        <v>95</v>
      </c>
      <c r="O16" t="s">
        <v>45</v>
      </c>
      <c r="P16">
        <v>2</v>
      </c>
      <c r="Q16">
        <v>2667.31</v>
      </c>
      <c r="R16" s="19">
        <v>0.05</v>
      </c>
      <c r="S16" s="21">
        <v>266.73</v>
      </c>
      <c r="T16">
        <v>5334.62</v>
      </c>
      <c r="U16" s="2">
        <v>5067.8900000000003</v>
      </c>
      <c r="V16">
        <v>231.81</v>
      </c>
      <c r="W16">
        <v>3810.11</v>
      </c>
      <c r="X16" s="2">
        <v>1025.97</v>
      </c>
      <c r="Y16">
        <v>0.2024</v>
      </c>
      <c r="Z16">
        <v>6</v>
      </c>
      <c r="AA16" t="s">
        <v>61</v>
      </c>
      <c r="AB16" t="s">
        <v>47</v>
      </c>
      <c r="AD16">
        <v>4</v>
      </c>
      <c r="AE16" s="2">
        <v>5988.32</v>
      </c>
      <c r="AF16">
        <v>0.84630000000000005</v>
      </c>
      <c r="AG16" t="s">
        <v>49</v>
      </c>
      <c r="AH16" s="23">
        <f>SUM(Amazon_Data_Set[[#This Row],[Gross Sales]]-Amazon_Data_Set[[#This Row],[Discount Amount]])</f>
        <v>5067.8899999999994</v>
      </c>
    </row>
    <row r="17" spans="1:34">
      <c r="A17" t="s">
        <v>165</v>
      </c>
      <c r="B17" s="1">
        <v>46233</v>
      </c>
      <c r="C17" t="str">
        <f>TEXT(Amazon_Data_Set[[#This Row],[Order Date]],"mmm")</f>
        <v>Jul</v>
      </c>
      <c r="D17" t="s">
        <v>166</v>
      </c>
      <c r="E17" t="s">
        <v>167</v>
      </c>
      <c r="F17" t="s">
        <v>168</v>
      </c>
      <c r="G17" t="s">
        <v>111</v>
      </c>
      <c r="H17" t="s">
        <v>55</v>
      </c>
      <c r="I17" t="s">
        <v>120</v>
      </c>
      <c r="J17" t="s">
        <v>169</v>
      </c>
      <c r="K17" t="s">
        <v>170</v>
      </c>
      <c r="L17" t="s">
        <v>171</v>
      </c>
      <c r="M17" t="s">
        <v>106</v>
      </c>
      <c r="N17" t="s">
        <v>60</v>
      </c>
      <c r="O17" t="s">
        <v>45</v>
      </c>
      <c r="P17">
        <v>1</v>
      </c>
      <c r="Q17">
        <v>29314</v>
      </c>
      <c r="R17" s="19">
        <v>0</v>
      </c>
      <c r="S17" s="21">
        <v>0</v>
      </c>
      <c r="T17">
        <v>29314</v>
      </c>
      <c r="U17" s="2">
        <v>29314</v>
      </c>
      <c r="V17">
        <v>74.760000000000005</v>
      </c>
      <c r="W17">
        <v>18878.72</v>
      </c>
      <c r="X17" s="2">
        <v>10360.52</v>
      </c>
      <c r="Y17">
        <v>0.35339999999999999</v>
      </c>
      <c r="Z17">
        <v>3</v>
      </c>
      <c r="AA17" t="s">
        <v>46</v>
      </c>
      <c r="AB17" t="s">
        <v>47</v>
      </c>
      <c r="AD17">
        <v>3</v>
      </c>
      <c r="AE17" s="2">
        <v>31171.52</v>
      </c>
      <c r="AF17">
        <v>0.94040000000000001</v>
      </c>
      <c r="AG17" t="s">
        <v>49</v>
      </c>
      <c r="AH17" s="23">
        <f>SUM(Amazon_Data_Set[[#This Row],[Gross Sales]]-Amazon_Data_Set[[#This Row],[Discount Amount]])</f>
        <v>29314</v>
      </c>
    </row>
    <row r="18" spans="1:34">
      <c r="A18" t="s">
        <v>172</v>
      </c>
      <c r="B18" s="1">
        <v>46095</v>
      </c>
      <c r="C18" t="str">
        <f>TEXT(Amazon_Data_Set[[#This Row],[Order Date]],"mmm")</f>
        <v>Mar</v>
      </c>
      <c r="D18" t="s">
        <v>173</v>
      </c>
      <c r="E18" t="s">
        <v>174</v>
      </c>
      <c r="F18" t="s">
        <v>175</v>
      </c>
      <c r="G18" t="s">
        <v>82</v>
      </c>
      <c r="H18" t="s">
        <v>90</v>
      </c>
      <c r="I18" t="s">
        <v>112</v>
      </c>
      <c r="J18" t="s">
        <v>134</v>
      </c>
      <c r="K18" t="s">
        <v>135</v>
      </c>
      <c r="L18" t="s">
        <v>176</v>
      </c>
      <c r="M18" t="s">
        <v>43</v>
      </c>
      <c r="N18" t="s">
        <v>60</v>
      </c>
      <c r="O18" t="s">
        <v>130</v>
      </c>
      <c r="P18">
        <v>1</v>
      </c>
      <c r="Q18">
        <v>1073.8499999999999</v>
      </c>
      <c r="R18" s="19">
        <v>0.1</v>
      </c>
      <c r="S18" s="21">
        <v>107.38</v>
      </c>
      <c r="T18">
        <v>1073.8499999999999</v>
      </c>
      <c r="U18" s="2">
        <v>966.47</v>
      </c>
      <c r="V18">
        <v>40.549999999999997</v>
      </c>
      <c r="W18">
        <v>548.83000000000004</v>
      </c>
      <c r="X18" s="2">
        <v>377.09</v>
      </c>
      <c r="Y18">
        <v>0.39019999999999999</v>
      </c>
      <c r="Z18">
        <v>5</v>
      </c>
      <c r="AA18" t="s">
        <v>131</v>
      </c>
      <c r="AB18" t="s">
        <v>47</v>
      </c>
      <c r="AE18" s="2">
        <v>959.6</v>
      </c>
      <c r="AF18">
        <v>1.0072000000000001</v>
      </c>
      <c r="AG18" t="s">
        <v>49</v>
      </c>
      <c r="AH18" s="23">
        <f>SUM(Amazon_Data_Set[[#This Row],[Gross Sales]]-Amazon_Data_Set[[#This Row],[Discount Amount]])</f>
        <v>966.46999999999991</v>
      </c>
    </row>
    <row r="19" spans="1:34">
      <c r="A19" t="s">
        <v>177</v>
      </c>
      <c r="B19" s="1">
        <v>46287</v>
      </c>
      <c r="C19" t="str">
        <f>TEXT(Amazon_Data_Set[[#This Row],[Order Date]],"mmm")</f>
        <v>Sep</v>
      </c>
      <c r="D19" t="s">
        <v>178</v>
      </c>
      <c r="E19" t="s">
        <v>100</v>
      </c>
      <c r="F19" t="s">
        <v>179</v>
      </c>
      <c r="G19" t="s">
        <v>54</v>
      </c>
      <c r="H19" t="s">
        <v>142</v>
      </c>
      <c r="I19" t="s">
        <v>143</v>
      </c>
      <c r="J19" t="s">
        <v>144</v>
      </c>
      <c r="K19" t="s">
        <v>145</v>
      </c>
      <c r="L19" t="s">
        <v>180</v>
      </c>
      <c r="M19" t="s">
        <v>106</v>
      </c>
      <c r="N19" t="s">
        <v>124</v>
      </c>
      <c r="O19" t="s">
        <v>96</v>
      </c>
      <c r="P19">
        <v>2</v>
      </c>
      <c r="Q19">
        <v>269.33999999999997</v>
      </c>
      <c r="R19" s="19">
        <v>0</v>
      </c>
      <c r="S19" s="21">
        <v>0</v>
      </c>
      <c r="T19">
        <v>538.67999999999995</v>
      </c>
      <c r="U19" s="2">
        <v>538.67999999999995</v>
      </c>
      <c r="V19">
        <v>128.75</v>
      </c>
      <c r="W19">
        <v>401.15</v>
      </c>
      <c r="X19" s="2">
        <v>8.7799999999999994</v>
      </c>
      <c r="Y19">
        <v>1.6299999999999999E-2</v>
      </c>
      <c r="Z19">
        <v>0</v>
      </c>
      <c r="AA19" t="s">
        <v>97</v>
      </c>
      <c r="AB19" t="s">
        <v>47</v>
      </c>
      <c r="AE19" s="2">
        <v>623.1</v>
      </c>
      <c r="AF19">
        <v>0.86450000000000005</v>
      </c>
      <c r="AG19" t="s">
        <v>49</v>
      </c>
      <c r="AH19" s="23">
        <f>SUM(Amazon_Data_Set[[#This Row],[Gross Sales]]-Amazon_Data_Set[[#This Row],[Discount Amount]])</f>
        <v>538.67999999999995</v>
      </c>
    </row>
    <row r="20" spans="1:34">
      <c r="A20" t="s">
        <v>181</v>
      </c>
      <c r="B20" s="1">
        <v>46077</v>
      </c>
      <c r="C20" t="str">
        <f>TEXT(Amazon_Data_Set[[#This Row],[Order Date]],"mmm")</f>
        <v>Feb</v>
      </c>
      <c r="D20" t="s">
        <v>182</v>
      </c>
      <c r="E20" t="s">
        <v>140</v>
      </c>
      <c r="F20" t="s">
        <v>141</v>
      </c>
      <c r="G20" t="s">
        <v>54</v>
      </c>
      <c r="H20" t="s">
        <v>142</v>
      </c>
      <c r="I20" t="s">
        <v>143</v>
      </c>
      <c r="J20" t="s">
        <v>183</v>
      </c>
      <c r="K20" t="s">
        <v>184</v>
      </c>
      <c r="L20" t="s">
        <v>185</v>
      </c>
      <c r="M20" t="s">
        <v>43</v>
      </c>
      <c r="N20" t="s">
        <v>70</v>
      </c>
      <c r="O20" t="s">
        <v>45</v>
      </c>
      <c r="P20">
        <v>1</v>
      </c>
      <c r="Q20">
        <v>2005.61</v>
      </c>
      <c r="R20" s="19">
        <v>0.3</v>
      </c>
      <c r="S20" s="21">
        <v>601.67999999999995</v>
      </c>
      <c r="T20">
        <v>2005.61</v>
      </c>
      <c r="U20" s="2">
        <v>1403.93</v>
      </c>
      <c r="V20">
        <v>30.23</v>
      </c>
      <c r="W20">
        <v>892.46</v>
      </c>
      <c r="X20" s="2">
        <v>481.24</v>
      </c>
      <c r="Y20">
        <v>0.34279999999999999</v>
      </c>
      <c r="Z20">
        <v>8</v>
      </c>
      <c r="AA20" t="s">
        <v>61</v>
      </c>
      <c r="AB20" t="s">
        <v>47</v>
      </c>
      <c r="AD20">
        <v>4</v>
      </c>
      <c r="AE20" s="2">
        <v>1232.1099999999999</v>
      </c>
      <c r="AF20">
        <v>1.1395</v>
      </c>
      <c r="AG20" t="s">
        <v>49</v>
      </c>
      <c r="AH20" s="23">
        <f>SUM(Amazon_Data_Set[[#This Row],[Gross Sales]]-Amazon_Data_Set[[#This Row],[Discount Amount]])</f>
        <v>1403.9299999999998</v>
      </c>
    </row>
    <row r="21" spans="1:34">
      <c r="A21" t="s">
        <v>186</v>
      </c>
      <c r="B21" s="1">
        <v>46192</v>
      </c>
      <c r="C21" t="str">
        <f>TEXT(Amazon_Data_Set[[#This Row],[Order Date]],"mmm")</f>
        <v>Jun</v>
      </c>
      <c r="D21" t="s">
        <v>187</v>
      </c>
      <c r="E21" t="s">
        <v>149</v>
      </c>
      <c r="F21" t="s">
        <v>150</v>
      </c>
      <c r="G21" t="s">
        <v>37</v>
      </c>
      <c r="H21" t="s">
        <v>83</v>
      </c>
      <c r="I21" t="s">
        <v>188</v>
      </c>
      <c r="J21" t="s">
        <v>189</v>
      </c>
      <c r="K21" t="s">
        <v>190</v>
      </c>
      <c r="L21" t="s">
        <v>191</v>
      </c>
      <c r="M21" t="s">
        <v>106</v>
      </c>
      <c r="N21" t="s">
        <v>44</v>
      </c>
      <c r="O21" t="s">
        <v>45</v>
      </c>
      <c r="P21">
        <v>2</v>
      </c>
      <c r="Q21">
        <v>1745.28</v>
      </c>
      <c r="R21" s="19">
        <v>0.1</v>
      </c>
      <c r="S21" s="21">
        <v>349.06</v>
      </c>
      <c r="T21">
        <v>3490.56</v>
      </c>
      <c r="U21" s="2">
        <v>3141.5</v>
      </c>
      <c r="V21">
        <v>216.35</v>
      </c>
      <c r="W21">
        <v>2374.73</v>
      </c>
      <c r="X21" s="2">
        <v>550.41999999999996</v>
      </c>
      <c r="Y21">
        <v>0.17519999999999999</v>
      </c>
      <c r="Z21">
        <v>7</v>
      </c>
      <c r="AA21" t="s">
        <v>61</v>
      </c>
      <c r="AB21" t="s">
        <v>47</v>
      </c>
      <c r="AD21">
        <v>5</v>
      </c>
      <c r="AE21" s="2">
        <v>2937.77</v>
      </c>
      <c r="AF21">
        <v>1.0692999999999999</v>
      </c>
      <c r="AG21" t="s">
        <v>49</v>
      </c>
      <c r="AH21" s="23">
        <f>SUM(Amazon_Data_Set[[#This Row],[Gross Sales]]-Amazon_Data_Set[[#This Row],[Discount Amount]])</f>
        <v>3141.5</v>
      </c>
    </row>
    <row r="22" spans="1:34">
      <c r="A22" t="s">
        <v>192</v>
      </c>
      <c r="B22" s="1">
        <v>46157</v>
      </c>
      <c r="C22" t="str">
        <f>TEXT(Amazon_Data_Set[[#This Row],[Order Date]],"mmm")</f>
        <v>May</v>
      </c>
      <c r="D22" t="s">
        <v>193</v>
      </c>
      <c r="E22" t="s">
        <v>194</v>
      </c>
      <c r="F22" t="s">
        <v>195</v>
      </c>
      <c r="G22" t="s">
        <v>111</v>
      </c>
      <c r="H22" t="s">
        <v>38</v>
      </c>
      <c r="I22" t="s">
        <v>161</v>
      </c>
      <c r="J22" t="s">
        <v>162</v>
      </c>
      <c r="K22" t="s">
        <v>163</v>
      </c>
      <c r="L22" t="s">
        <v>196</v>
      </c>
      <c r="M22" t="s">
        <v>43</v>
      </c>
      <c r="N22" t="s">
        <v>77</v>
      </c>
      <c r="O22" t="s">
        <v>45</v>
      </c>
      <c r="P22">
        <v>5</v>
      </c>
      <c r="Q22">
        <v>3271.4</v>
      </c>
      <c r="R22" s="19">
        <v>0.15</v>
      </c>
      <c r="S22" s="21">
        <v>2453.5500000000002</v>
      </c>
      <c r="T22">
        <v>16357</v>
      </c>
      <c r="U22" s="2">
        <v>13903.45</v>
      </c>
      <c r="V22">
        <v>73.37</v>
      </c>
      <c r="W22">
        <v>8584.26</v>
      </c>
      <c r="X22" s="2">
        <v>5245.82</v>
      </c>
      <c r="Y22">
        <v>0.37730000000000002</v>
      </c>
      <c r="Z22">
        <v>7</v>
      </c>
      <c r="AA22" t="s">
        <v>61</v>
      </c>
      <c r="AB22" t="s">
        <v>48</v>
      </c>
      <c r="AC22" t="s">
        <v>197</v>
      </c>
      <c r="AD22">
        <v>4</v>
      </c>
      <c r="AE22" s="2">
        <v>13691.21</v>
      </c>
      <c r="AF22">
        <v>1.0155000000000001</v>
      </c>
      <c r="AG22" t="s">
        <v>49</v>
      </c>
      <c r="AH22" s="23">
        <f>SUM(Amazon_Data_Set[[#This Row],[Gross Sales]]-Amazon_Data_Set[[#This Row],[Discount Amount]])</f>
        <v>13903.45</v>
      </c>
    </row>
    <row r="23" spans="1:34">
      <c r="A23" t="s">
        <v>198</v>
      </c>
      <c r="B23" s="1">
        <v>46227</v>
      </c>
      <c r="C23" t="str">
        <f>TEXT(Amazon_Data_Set[[#This Row],[Order Date]],"mmm")</f>
        <v>Jul</v>
      </c>
      <c r="D23" t="s">
        <v>199</v>
      </c>
      <c r="E23" t="s">
        <v>109</v>
      </c>
      <c r="F23" t="s">
        <v>110</v>
      </c>
      <c r="G23" t="s">
        <v>111</v>
      </c>
      <c r="H23" t="s">
        <v>142</v>
      </c>
      <c r="I23" t="s">
        <v>143</v>
      </c>
      <c r="J23" t="s">
        <v>200</v>
      </c>
      <c r="K23" t="s">
        <v>201</v>
      </c>
      <c r="L23" t="s">
        <v>202</v>
      </c>
      <c r="M23" t="s">
        <v>106</v>
      </c>
      <c r="N23" t="s">
        <v>60</v>
      </c>
      <c r="O23" t="s">
        <v>45</v>
      </c>
      <c r="P23">
        <v>3</v>
      </c>
      <c r="Q23">
        <v>551.11</v>
      </c>
      <c r="R23" s="19">
        <v>0.25</v>
      </c>
      <c r="S23" s="21">
        <v>413.33</v>
      </c>
      <c r="T23">
        <v>1653.33</v>
      </c>
      <c r="U23" s="2">
        <v>1240</v>
      </c>
      <c r="V23">
        <v>208.23</v>
      </c>
      <c r="W23">
        <v>893.58</v>
      </c>
      <c r="X23" s="2">
        <v>138.19</v>
      </c>
      <c r="Y23">
        <v>0.1114</v>
      </c>
      <c r="Z23">
        <v>6</v>
      </c>
      <c r="AA23" t="s">
        <v>61</v>
      </c>
      <c r="AB23" t="s">
        <v>48</v>
      </c>
      <c r="AC23" t="s">
        <v>203</v>
      </c>
      <c r="AD23">
        <v>5</v>
      </c>
      <c r="AE23" s="2">
        <v>1381.7</v>
      </c>
      <c r="AF23">
        <v>0.89739999999999998</v>
      </c>
      <c r="AG23" t="s">
        <v>49</v>
      </c>
      <c r="AH23" s="23">
        <f>SUM(Amazon_Data_Set[[#This Row],[Gross Sales]]-Amazon_Data_Set[[#This Row],[Discount Amount]])</f>
        <v>1240</v>
      </c>
    </row>
    <row r="24" spans="1:34">
      <c r="A24" t="s">
        <v>204</v>
      </c>
      <c r="B24" s="1">
        <v>46298</v>
      </c>
      <c r="C24" t="str">
        <f>TEXT(Amazon_Data_Set[[#This Row],[Order Date]],"mmm")</f>
        <v>Oct</v>
      </c>
      <c r="D24" t="s">
        <v>205</v>
      </c>
      <c r="E24" t="s">
        <v>100</v>
      </c>
      <c r="F24" t="s">
        <v>101</v>
      </c>
      <c r="G24" t="s">
        <v>54</v>
      </c>
      <c r="H24" t="s">
        <v>38</v>
      </c>
      <c r="I24" t="s">
        <v>161</v>
      </c>
      <c r="J24" t="s">
        <v>162</v>
      </c>
      <c r="K24" t="s">
        <v>163</v>
      </c>
      <c r="L24" t="s">
        <v>206</v>
      </c>
      <c r="M24" t="s">
        <v>43</v>
      </c>
      <c r="N24" t="s">
        <v>44</v>
      </c>
      <c r="O24" t="s">
        <v>45</v>
      </c>
      <c r="P24">
        <v>4</v>
      </c>
      <c r="Q24">
        <v>621.53</v>
      </c>
      <c r="R24" s="19">
        <v>0.05</v>
      </c>
      <c r="S24" s="21">
        <v>124.31</v>
      </c>
      <c r="T24">
        <v>2486.12</v>
      </c>
      <c r="U24" s="2">
        <v>2361.81</v>
      </c>
      <c r="V24">
        <v>176.38</v>
      </c>
      <c r="W24">
        <v>1193.3900000000001</v>
      </c>
      <c r="X24" s="2">
        <v>992.04</v>
      </c>
      <c r="Y24">
        <v>0.42</v>
      </c>
      <c r="Z24">
        <v>3</v>
      </c>
      <c r="AA24" t="s">
        <v>46</v>
      </c>
      <c r="AB24" t="s">
        <v>47</v>
      </c>
      <c r="AD24">
        <v>4</v>
      </c>
      <c r="AE24" s="2">
        <v>2049.56</v>
      </c>
      <c r="AF24">
        <v>1.1523000000000001</v>
      </c>
      <c r="AG24" t="s">
        <v>49</v>
      </c>
      <c r="AH24" s="23">
        <f>SUM(Amazon_Data_Set[[#This Row],[Gross Sales]]-Amazon_Data_Set[[#This Row],[Discount Amount]])</f>
        <v>2361.81</v>
      </c>
    </row>
    <row r="25" spans="1:34">
      <c r="A25" t="s">
        <v>207</v>
      </c>
      <c r="B25" s="1">
        <v>46153</v>
      </c>
      <c r="C25" t="str">
        <f>TEXT(Amazon_Data_Set[[#This Row],[Order Date]],"mmm")</f>
        <v>May</v>
      </c>
      <c r="D25" t="s">
        <v>208</v>
      </c>
      <c r="E25" t="s">
        <v>174</v>
      </c>
      <c r="F25" t="s">
        <v>175</v>
      </c>
      <c r="G25" t="s">
        <v>82</v>
      </c>
      <c r="H25" t="s">
        <v>142</v>
      </c>
      <c r="I25" t="s">
        <v>209</v>
      </c>
      <c r="J25" t="s">
        <v>210</v>
      </c>
      <c r="K25" t="s">
        <v>201</v>
      </c>
      <c r="L25" t="s">
        <v>211</v>
      </c>
      <c r="M25" t="s">
        <v>106</v>
      </c>
      <c r="N25" t="s">
        <v>60</v>
      </c>
      <c r="O25" t="s">
        <v>45</v>
      </c>
      <c r="P25">
        <v>4</v>
      </c>
      <c r="Q25">
        <v>562.14</v>
      </c>
      <c r="R25" s="19">
        <v>0.3</v>
      </c>
      <c r="S25" s="21">
        <v>674.57</v>
      </c>
      <c r="T25">
        <v>2248.56</v>
      </c>
      <c r="U25" s="2">
        <v>1573.99</v>
      </c>
      <c r="V25">
        <v>202.24</v>
      </c>
      <c r="W25">
        <v>875.38</v>
      </c>
      <c r="X25" s="2">
        <v>496.37</v>
      </c>
      <c r="Y25">
        <v>0.31540000000000001</v>
      </c>
      <c r="Z25">
        <v>4</v>
      </c>
      <c r="AA25" t="s">
        <v>46</v>
      </c>
      <c r="AB25" t="s">
        <v>47</v>
      </c>
      <c r="AD25">
        <v>5</v>
      </c>
      <c r="AE25" s="2">
        <v>1529.33</v>
      </c>
      <c r="AF25">
        <v>1.0291999999999999</v>
      </c>
      <c r="AG25" t="s">
        <v>49</v>
      </c>
      <c r="AH25" s="23">
        <f>SUM(Amazon_Data_Set[[#This Row],[Gross Sales]]-Amazon_Data_Set[[#This Row],[Discount Amount]])</f>
        <v>1573.9899999999998</v>
      </c>
    </row>
    <row r="26" spans="1:34">
      <c r="A26" t="s">
        <v>212</v>
      </c>
      <c r="B26" s="1">
        <v>46189</v>
      </c>
      <c r="C26" t="str">
        <f>TEXT(Amazon_Data_Set[[#This Row],[Order Date]],"mmm")</f>
        <v>Jun</v>
      </c>
      <c r="D26" t="s">
        <v>213</v>
      </c>
      <c r="E26" t="s">
        <v>174</v>
      </c>
      <c r="F26" t="s">
        <v>175</v>
      </c>
      <c r="G26" t="s">
        <v>82</v>
      </c>
      <c r="H26" t="s">
        <v>142</v>
      </c>
      <c r="I26" t="s">
        <v>214</v>
      </c>
      <c r="J26" t="s">
        <v>215</v>
      </c>
      <c r="K26" t="s">
        <v>216</v>
      </c>
      <c r="L26" t="s">
        <v>217</v>
      </c>
      <c r="M26" t="s">
        <v>106</v>
      </c>
      <c r="N26" t="s">
        <v>60</v>
      </c>
      <c r="O26" t="s">
        <v>130</v>
      </c>
      <c r="P26">
        <v>1</v>
      </c>
      <c r="Q26">
        <v>11765.36</v>
      </c>
      <c r="R26" s="19">
        <v>0.05</v>
      </c>
      <c r="S26" s="21">
        <v>588.27</v>
      </c>
      <c r="T26">
        <v>11765.36</v>
      </c>
      <c r="U26" s="2">
        <v>11177.09</v>
      </c>
      <c r="V26">
        <v>189.83</v>
      </c>
      <c r="W26">
        <v>8597.27</v>
      </c>
      <c r="X26" s="2">
        <v>2389.9899999999998</v>
      </c>
      <c r="Y26">
        <v>0.21379999999999999</v>
      </c>
      <c r="Z26">
        <v>7</v>
      </c>
      <c r="AA26" t="s">
        <v>131</v>
      </c>
      <c r="AB26" t="s">
        <v>47</v>
      </c>
      <c r="AE26" s="2">
        <v>12319.57</v>
      </c>
      <c r="AF26">
        <v>0.9073</v>
      </c>
      <c r="AG26" t="s">
        <v>49</v>
      </c>
      <c r="AH26" s="23">
        <f>SUM(Amazon_Data_Set[[#This Row],[Gross Sales]]-Amazon_Data_Set[[#This Row],[Discount Amount]])</f>
        <v>11177.09</v>
      </c>
    </row>
    <row r="27" spans="1:34">
      <c r="A27" t="s">
        <v>218</v>
      </c>
      <c r="B27" s="1">
        <v>46273</v>
      </c>
      <c r="C27" t="str">
        <f>TEXT(Amazon_Data_Set[[#This Row],[Order Date]],"mmm")</f>
        <v>Sep</v>
      </c>
      <c r="D27" t="s">
        <v>219</v>
      </c>
      <c r="E27" t="s">
        <v>194</v>
      </c>
      <c r="F27" t="s">
        <v>195</v>
      </c>
      <c r="G27" t="s">
        <v>111</v>
      </c>
      <c r="H27" t="s">
        <v>142</v>
      </c>
      <c r="I27" t="s">
        <v>143</v>
      </c>
      <c r="J27" t="s">
        <v>183</v>
      </c>
      <c r="K27" t="s">
        <v>184</v>
      </c>
      <c r="L27" t="s">
        <v>220</v>
      </c>
      <c r="M27" t="s">
        <v>43</v>
      </c>
      <c r="N27" t="s">
        <v>95</v>
      </c>
      <c r="O27" t="s">
        <v>45</v>
      </c>
      <c r="P27">
        <v>5</v>
      </c>
      <c r="Q27">
        <v>5151.33</v>
      </c>
      <c r="R27" s="19">
        <v>0.1</v>
      </c>
      <c r="S27" s="21">
        <v>2575.67</v>
      </c>
      <c r="T27">
        <v>25756.65</v>
      </c>
      <c r="U27" s="2">
        <v>23180.98</v>
      </c>
      <c r="V27">
        <v>38</v>
      </c>
      <c r="W27">
        <v>14960.83</v>
      </c>
      <c r="X27" s="2">
        <v>8182.15</v>
      </c>
      <c r="Y27">
        <v>0.35299999999999998</v>
      </c>
      <c r="Z27">
        <v>3</v>
      </c>
      <c r="AA27" t="s">
        <v>46</v>
      </c>
      <c r="AB27" t="s">
        <v>47</v>
      </c>
      <c r="AD27">
        <v>5</v>
      </c>
      <c r="AE27" s="2">
        <v>20270.169999999998</v>
      </c>
      <c r="AF27">
        <v>1.1435999999999999</v>
      </c>
      <c r="AG27" t="s">
        <v>49</v>
      </c>
      <c r="AH27" s="23">
        <f>SUM(Amazon_Data_Set[[#This Row],[Gross Sales]]-Amazon_Data_Set[[#This Row],[Discount Amount]])</f>
        <v>23180.980000000003</v>
      </c>
    </row>
    <row r="28" spans="1:34">
      <c r="A28" t="s">
        <v>221</v>
      </c>
      <c r="B28" s="1">
        <v>46118</v>
      </c>
      <c r="C28" t="str">
        <f>TEXT(Amazon_Data_Set[[#This Row],[Order Date]],"mmm")</f>
        <v>Apr</v>
      </c>
      <c r="D28" t="s">
        <v>222</v>
      </c>
      <c r="E28" t="s">
        <v>100</v>
      </c>
      <c r="F28" t="s">
        <v>179</v>
      </c>
      <c r="G28" t="s">
        <v>54</v>
      </c>
      <c r="H28" t="s">
        <v>38</v>
      </c>
      <c r="I28" t="s">
        <v>161</v>
      </c>
      <c r="J28" t="s">
        <v>223</v>
      </c>
      <c r="K28" t="s">
        <v>224</v>
      </c>
      <c r="L28" t="s">
        <v>225</v>
      </c>
      <c r="M28" t="s">
        <v>106</v>
      </c>
      <c r="N28" t="s">
        <v>124</v>
      </c>
      <c r="O28" t="s">
        <v>130</v>
      </c>
      <c r="P28">
        <v>5</v>
      </c>
      <c r="Q28">
        <v>1636.46</v>
      </c>
      <c r="R28" s="19">
        <v>0</v>
      </c>
      <c r="S28" s="21">
        <v>0</v>
      </c>
      <c r="T28">
        <v>8182.3</v>
      </c>
      <c r="U28" s="2">
        <v>8182.3</v>
      </c>
      <c r="V28">
        <v>75.16</v>
      </c>
      <c r="W28">
        <v>5190.63</v>
      </c>
      <c r="X28" s="2">
        <v>2916.51</v>
      </c>
      <c r="Y28">
        <v>0.35639999999999999</v>
      </c>
      <c r="Z28">
        <v>2</v>
      </c>
      <c r="AA28" t="s">
        <v>131</v>
      </c>
      <c r="AB28" t="s">
        <v>47</v>
      </c>
      <c r="AE28" s="2">
        <v>8478.9599999999991</v>
      </c>
      <c r="AF28">
        <v>0.96499999999999997</v>
      </c>
      <c r="AG28" t="s">
        <v>49</v>
      </c>
      <c r="AH28" s="23">
        <f>SUM(Amazon_Data_Set[[#This Row],[Gross Sales]]-Amazon_Data_Set[[#This Row],[Discount Amount]])</f>
        <v>8182.3</v>
      </c>
    </row>
    <row r="29" spans="1:34">
      <c r="A29" t="s">
        <v>226</v>
      </c>
      <c r="B29" s="1">
        <v>46323</v>
      </c>
      <c r="C29" t="str">
        <f>TEXT(Amazon_Data_Set[[#This Row],[Order Date]],"mmm")</f>
        <v>Oct</v>
      </c>
      <c r="D29" t="s">
        <v>227</v>
      </c>
      <c r="E29" t="s">
        <v>228</v>
      </c>
      <c r="F29" t="s">
        <v>229</v>
      </c>
      <c r="G29" t="s">
        <v>37</v>
      </c>
      <c r="H29" t="s">
        <v>55</v>
      </c>
      <c r="I29" t="s">
        <v>73</v>
      </c>
      <c r="J29" t="s">
        <v>230</v>
      </c>
      <c r="K29" t="s">
        <v>231</v>
      </c>
      <c r="L29" t="s">
        <v>232</v>
      </c>
      <c r="M29" t="s">
        <v>43</v>
      </c>
      <c r="N29" t="s">
        <v>77</v>
      </c>
      <c r="O29" t="s">
        <v>45</v>
      </c>
      <c r="P29">
        <v>1</v>
      </c>
      <c r="Q29">
        <v>14198.62</v>
      </c>
      <c r="R29" s="19">
        <v>0.25</v>
      </c>
      <c r="S29" s="21">
        <v>3549.66</v>
      </c>
      <c r="T29">
        <v>14198.62</v>
      </c>
      <c r="U29" s="2">
        <v>10648.96</v>
      </c>
      <c r="V29">
        <v>49.86</v>
      </c>
      <c r="W29">
        <v>7800.83</v>
      </c>
      <c r="X29" s="2">
        <v>2798.27</v>
      </c>
      <c r="Y29">
        <v>0.26279999999999998</v>
      </c>
      <c r="Z29">
        <v>4</v>
      </c>
      <c r="AA29" t="s">
        <v>46</v>
      </c>
      <c r="AB29" t="s">
        <v>47</v>
      </c>
      <c r="AD29">
        <v>4</v>
      </c>
      <c r="AE29" s="2">
        <v>10637.67</v>
      </c>
      <c r="AF29">
        <v>1.0011000000000001</v>
      </c>
      <c r="AG29" t="s">
        <v>49</v>
      </c>
      <c r="AH29" s="23">
        <f>SUM(Amazon_Data_Set[[#This Row],[Gross Sales]]-Amazon_Data_Set[[#This Row],[Discount Amount]])</f>
        <v>10648.960000000001</v>
      </c>
    </row>
    <row r="30" spans="1:34">
      <c r="A30" t="s">
        <v>233</v>
      </c>
      <c r="B30" s="1">
        <v>46309</v>
      </c>
      <c r="C30" t="str">
        <f>TEXT(Amazon_Data_Set[[#This Row],[Order Date]],"mmm")</f>
        <v>Oct</v>
      </c>
      <c r="D30" t="s">
        <v>234</v>
      </c>
      <c r="E30" t="s">
        <v>235</v>
      </c>
      <c r="F30" t="s">
        <v>236</v>
      </c>
      <c r="G30" t="s">
        <v>82</v>
      </c>
      <c r="H30" t="s">
        <v>38</v>
      </c>
      <c r="I30" t="s">
        <v>39</v>
      </c>
      <c r="J30" t="s">
        <v>155</v>
      </c>
      <c r="K30" t="s">
        <v>156</v>
      </c>
      <c r="L30" t="s">
        <v>237</v>
      </c>
      <c r="M30" t="s">
        <v>43</v>
      </c>
      <c r="N30" t="s">
        <v>70</v>
      </c>
      <c r="O30" t="s">
        <v>45</v>
      </c>
      <c r="P30">
        <v>1</v>
      </c>
      <c r="Q30">
        <v>3160.91</v>
      </c>
      <c r="R30" s="19">
        <v>0.2</v>
      </c>
      <c r="S30" s="21">
        <v>632.17999999999995</v>
      </c>
      <c r="T30">
        <v>3160.91</v>
      </c>
      <c r="U30" s="2">
        <v>2528.73</v>
      </c>
      <c r="V30">
        <v>178.7</v>
      </c>
      <c r="W30">
        <v>1685.79</v>
      </c>
      <c r="X30" s="2">
        <v>664.24</v>
      </c>
      <c r="Y30">
        <v>0.26269999999999999</v>
      </c>
      <c r="Z30">
        <v>2</v>
      </c>
      <c r="AA30" t="s">
        <v>46</v>
      </c>
      <c r="AB30" t="s">
        <v>47</v>
      </c>
      <c r="AD30">
        <v>5</v>
      </c>
      <c r="AE30" s="2">
        <v>2340.9</v>
      </c>
      <c r="AF30">
        <v>1.0802</v>
      </c>
      <c r="AG30" t="s">
        <v>49</v>
      </c>
      <c r="AH30" s="23">
        <f>SUM(Amazon_Data_Set[[#This Row],[Gross Sales]]-Amazon_Data_Set[[#This Row],[Discount Amount]])</f>
        <v>2528.73</v>
      </c>
    </row>
    <row r="31" spans="1:34">
      <c r="A31" t="s">
        <v>238</v>
      </c>
      <c r="B31" s="1">
        <v>46289</v>
      </c>
      <c r="C31" t="str">
        <f>TEXT(Amazon_Data_Set[[#This Row],[Order Date]],"mmm")</f>
        <v>Sep</v>
      </c>
      <c r="D31" t="s">
        <v>239</v>
      </c>
      <c r="E31" t="s">
        <v>174</v>
      </c>
      <c r="F31" t="s">
        <v>175</v>
      </c>
      <c r="G31" t="s">
        <v>82</v>
      </c>
      <c r="H31" t="s">
        <v>142</v>
      </c>
      <c r="I31" t="s">
        <v>214</v>
      </c>
      <c r="J31" t="s">
        <v>215</v>
      </c>
      <c r="K31" t="s">
        <v>216</v>
      </c>
      <c r="L31" t="s">
        <v>240</v>
      </c>
      <c r="M31" t="s">
        <v>43</v>
      </c>
      <c r="N31" t="s">
        <v>44</v>
      </c>
      <c r="O31" t="s">
        <v>130</v>
      </c>
      <c r="P31">
        <v>1</v>
      </c>
      <c r="Q31">
        <v>7995.62</v>
      </c>
      <c r="R31" s="19">
        <v>0.1</v>
      </c>
      <c r="S31" s="21">
        <v>799.56</v>
      </c>
      <c r="T31">
        <v>7995.62</v>
      </c>
      <c r="U31" s="2">
        <v>7196.06</v>
      </c>
      <c r="V31">
        <v>242.42</v>
      </c>
      <c r="W31">
        <v>4438.57</v>
      </c>
      <c r="X31" s="2">
        <v>2515.0700000000002</v>
      </c>
      <c r="Y31">
        <v>0.34949999999999998</v>
      </c>
      <c r="Z31">
        <v>1</v>
      </c>
      <c r="AA31" t="s">
        <v>131</v>
      </c>
      <c r="AB31" t="s">
        <v>47</v>
      </c>
      <c r="AE31" s="2">
        <v>8795.68</v>
      </c>
      <c r="AF31">
        <v>0.81810000000000005</v>
      </c>
      <c r="AG31" t="s">
        <v>49</v>
      </c>
      <c r="AH31" s="23">
        <f>SUM(Amazon_Data_Set[[#This Row],[Gross Sales]]-Amazon_Data_Set[[#This Row],[Discount Amount]])</f>
        <v>7196.0599999999995</v>
      </c>
    </row>
    <row r="32" spans="1:34">
      <c r="A32" t="s">
        <v>241</v>
      </c>
      <c r="B32" s="1">
        <v>46294</v>
      </c>
      <c r="C32" t="str">
        <f>TEXT(Amazon_Data_Set[[#This Row],[Order Date]],"mmm")</f>
        <v>Sep</v>
      </c>
      <c r="D32" t="s">
        <v>242</v>
      </c>
      <c r="E32" t="s">
        <v>52</v>
      </c>
      <c r="F32" t="s">
        <v>53</v>
      </c>
      <c r="G32" t="s">
        <v>54</v>
      </c>
      <c r="H32" t="s">
        <v>142</v>
      </c>
      <c r="I32" t="s">
        <v>209</v>
      </c>
      <c r="J32" t="s">
        <v>243</v>
      </c>
      <c r="K32" t="s">
        <v>145</v>
      </c>
      <c r="L32" t="s">
        <v>244</v>
      </c>
      <c r="M32" t="s">
        <v>106</v>
      </c>
      <c r="N32" t="s">
        <v>124</v>
      </c>
      <c r="O32" t="s">
        <v>96</v>
      </c>
      <c r="P32">
        <v>5</v>
      </c>
      <c r="Q32">
        <v>288.86</v>
      </c>
      <c r="R32" s="19">
        <v>0.3</v>
      </c>
      <c r="S32" s="21">
        <v>433.29</v>
      </c>
      <c r="T32">
        <v>1444.3</v>
      </c>
      <c r="U32" s="2">
        <v>1011.01</v>
      </c>
      <c r="V32">
        <v>141.09</v>
      </c>
      <c r="W32">
        <v>602.42999999999995</v>
      </c>
      <c r="X32" s="2">
        <v>267.49</v>
      </c>
      <c r="Y32">
        <v>0.2646</v>
      </c>
      <c r="Z32">
        <v>0</v>
      </c>
      <c r="AA32" t="s">
        <v>97</v>
      </c>
      <c r="AB32" t="s">
        <v>47</v>
      </c>
      <c r="AE32" s="2">
        <v>1182.96</v>
      </c>
      <c r="AF32">
        <v>0.85460000000000003</v>
      </c>
      <c r="AG32" t="s">
        <v>49</v>
      </c>
      <c r="AH32" s="23">
        <f>SUM(Amazon_Data_Set[[#This Row],[Gross Sales]]-Amazon_Data_Set[[#This Row],[Discount Amount]])</f>
        <v>1011.01</v>
      </c>
    </row>
    <row r="33" spans="1:34">
      <c r="A33" t="s">
        <v>245</v>
      </c>
      <c r="B33" s="1">
        <v>46070</v>
      </c>
      <c r="C33" t="str">
        <f>TEXT(Amazon_Data_Set[[#This Row],[Order Date]],"mmm")</f>
        <v>Feb</v>
      </c>
      <c r="D33" t="s">
        <v>246</v>
      </c>
      <c r="E33" t="s">
        <v>194</v>
      </c>
      <c r="F33" t="s">
        <v>195</v>
      </c>
      <c r="G33" t="s">
        <v>111</v>
      </c>
      <c r="H33" t="s">
        <v>55</v>
      </c>
      <c r="I33" t="s">
        <v>73</v>
      </c>
      <c r="J33" t="s">
        <v>247</v>
      </c>
      <c r="K33" t="s">
        <v>248</v>
      </c>
      <c r="L33" t="s">
        <v>249</v>
      </c>
      <c r="M33" t="s">
        <v>43</v>
      </c>
      <c r="N33" t="s">
        <v>95</v>
      </c>
      <c r="O33" t="s">
        <v>45</v>
      </c>
      <c r="P33">
        <v>5</v>
      </c>
      <c r="Q33">
        <v>20433.66</v>
      </c>
      <c r="R33" s="19">
        <v>0.2</v>
      </c>
      <c r="S33" s="21">
        <v>20433.66</v>
      </c>
      <c r="T33">
        <v>102168.3</v>
      </c>
      <c r="U33" s="2">
        <v>81734.64</v>
      </c>
      <c r="V33">
        <v>179.31</v>
      </c>
      <c r="W33">
        <v>46761.19</v>
      </c>
      <c r="X33" s="2">
        <v>34794.14</v>
      </c>
      <c r="Y33">
        <v>0.42570000000000002</v>
      </c>
      <c r="Z33">
        <v>4</v>
      </c>
      <c r="AA33" t="s">
        <v>46</v>
      </c>
      <c r="AB33" t="s">
        <v>47</v>
      </c>
      <c r="AD33">
        <v>4</v>
      </c>
      <c r="AE33" s="2">
        <v>82553.25</v>
      </c>
      <c r="AF33">
        <v>0.99009999999999998</v>
      </c>
      <c r="AG33" t="s">
        <v>49</v>
      </c>
      <c r="AH33" s="23">
        <f>SUM(Amazon_Data_Set[[#This Row],[Gross Sales]]-Amazon_Data_Set[[#This Row],[Discount Amount]])</f>
        <v>81734.64</v>
      </c>
    </row>
    <row r="34" spans="1:34">
      <c r="A34" t="s">
        <v>250</v>
      </c>
      <c r="B34" s="1">
        <v>46266</v>
      </c>
      <c r="C34" t="str">
        <f>TEXT(Amazon_Data_Set[[#This Row],[Order Date]],"mmm")</f>
        <v>Sep</v>
      </c>
      <c r="D34" t="s">
        <v>251</v>
      </c>
      <c r="E34" t="s">
        <v>118</v>
      </c>
      <c r="F34" t="s">
        <v>119</v>
      </c>
      <c r="G34" t="s">
        <v>82</v>
      </c>
      <c r="H34" t="s">
        <v>90</v>
      </c>
      <c r="I34" t="s">
        <v>252</v>
      </c>
      <c r="J34" t="s">
        <v>253</v>
      </c>
      <c r="K34" t="s">
        <v>254</v>
      </c>
      <c r="L34" t="s">
        <v>255</v>
      </c>
      <c r="M34" t="s">
        <v>43</v>
      </c>
      <c r="N34" t="s">
        <v>95</v>
      </c>
      <c r="O34" t="s">
        <v>45</v>
      </c>
      <c r="P34">
        <v>2</v>
      </c>
      <c r="Q34">
        <v>388.17</v>
      </c>
      <c r="R34" s="19">
        <v>0</v>
      </c>
      <c r="S34" s="21">
        <v>0</v>
      </c>
      <c r="T34">
        <v>776.34</v>
      </c>
      <c r="U34" s="2">
        <v>776.34</v>
      </c>
      <c r="V34">
        <v>132.38</v>
      </c>
      <c r="W34">
        <v>555.38</v>
      </c>
      <c r="X34" s="2">
        <v>88.58</v>
      </c>
      <c r="Y34">
        <v>0.11409999999999999</v>
      </c>
      <c r="Z34">
        <v>4</v>
      </c>
      <c r="AA34" t="s">
        <v>46</v>
      </c>
      <c r="AB34" t="s">
        <v>47</v>
      </c>
      <c r="AD34">
        <v>4</v>
      </c>
      <c r="AE34" s="2">
        <v>898.07</v>
      </c>
      <c r="AF34">
        <v>0.86450000000000005</v>
      </c>
      <c r="AG34" t="s">
        <v>49</v>
      </c>
      <c r="AH34" s="23">
        <f>SUM(Amazon_Data_Set[[#This Row],[Gross Sales]]-Amazon_Data_Set[[#This Row],[Discount Amount]])</f>
        <v>776.34</v>
      </c>
    </row>
    <row r="35" spans="1:34">
      <c r="A35" t="s">
        <v>256</v>
      </c>
      <c r="B35" s="1">
        <v>46306</v>
      </c>
      <c r="C35" t="str">
        <f>TEXT(Amazon_Data_Set[[#This Row],[Order Date]],"mmm")</f>
        <v>Oct</v>
      </c>
      <c r="D35" t="s">
        <v>173</v>
      </c>
      <c r="E35" t="s">
        <v>167</v>
      </c>
      <c r="F35" t="s">
        <v>168</v>
      </c>
      <c r="G35" t="s">
        <v>111</v>
      </c>
      <c r="H35" t="s">
        <v>83</v>
      </c>
      <c r="I35" t="s">
        <v>102</v>
      </c>
      <c r="J35" t="s">
        <v>103</v>
      </c>
      <c r="K35" t="s">
        <v>104</v>
      </c>
      <c r="L35" t="s">
        <v>257</v>
      </c>
      <c r="M35" t="s">
        <v>106</v>
      </c>
      <c r="N35" t="s">
        <v>44</v>
      </c>
      <c r="O35" t="s">
        <v>45</v>
      </c>
      <c r="P35">
        <v>4</v>
      </c>
      <c r="Q35">
        <v>603.49</v>
      </c>
      <c r="R35" s="19">
        <v>0</v>
      </c>
      <c r="S35" s="21">
        <v>0</v>
      </c>
      <c r="T35">
        <v>2413.96</v>
      </c>
      <c r="U35" s="2">
        <v>2413.96</v>
      </c>
      <c r="V35">
        <v>61.08</v>
      </c>
      <c r="W35">
        <v>1195.72</v>
      </c>
      <c r="X35" s="2">
        <v>1157.1600000000001</v>
      </c>
      <c r="Y35">
        <v>0.47939999999999999</v>
      </c>
      <c r="Z35">
        <v>5</v>
      </c>
      <c r="AA35" t="s">
        <v>61</v>
      </c>
      <c r="AB35" t="s">
        <v>47</v>
      </c>
      <c r="AD35">
        <v>3</v>
      </c>
      <c r="AE35" s="2">
        <v>2213.73</v>
      </c>
      <c r="AF35">
        <v>1.0904</v>
      </c>
      <c r="AG35" t="s">
        <v>49</v>
      </c>
      <c r="AH35" s="23">
        <f>SUM(Amazon_Data_Set[[#This Row],[Gross Sales]]-Amazon_Data_Set[[#This Row],[Discount Amount]])</f>
        <v>2413.96</v>
      </c>
    </row>
    <row r="36" spans="1:34">
      <c r="A36" t="s">
        <v>258</v>
      </c>
      <c r="B36" s="1">
        <v>46286</v>
      </c>
      <c r="C36" t="str">
        <f>TEXT(Amazon_Data_Set[[#This Row],[Order Date]],"mmm")</f>
        <v>Sep</v>
      </c>
      <c r="D36" t="s">
        <v>126</v>
      </c>
      <c r="E36" t="s">
        <v>100</v>
      </c>
      <c r="F36" t="s">
        <v>179</v>
      </c>
      <c r="G36" t="s">
        <v>54</v>
      </c>
      <c r="H36" t="s">
        <v>83</v>
      </c>
      <c r="I36" t="s">
        <v>102</v>
      </c>
      <c r="J36" t="s">
        <v>259</v>
      </c>
      <c r="K36" t="s">
        <v>260</v>
      </c>
      <c r="L36" t="s">
        <v>261</v>
      </c>
      <c r="M36" t="s">
        <v>106</v>
      </c>
      <c r="N36" t="s">
        <v>60</v>
      </c>
      <c r="O36" t="s">
        <v>130</v>
      </c>
      <c r="P36">
        <v>1</v>
      </c>
      <c r="Q36">
        <v>245.11</v>
      </c>
      <c r="R36" s="19">
        <v>0</v>
      </c>
      <c r="S36" s="21">
        <v>0</v>
      </c>
      <c r="T36">
        <v>245.11</v>
      </c>
      <c r="U36" s="2">
        <v>245.11</v>
      </c>
      <c r="V36">
        <v>69.78</v>
      </c>
      <c r="W36">
        <v>118.19</v>
      </c>
      <c r="X36" s="2">
        <v>57.14</v>
      </c>
      <c r="Y36">
        <v>0.2331</v>
      </c>
      <c r="Z36">
        <v>1</v>
      </c>
      <c r="AA36" t="s">
        <v>131</v>
      </c>
      <c r="AB36" t="s">
        <v>47</v>
      </c>
      <c r="AE36" s="2">
        <v>254.56</v>
      </c>
      <c r="AF36">
        <v>0.96289999999999998</v>
      </c>
      <c r="AG36" t="s">
        <v>49</v>
      </c>
      <c r="AH36" s="23">
        <f>SUM(Amazon_Data_Set[[#This Row],[Gross Sales]]-Amazon_Data_Set[[#This Row],[Discount Amount]])</f>
        <v>245.11</v>
      </c>
    </row>
    <row r="37" spans="1:34">
      <c r="A37" t="s">
        <v>262</v>
      </c>
      <c r="B37" s="1">
        <v>46297</v>
      </c>
      <c r="C37" t="str">
        <f>TEXT(Amazon_Data_Set[[#This Row],[Order Date]],"mmm")</f>
        <v>Oct</v>
      </c>
      <c r="D37" t="s">
        <v>263</v>
      </c>
      <c r="E37" t="s">
        <v>118</v>
      </c>
      <c r="F37" t="s">
        <v>119</v>
      </c>
      <c r="G37" t="s">
        <v>82</v>
      </c>
      <c r="H37" t="s">
        <v>55</v>
      </c>
      <c r="I37" t="s">
        <v>73</v>
      </c>
      <c r="J37" t="s">
        <v>247</v>
      </c>
      <c r="K37" t="s">
        <v>248</v>
      </c>
      <c r="L37" t="s">
        <v>264</v>
      </c>
      <c r="M37" t="s">
        <v>106</v>
      </c>
      <c r="N37" t="s">
        <v>60</v>
      </c>
      <c r="O37" t="s">
        <v>45</v>
      </c>
      <c r="P37">
        <v>1</v>
      </c>
      <c r="Q37">
        <v>13659.12</v>
      </c>
      <c r="R37" s="19">
        <v>0</v>
      </c>
      <c r="S37" s="21">
        <v>0</v>
      </c>
      <c r="T37">
        <v>13659.12</v>
      </c>
      <c r="U37" s="2">
        <v>13659.12</v>
      </c>
      <c r="V37">
        <v>110.28</v>
      </c>
      <c r="W37">
        <v>9107.35</v>
      </c>
      <c r="X37" s="2">
        <v>4441.49</v>
      </c>
      <c r="Y37">
        <v>0.32519999999999999</v>
      </c>
      <c r="Z37">
        <v>4</v>
      </c>
      <c r="AA37" t="s">
        <v>46</v>
      </c>
      <c r="AB37" t="s">
        <v>47</v>
      </c>
      <c r="AD37">
        <v>4</v>
      </c>
      <c r="AE37" s="2">
        <v>15742.53</v>
      </c>
      <c r="AF37">
        <v>0.86770000000000003</v>
      </c>
      <c r="AG37" t="s">
        <v>49</v>
      </c>
      <c r="AH37" s="23">
        <f>SUM(Amazon_Data_Set[[#This Row],[Gross Sales]]-Amazon_Data_Set[[#This Row],[Discount Amount]])</f>
        <v>13659.12</v>
      </c>
    </row>
    <row r="38" spans="1:34">
      <c r="A38" t="s">
        <v>265</v>
      </c>
      <c r="B38" s="1">
        <v>46265</v>
      </c>
      <c r="C38" t="str">
        <f>TEXT(Amazon_Data_Set[[#This Row],[Order Date]],"mmm")</f>
        <v>Aug</v>
      </c>
      <c r="D38" t="s">
        <v>266</v>
      </c>
      <c r="E38" t="s">
        <v>194</v>
      </c>
      <c r="F38" t="s">
        <v>195</v>
      </c>
      <c r="G38" t="s">
        <v>111</v>
      </c>
      <c r="H38" t="s">
        <v>38</v>
      </c>
      <c r="I38" t="s">
        <v>161</v>
      </c>
      <c r="J38" t="s">
        <v>223</v>
      </c>
      <c r="K38" t="s">
        <v>224</v>
      </c>
      <c r="L38" t="s">
        <v>267</v>
      </c>
      <c r="M38" t="s">
        <v>106</v>
      </c>
      <c r="N38" t="s">
        <v>124</v>
      </c>
      <c r="O38" t="s">
        <v>96</v>
      </c>
      <c r="P38">
        <v>1</v>
      </c>
      <c r="Q38">
        <v>482.78</v>
      </c>
      <c r="R38" s="19">
        <v>0.25</v>
      </c>
      <c r="S38" s="21">
        <v>120.69</v>
      </c>
      <c r="T38">
        <v>482.78</v>
      </c>
      <c r="U38" s="2">
        <v>362.09</v>
      </c>
      <c r="V38">
        <v>22.4</v>
      </c>
      <c r="W38">
        <v>249.62</v>
      </c>
      <c r="X38" s="2">
        <v>90.07</v>
      </c>
      <c r="Y38">
        <v>0.24879999999999999</v>
      </c>
      <c r="Z38">
        <v>0</v>
      </c>
      <c r="AA38" t="s">
        <v>97</v>
      </c>
      <c r="AB38" t="s">
        <v>47</v>
      </c>
      <c r="AE38" s="2">
        <v>368.41</v>
      </c>
      <c r="AF38">
        <v>0.98280000000000001</v>
      </c>
      <c r="AG38" t="s">
        <v>49</v>
      </c>
      <c r="AH38" s="23">
        <f>SUM(Amazon_Data_Set[[#This Row],[Gross Sales]]-Amazon_Data_Set[[#This Row],[Discount Amount]])</f>
        <v>362.09</v>
      </c>
    </row>
    <row r="39" spans="1:34">
      <c r="A39" t="s">
        <v>268</v>
      </c>
      <c r="B39" s="1">
        <v>46178</v>
      </c>
      <c r="C39" t="str">
        <f>TEXT(Amazon_Data_Set[[#This Row],[Order Date]],"mmm")</f>
        <v>Jun</v>
      </c>
      <c r="D39" t="s">
        <v>269</v>
      </c>
      <c r="E39" t="s">
        <v>194</v>
      </c>
      <c r="F39" t="s">
        <v>195</v>
      </c>
      <c r="G39" t="s">
        <v>111</v>
      </c>
      <c r="H39" t="s">
        <v>90</v>
      </c>
      <c r="I39" t="s">
        <v>252</v>
      </c>
      <c r="J39" t="s">
        <v>270</v>
      </c>
      <c r="K39" t="s">
        <v>271</v>
      </c>
      <c r="L39" t="s">
        <v>272</v>
      </c>
      <c r="M39" t="s">
        <v>106</v>
      </c>
      <c r="N39" t="s">
        <v>70</v>
      </c>
      <c r="O39" t="s">
        <v>45</v>
      </c>
      <c r="P39">
        <v>3</v>
      </c>
      <c r="Q39">
        <v>1561</v>
      </c>
      <c r="R39" s="19">
        <v>0.05</v>
      </c>
      <c r="S39" s="21">
        <v>234.15</v>
      </c>
      <c r="T39">
        <v>4683</v>
      </c>
      <c r="U39" s="2">
        <v>4448.8500000000004</v>
      </c>
      <c r="V39">
        <v>178.61</v>
      </c>
      <c r="W39">
        <v>2922.77</v>
      </c>
      <c r="X39" s="2">
        <v>1347.47</v>
      </c>
      <c r="Y39">
        <v>0.3029</v>
      </c>
      <c r="Z39">
        <v>8</v>
      </c>
      <c r="AA39" t="s">
        <v>61</v>
      </c>
      <c r="AB39" t="s">
        <v>47</v>
      </c>
      <c r="AD39">
        <v>4</v>
      </c>
      <c r="AE39" s="2">
        <v>5480.1</v>
      </c>
      <c r="AF39">
        <v>0.81179999999999997</v>
      </c>
      <c r="AG39" t="s">
        <v>49</v>
      </c>
      <c r="AH39" s="23">
        <f>SUM(Amazon_Data_Set[[#This Row],[Gross Sales]]-Amazon_Data_Set[[#This Row],[Discount Amount]])</f>
        <v>4448.8500000000004</v>
      </c>
    </row>
    <row r="40" spans="1:34">
      <c r="A40" t="s">
        <v>273</v>
      </c>
      <c r="B40" s="1">
        <v>46250</v>
      </c>
      <c r="C40" t="str">
        <f>TEXT(Amazon_Data_Set[[#This Row],[Order Date]],"mmm")</f>
        <v>Aug</v>
      </c>
      <c r="D40" t="s">
        <v>274</v>
      </c>
      <c r="E40" t="s">
        <v>275</v>
      </c>
      <c r="F40" t="s">
        <v>276</v>
      </c>
      <c r="G40" t="s">
        <v>37</v>
      </c>
      <c r="H40" t="s">
        <v>83</v>
      </c>
      <c r="I40" t="s">
        <v>84</v>
      </c>
      <c r="J40" t="s">
        <v>277</v>
      </c>
      <c r="K40" t="s">
        <v>86</v>
      </c>
      <c r="L40" t="s">
        <v>278</v>
      </c>
      <c r="M40" t="s">
        <v>43</v>
      </c>
      <c r="N40" t="s">
        <v>44</v>
      </c>
      <c r="O40" t="s">
        <v>45</v>
      </c>
      <c r="P40">
        <v>1</v>
      </c>
      <c r="Q40">
        <v>695.12</v>
      </c>
      <c r="R40" s="19">
        <v>0</v>
      </c>
      <c r="S40" s="21">
        <v>0</v>
      </c>
      <c r="T40">
        <v>695.12</v>
      </c>
      <c r="U40" s="2">
        <v>695.12</v>
      </c>
      <c r="V40">
        <v>24.06</v>
      </c>
      <c r="W40">
        <v>507.15</v>
      </c>
      <c r="X40" s="2">
        <v>163.91</v>
      </c>
      <c r="Y40">
        <v>0.23580000000000001</v>
      </c>
      <c r="Z40">
        <v>2</v>
      </c>
      <c r="AA40" t="s">
        <v>46</v>
      </c>
      <c r="AB40" t="s">
        <v>47</v>
      </c>
      <c r="AD40">
        <v>4</v>
      </c>
      <c r="AE40" s="2">
        <v>804.76</v>
      </c>
      <c r="AF40">
        <v>0.86380000000000001</v>
      </c>
      <c r="AG40" t="s">
        <v>49</v>
      </c>
      <c r="AH40" s="23">
        <f>SUM(Amazon_Data_Set[[#This Row],[Gross Sales]]-Amazon_Data_Set[[#This Row],[Discount Amount]])</f>
        <v>695.12</v>
      </c>
    </row>
    <row r="41" spans="1:34">
      <c r="A41" t="s">
        <v>279</v>
      </c>
      <c r="B41" s="1">
        <v>46336</v>
      </c>
      <c r="C41" t="str">
        <f>TEXT(Amazon_Data_Set[[#This Row],[Order Date]],"mmm")</f>
        <v>Nov</v>
      </c>
      <c r="D41" t="s">
        <v>280</v>
      </c>
      <c r="E41" t="s">
        <v>100</v>
      </c>
      <c r="F41" t="s">
        <v>179</v>
      </c>
      <c r="G41" t="s">
        <v>54</v>
      </c>
      <c r="H41" t="s">
        <v>38</v>
      </c>
      <c r="I41" t="s">
        <v>39</v>
      </c>
      <c r="J41" t="s">
        <v>281</v>
      </c>
      <c r="K41" t="s">
        <v>282</v>
      </c>
      <c r="L41" t="s">
        <v>283</v>
      </c>
      <c r="M41" t="s">
        <v>43</v>
      </c>
      <c r="N41" t="s">
        <v>70</v>
      </c>
      <c r="O41" t="s">
        <v>45</v>
      </c>
      <c r="P41">
        <v>4</v>
      </c>
      <c r="Q41">
        <v>666.85</v>
      </c>
      <c r="R41" s="19">
        <v>0.2</v>
      </c>
      <c r="S41" s="21">
        <v>533.48</v>
      </c>
      <c r="T41">
        <v>2667.4</v>
      </c>
      <c r="U41" s="2">
        <v>2133.92</v>
      </c>
      <c r="V41">
        <v>41.47</v>
      </c>
      <c r="W41">
        <v>1089.26</v>
      </c>
      <c r="X41" s="2">
        <v>1003.19</v>
      </c>
      <c r="Y41">
        <v>0.47010000000000002</v>
      </c>
      <c r="Z41">
        <v>3</v>
      </c>
      <c r="AA41" t="s">
        <v>46</v>
      </c>
      <c r="AB41" t="s">
        <v>47</v>
      </c>
      <c r="AD41">
        <v>5</v>
      </c>
      <c r="AE41" s="2">
        <v>2150.66</v>
      </c>
      <c r="AF41">
        <v>0.99219999999999997</v>
      </c>
      <c r="AG41" t="s">
        <v>49</v>
      </c>
      <c r="AH41" s="23">
        <f>SUM(Amazon_Data_Set[[#This Row],[Gross Sales]]-Amazon_Data_Set[[#This Row],[Discount Amount]])</f>
        <v>2133.92</v>
      </c>
    </row>
    <row r="42" spans="1:34">
      <c r="A42" t="s">
        <v>284</v>
      </c>
      <c r="B42" s="1">
        <v>46283</v>
      </c>
      <c r="C42" t="str">
        <f>TEXT(Amazon_Data_Set[[#This Row],[Order Date]],"mmm")</f>
        <v>Sep</v>
      </c>
      <c r="D42" t="s">
        <v>285</v>
      </c>
      <c r="E42" t="s">
        <v>35</v>
      </c>
      <c r="F42" t="s">
        <v>36</v>
      </c>
      <c r="G42" t="s">
        <v>37</v>
      </c>
      <c r="H42" t="s">
        <v>90</v>
      </c>
      <c r="I42" t="s">
        <v>252</v>
      </c>
      <c r="J42" t="s">
        <v>253</v>
      </c>
      <c r="K42" t="s">
        <v>254</v>
      </c>
      <c r="L42" t="s">
        <v>286</v>
      </c>
      <c r="M42" t="s">
        <v>43</v>
      </c>
      <c r="N42" t="s">
        <v>70</v>
      </c>
      <c r="O42" t="s">
        <v>45</v>
      </c>
      <c r="P42">
        <v>2</v>
      </c>
      <c r="Q42">
        <v>1357.58</v>
      </c>
      <c r="R42" s="19">
        <v>0.05</v>
      </c>
      <c r="S42" s="21">
        <v>135.76</v>
      </c>
      <c r="T42">
        <v>2715.16</v>
      </c>
      <c r="U42" s="2">
        <v>2579.4</v>
      </c>
      <c r="V42">
        <v>111.21</v>
      </c>
      <c r="W42">
        <v>1528.41</v>
      </c>
      <c r="X42" s="2">
        <v>939.78</v>
      </c>
      <c r="Y42">
        <v>0.36430000000000001</v>
      </c>
      <c r="Z42">
        <v>1</v>
      </c>
      <c r="AA42" t="s">
        <v>46</v>
      </c>
      <c r="AB42" t="s">
        <v>47</v>
      </c>
      <c r="AD42">
        <v>5</v>
      </c>
      <c r="AE42" s="2">
        <v>3017.51</v>
      </c>
      <c r="AF42">
        <v>0.8548</v>
      </c>
      <c r="AG42" t="s">
        <v>49</v>
      </c>
      <c r="AH42" s="23">
        <f>SUM(Amazon_Data_Set[[#This Row],[Gross Sales]]-Amazon_Data_Set[[#This Row],[Discount Amount]])</f>
        <v>2579.3999999999996</v>
      </c>
    </row>
    <row r="43" spans="1:34">
      <c r="A43" t="s">
        <v>287</v>
      </c>
      <c r="B43" s="1">
        <v>46029</v>
      </c>
      <c r="C43" t="str">
        <f>TEXT(Amazon_Data_Set[[#This Row],[Order Date]],"mmm")</f>
        <v>Jan</v>
      </c>
      <c r="D43" t="s">
        <v>288</v>
      </c>
      <c r="E43" t="s">
        <v>118</v>
      </c>
      <c r="F43" t="s">
        <v>119</v>
      </c>
      <c r="G43" t="s">
        <v>82</v>
      </c>
      <c r="H43" t="s">
        <v>83</v>
      </c>
      <c r="I43" t="s">
        <v>84</v>
      </c>
      <c r="J43" t="s">
        <v>85</v>
      </c>
      <c r="K43" t="s">
        <v>86</v>
      </c>
      <c r="L43" t="s">
        <v>289</v>
      </c>
      <c r="M43" t="s">
        <v>106</v>
      </c>
      <c r="N43" t="s">
        <v>124</v>
      </c>
      <c r="O43" t="s">
        <v>45</v>
      </c>
      <c r="P43">
        <v>2</v>
      </c>
      <c r="Q43">
        <v>975.48</v>
      </c>
      <c r="R43" s="19">
        <v>0.25</v>
      </c>
      <c r="S43" s="21">
        <v>487.74</v>
      </c>
      <c r="T43">
        <v>1950.96</v>
      </c>
      <c r="U43" s="2">
        <v>1463.22</v>
      </c>
      <c r="V43">
        <v>89.06</v>
      </c>
      <c r="W43">
        <v>1028.54</v>
      </c>
      <c r="X43" s="2">
        <v>345.62</v>
      </c>
      <c r="Y43">
        <v>0.23619999999999999</v>
      </c>
      <c r="Z43">
        <v>2</v>
      </c>
      <c r="AA43" t="s">
        <v>46</v>
      </c>
      <c r="AB43" t="s">
        <v>47</v>
      </c>
      <c r="AD43">
        <v>4</v>
      </c>
      <c r="AE43" s="2">
        <v>1605.31</v>
      </c>
      <c r="AF43">
        <v>0.91149999999999998</v>
      </c>
      <c r="AG43" t="s">
        <v>49</v>
      </c>
      <c r="AH43" s="23">
        <f>SUM(Amazon_Data_Set[[#This Row],[Gross Sales]]-Amazon_Data_Set[[#This Row],[Discount Amount]])</f>
        <v>1463.22</v>
      </c>
    </row>
    <row r="44" spans="1:34">
      <c r="A44" t="s">
        <v>290</v>
      </c>
      <c r="B44" s="1">
        <v>46226</v>
      </c>
      <c r="C44" t="str">
        <f>TEXT(Amazon_Data_Set[[#This Row],[Order Date]],"mmm")</f>
        <v>Jul</v>
      </c>
      <c r="D44" t="s">
        <v>291</v>
      </c>
      <c r="E44" t="s">
        <v>140</v>
      </c>
      <c r="F44" t="s">
        <v>141</v>
      </c>
      <c r="G44" t="s">
        <v>54</v>
      </c>
      <c r="H44" t="s">
        <v>90</v>
      </c>
      <c r="I44" t="s">
        <v>112</v>
      </c>
      <c r="J44" t="s">
        <v>292</v>
      </c>
      <c r="K44" t="s">
        <v>293</v>
      </c>
      <c r="L44" t="s">
        <v>294</v>
      </c>
      <c r="M44" t="s">
        <v>43</v>
      </c>
      <c r="N44" t="s">
        <v>60</v>
      </c>
      <c r="O44" t="s">
        <v>45</v>
      </c>
      <c r="P44">
        <v>5</v>
      </c>
      <c r="Q44">
        <v>1780.09</v>
      </c>
      <c r="R44" s="19">
        <v>0</v>
      </c>
      <c r="S44" s="21">
        <v>0</v>
      </c>
      <c r="T44">
        <v>8900.4500000000007</v>
      </c>
      <c r="U44" s="2">
        <v>8900.4500000000007</v>
      </c>
      <c r="V44">
        <v>104.09</v>
      </c>
      <c r="W44">
        <v>5129.8500000000004</v>
      </c>
      <c r="X44" s="2">
        <v>3666.51</v>
      </c>
      <c r="Y44">
        <v>0.41189999999999999</v>
      </c>
      <c r="Z44">
        <v>2</v>
      </c>
      <c r="AA44" t="s">
        <v>46</v>
      </c>
      <c r="AB44" t="s">
        <v>47</v>
      </c>
      <c r="AD44">
        <v>5</v>
      </c>
      <c r="AE44" s="2">
        <v>9911.11</v>
      </c>
      <c r="AF44">
        <v>0.89800000000000002</v>
      </c>
      <c r="AG44" t="s">
        <v>49</v>
      </c>
      <c r="AH44" s="23">
        <f>SUM(Amazon_Data_Set[[#This Row],[Gross Sales]]-Amazon_Data_Set[[#This Row],[Discount Amount]])</f>
        <v>8900.4500000000007</v>
      </c>
    </row>
    <row r="45" spans="1:34">
      <c r="A45" t="s">
        <v>295</v>
      </c>
      <c r="B45" s="1">
        <v>46067</v>
      </c>
      <c r="C45" t="str">
        <f>TEXT(Amazon_Data_Set[[#This Row],[Order Date]],"mmm")</f>
        <v>Feb</v>
      </c>
      <c r="D45" t="s">
        <v>296</v>
      </c>
      <c r="E45" t="s">
        <v>275</v>
      </c>
      <c r="F45" t="s">
        <v>276</v>
      </c>
      <c r="G45" t="s">
        <v>37</v>
      </c>
      <c r="H45" t="s">
        <v>38</v>
      </c>
      <c r="I45" t="s">
        <v>161</v>
      </c>
      <c r="J45" t="s">
        <v>297</v>
      </c>
      <c r="K45" t="s">
        <v>298</v>
      </c>
      <c r="L45" t="s">
        <v>299</v>
      </c>
      <c r="M45" t="s">
        <v>43</v>
      </c>
      <c r="N45" t="s">
        <v>77</v>
      </c>
      <c r="O45" t="s">
        <v>45</v>
      </c>
      <c r="P45">
        <v>1</v>
      </c>
      <c r="Q45">
        <v>4337.49</v>
      </c>
      <c r="R45" s="19">
        <v>0.25</v>
      </c>
      <c r="S45" s="21">
        <v>1084.3699999999999</v>
      </c>
      <c r="T45">
        <v>4337.49</v>
      </c>
      <c r="U45" s="2">
        <v>3253.12</v>
      </c>
      <c r="V45">
        <v>188.4</v>
      </c>
      <c r="W45">
        <v>1689.29</v>
      </c>
      <c r="X45" s="2">
        <v>1375.43</v>
      </c>
      <c r="Y45">
        <v>0.42280000000000001</v>
      </c>
      <c r="Z45">
        <v>8</v>
      </c>
      <c r="AA45" t="s">
        <v>61</v>
      </c>
      <c r="AB45" t="s">
        <v>47</v>
      </c>
      <c r="AD45">
        <v>3</v>
      </c>
      <c r="AE45" s="2">
        <v>3413.01</v>
      </c>
      <c r="AF45">
        <v>0.95320000000000005</v>
      </c>
      <c r="AG45" t="s">
        <v>49</v>
      </c>
      <c r="AH45" s="23">
        <f>SUM(Amazon_Data_Set[[#This Row],[Gross Sales]]-Amazon_Data_Set[[#This Row],[Discount Amount]])</f>
        <v>3253.12</v>
      </c>
    </row>
    <row r="46" spans="1:34">
      <c r="A46" t="s">
        <v>300</v>
      </c>
      <c r="B46" s="1">
        <v>46387</v>
      </c>
      <c r="C46" t="str">
        <f>TEXT(Amazon_Data_Set[[#This Row],[Order Date]],"mmm")</f>
        <v>Dec</v>
      </c>
      <c r="D46" t="s">
        <v>301</v>
      </c>
      <c r="E46" t="s">
        <v>167</v>
      </c>
      <c r="F46" t="s">
        <v>168</v>
      </c>
      <c r="G46" t="s">
        <v>111</v>
      </c>
      <c r="H46" t="s">
        <v>55</v>
      </c>
      <c r="I46" t="s">
        <v>120</v>
      </c>
      <c r="J46" t="s">
        <v>127</v>
      </c>
      <c r="K46" t="s">
        <v>128</v>
      </c>
      <c r="L46" t="s">
        <v>302</v>
      </c>
      <c r="M46" t="s">
        <v>43</v>
      </c>
      <c r="N46" t="s">
        <v>95</v>
      </c>
      <c r="O46" t="s">
        <v>45</v>
      </c>
      <c r="P46">
        <v>1</v>
      </c>
      <c r="Q46">
        <v>49311.26</v>
      </c>
      <c r="R46" s="19">
        <v>0.15</v>
      </c>
      <c r="S46" s="21">
        <v>7396.69</v>
      </c>
      <c r="T46">
        <v>49311.26</v>
      </c>
      <c r="U46" s="2">
        <v>41914.57</v>
      </c>
      <c r="V46">
        <v>64.53</v>
      </c>
      <c r="W46">
        <v>30197.759999999998</v>
      </c>
      <c r="X46" s="2">
        <v>11652.28</v>
      </c>
      <c r="Y46">
        <v>0.27800000000000002</v>
      </c>
      <c r="Z46">
        <v>4</v>
      </c>
      <c r="AA46" t="s">
        <v>46</v>
      </c>
      <c r="AB46" t="s">
        <v>47</v>
      </c>
      <c r="AD46">
        <v>5</v>
      </c>
      <c r="AE46" s="2">
        <v>42509.61</v>
      </c>
      <c r="AF46">
        <v>0.98599999999999999</v>
      </c>
      <c r="AG46" t="s">
        <v>49</v>
      </c>
      <c r="AH46" s="23">
        <f>SUM(Amazon_Data_Set[[#This Row],[Gross Sales]]-Amazon_Data_Set[[#This Row],[Discount Amount]])</f>
        <v>41914.57</v>
      </c>
    </row>
    <row r="47" spans="1:34">
      <c r="A47" t="s">
        <v>303</v>
      </c>
      <c r="B47" s="1">
        <v>46291</v>
      </c>
      <c r="C47" t="str">
        <f>TEXT(Amazon_Data_Set[[#This Row],[Order Date]],"mmm")</f>
        <v>Sep</v>
      </c>
      <c r="D47" t="s">
        <v>304</v>
      </c>
      <c r="E47" t="s">
        <v>167</v>
      </c>
      <c r="F47" t="s">
        <v>168</v>
      </c>
      <c r="G47" t="s">
        <v>111</v>
      </c>
      <c r="H47" t="s">
        <v>142</v>
      </c>
      <c r="I47" t="s">
        <v>209</v>
      </c>
      <c r="J47" t="s">
        <v>210</v>
      </c>
      <c r="K47" t="s">
        <v>201</v>
      </c>
      <c r="L47" t="s">
        <v>305</v>
      </c>
      <c r="M47" t="s">
        <v>106</v>
      </c>
      <c r="N47" t="s">
        <v>95</v>
      </c>
      <c r="O47" t="s">
        <v>45</v>
      </c>
      <c r="P47">
        <v>5</v>
      </c>
      <c r="Q47">
        <v>1231.22</v>
      </c>
      <c r="R47" s="19">
        <v>0.3</v>
      </c>
      <c r="S47" s="21">
        <v>1846.83</v>
      </c>
      <c r="T47">
        <v>6156.1</v>
      </c>
      <c r="U47" s="2">
        <v>4309.2700000000004</v>
      </c>
      <c r="V47">
        <v>72.53</v>
      </c>
      <c r="W47">
        <v>3023.11</v>
      </c>
      <c r="X47" s="2">
        <v>1213.6300000000001</v>
      </c>
      <c r="Y47">
        <v>0.28160000000000002</v>
      </c>
      <c r="Z47">
        <v>4</v>
      </c>
      <c r="AA47" t="s">
        <v>46</v>
      </c>
      <c r="AB47" t="s">
        <v>47</v>
      </c>
      <c r="AD47">
        <v>5</v>
      </c>
      <c r="AE47" s="2">
        <v>4424.3599999999997</v>
      </c>
      <c r="AF47">
        <v>0.97399999999999998</v>
      </c>
      <c r="AG47" t="s">
        <v>49</v>
      </c>
      <c r="AH47" s="23">
        <f>SUM(Amazon_Data_Set[[#This Row],[Gross Sales]]-Amazon_Data_Set[[#This Row],[Discount Amount]])</f>
        <v>4309.2700000000004</v>
      </c>
    </row>
    <row r="48" spans="1:34">
      <c r="A48" t="s">
        <v>306</v>
      </c>
      <c r="B48" s="1">
        <v>46195</v>
      </c>
      <c r="C48" t="str">
        <f>TEXT(Amazon_Data_Set[[#This Row],[Order Date]],"mmm")</f>
        <v>Jun</v>
      </c>
      <c r="D48" t="s">
        <v>307</v>
      </c>
      <c r="E48" t="s">
        <v>35</v>
      </c>
      <c r="F48" t="s">
        <v>36</v>
      </c>
      <c r="G48" t="s">
        <v>37</v>
      </c>
      <c r="H48" t="s">
        <v>142</v>
      </c>
      <c r="I48" t="s">
        <v>214</v>
      </c>
      <c r="J48" t="s">
        <v>308</v>
      </c>
      <c r="K48" t="s">
        <v>309</v>
      </c>
      <c r="L48" t="s">
        <v>310</v>
      </c>
      <c r="M48" t="s">
        <v>43</v>
      </c>
      <c r="N48" t="s">
        <v>70</v>
      </c>
      <c r="O48" t="s">
        <v>45</v>
      </c>
      <c r="P48">
        <v>4</v>
      </c>
      <c r="Q48">
        <v>5108.8599999999997</v>
      </c>
      <c r="R48" s="19">
        <v>0.25</v>
      </c>
      <c r="S48" s="21">
        <v>5108.8599999999997</v>
      </c>
      <c r="T48">
        <v>20435.439999999999</v>
      </c>
      <c r="U48" s="2">
        <v>15326.58</v>
      </c>
      <c r="V48">
        <v>168.91</v>
      </c>
      <c r="W48">
        <v>11842.94</v>
      </c>
      <c r="X48" s="2">
        <v>3314.73</v>
      </c>
      <c r="Y48">
        <v>0.21629999999999999</v>
      </c>
      <c r="Z48">
        <v>8</v>
      </c>
      <c r="AA48" t="s">
        <v>61</v>
      </c>
      <c r="AB48" t="s">
        <v>47</v>
      </c>
      <c r="AD48">
        <v>5</v>
      </c>
      <c r="AE48" s="2">
        <v>15223.96</v>
      </c>
      <c r="AF48">
        <v>1.0066999999999999</v>
      </c>
      <c r="AG48" t="s">
        <v>49</v>
      </c>
      <c r="AH48" s="23">
        <f>SUM(Amazon_Data_Set[[#This Row],[Gross Sales]]-Amazon_Data_Set[[#This Row],[Discount Amount]])</f>
        <v>15326.579999999998</v>
      </c>
    </row>
    <row r="49" spans="1:34">
      <c r="A49" t="s">
        <v>311</v>
      </c>
      <c r="B49" s="1">
        <v>46331</v>
      </c>
      <c r="C49" t="str">
        <f>TEXT(Amazon_Data_Set[[#This Row],[Order Date]],"mmm")</f>
        <v>Nov</v>
      </c>
      <c r="D49" t="s">
        <v>312</v>
      </c>
      <c r="E49" t="s">
        <v>52</v>
      </c>
      <c r="F49" t="s">
        <v>53</v>
      </c>
      <c r="G49" t="s">
        <v>54</v>
      </c>
      <c r="H49" t="s">
        <v>90</v>
      </c>
      <c r="I49" t="s">
        <v>91</v>
      </c>
      <c r="J49" t="s">
        <v>313</v>
      </c>
      <c r="K49" t="s">
        <v>314</v>
      </c>
      <c r="L49" t="s">
        <v>315</v>
      </c>
      <c r="M49" t="s">
        <v>43</v>
      </c>
      <c r="N49" t="s">
        <v>124</v>
      </c>
      <c r="O49" t="s">
        <v>96</v>
      </c>
      <c r="P49">
        <v>1</v>
      </c>
      <c r="Q49">
        <v>1153.6300000000001</v>
      </c>
      <c r="R49" s="19">
        <v>0.25</v>
      </c>
      <c r="S49" s="21">
        <v>288.41000000000003</v>
      </c>
      <c r="T49">
        <v>1153.6300000000001</v>
      </c>
      <c r="U49" s="2">
        <v>865.22</v>
      </c>
      <c r="V49">
        <v>65.41</v>
      </c>
      <c r="W49">
        <v>493.18</v>
      </c>
      <c r="X49" s="2">
        <v>306.63</v>
      </c>
      <c r="Y49">
        <v>0.35439999999999999</v>
      </c>
      <c r="Z49">
        <v>0</v>
      </c>
      <c r="AA49" t="s">
        <v>97</v>
      </c>
      <c r="AB49" t="s">
        <v>47</v>
      </c>
      <c r="AE49" s="2">
        <v>824.51</v>
      </c>
      <c r="AF49">
        <v>1.0494000000000001</v>
      </c>
      <c r="AG49" t="s">
        <v>49</v>
      </c>
      <c r="AH49" s="23">
        <f>SUM(Amazon_Data_Set[[#This Row],[Gross Sales]]-Amazon_Data_Set[[#This Row],[Discount Amount]])</f>
        <v>865.22</v>
      </c>
    </row>
    <row r="50" spans="1:34">
      <c r="A50" t="s">
        <v>316</v>
      </c>
      <c r="B50" s="1">
        <v>46297</v>
      </c>
      <c r="C50" t="str">
        <f>TEXT(Amazon_Data_Set[[#This Row],[Order Date]],"mmm")</f>
        <v>Oct</v>
      </c>
      <c r="D50" t="s">
        <v>317</v>
      </c>
      <c r="E50" t="s">
        <v>52</v>
      </c>
      <c r="F50" t="s">
        <v>53</v>
      </c>
      <c r="G50" t="s">
        <v>54</v>
      </c>
      <c r="H50" t="s">
        <v>38</v>
      </c>
      <c r="I50" t="s">
        <v>66</v>
      </c>
      <c r="J50" t="s">
        <v>318</v>
      </c>
      <c r="K50" t="s">
        <v>282</v>
      </c>
      <c r="L50" t="s">
        <v>319</v>
      </c>
      <c r="M50" t="s">
        <v>106</v>
      </c>
      <c r="N50" t="s">
        <v>70</v>
      </c>
      <c r="O50" t="s">
        <v>45</v>
      </c>
      <c r="P50">
        <v>2</v>
      </c>
      <c r="Q50">
        <v>447.09</v>
      </c>
      <c r="R50" s="19">
        <v>0</v>
      </c>
      <c r="S50" s="21">
        <v>0</v>
      </c>
      <c r="T50">
        <v>894.18</v>
      </c>
      <c r="U50" s="2">
        <v>894.18</v>
      </c>
      <c r="V50">
        <v>226.96</v>
      </c>
      <c r="W50">
        <v>642.26</v>
      </c>
      <c r="X50" s="2">
        <v>24.96</v>
      </c>
      <c r="Y50">
        <v>2.7900000000000001E-2</v>
      </c>
      <c r="Z50">
        <v>7</v>
      </c>
      <c r="AA50" t="s">
        <v>61</v>
      </c>
      <c r="AB50" t="s">
        <v>48</v>
      </c>
      <c r="AC50" t="s">
        <v>320</v>
      </c>
      <c r="AD50">
        <v>5</v>
      </c>
      <c r="AE50" s="2">
        <v>1023.21</v>
      </c>
      <c r="AF50">
        <v>0.87390000000000001</v>
      </c>
      <c r="AG50" t="s">
        <v>49</v>
      </c>
      <c r="AH50" s="23">
        <f>SUM(Amazon_Data_Set[[#This Row],[Gross Sales]]-Amazon_Data_Set[[#This Row],[Discount Amount]])</f>
        <v>894.18</v>
      </c>
    </row>
    <row r="51" spans="1:34">
      <c r="A51" t="s">
        <v>321</v>
      </c>
      <c r="B51" s="1">
        <v>46159</v>
      </c>
      <c r="C51" t="str">
        <f>TEXT(Amazon_Data_Set[[#This Row],[Order Date]],"mmm")</f>
        <v>May</v>
      </c>
      <c r="D51" t="s">
        <v>322</v>
      </c>
      <c r="E51" t="s">
        <v>167</v>
      </c>
      <c r="F51" t="s">
        <v>168</v>
      </c>
      <c r="G51" t="s">
        <v>111</v>
      </c>
      <c r="H51" t="s">
        <v>55</v>
      </c>
      <c r="I51" t="s">
        <v>73</v>
      </c>
      <c r="J51" t="s">
        <v>74</v>
      </c>
      <c r="K51" t="s">
        <v>75</v>
      </c>
      <c r="L51" t="s">
        <v>323</v>
      </c>
      <c r="M51" t="s">
        <v>106</v>
      </c>
      <c r="N51" t="s">
        <v>77</v>
      </c>
      <c r="O51" t="s">
        <v>45</v>
      </c>
      <c r="P51">
        <v>5</v>
      </c>
      <c r="Q51">
        <v>13606.51</v>
      </c>
      <c r="R51" s="19">
        <v>0.3</v>
      </c>
      <c r="S51" s="21">
        <v>20409.759999999998</v>
      </c>
      <c r="T51">
        <v>68032.55</v>
      </c>
      <c r="U51" s="2">
        <v>47622.79</v>
      </c>
      <c r="V51">
        <v>110.27</v>
      </c>
      <c r="W51">
        <v>31944.84</v>
      </c>
      <c r="X51" s="2">
        <v>15567.68</v>
      </c>
      <c r="Y51">
        <v>0.32690000000000002</v>
      </c>
      <c r="Z51">
        <v>5</v>
      </c>
      <c r="AA51" t="s">
        <v>61</v>
      </c>
      <c r="AB51" t="s">
        <v>47</v>
      </c>
      <c r="AD51">
        <v>3</v>
      </c>
      <c r="AE51" s="2">
        <v>48665.760000000002</v>
      </c>
      <c r="AF51">
        <v>0.97860000000000003</v>
      </c>
      <c r="AG51" t="s">
        <v>49</v>
      </c>
      <c r="AH51" s="23">
        <f>SUM(Amazon_Data_Set[[#This Row],[Gross Sales]]-Amazon_Data_Set[[#This Row],[Discount Amount]])</f>
        <v>47622.790000000008</v>
      </c>
    </row>
    <row r="52" spans="1:34">
      <c r="A52" t="s">
        <v>324</v>
      </c>
      <c r="B52" s="1">
        <v>46075</v>
      </c>
      <c r="C52" t="str">
        <f>TEXT(Amazon_Data_Set[[#This Row],[Order Date]],"mmm")</f>
        <v>Feb</v>
      </c>
      <c r="D52" t="s">
        <v>325</v>
      </c>
      <c r="E52" t="s">
        <v>167</v>
      </c>
      <c r="F52" t="s">
        <v>168</v>
      </c>
      <c r="G52" t="s">
        <v>111</v>
      </c>
      <c r="H52" t="s">
        <v>83</v>
      </c>
      <c r="I52" t="s">
        <v>102</v>
      </c>
      <c r="J52" t="s">
        <v>259</v>
      </c>
      <c r="K52" t="s">
        <v>260</v>
      </c>
      <c r="L52" t="s">
        <v>326</v>
      </c>
      <c r="M52" t="s">
        <v>106</v>
      </c>
      <c r="N52" t="s">
        <v>95</v>
      </c>
      <c r="O52" t="s">
        <v>45</v>
      </c>
      <c r="P52">
        <v>4</v>
      </c>
      <c r="Q52">
        <v>2362.92</v>
      </c>
      <c r="R52" s="19">
        <v>0</v>
      </c>
      <c r="S52" s="21">
        <v>0</v>
      </c>
      <c r="T52">
        <v>9451.68</v>
      </c>
      <c r="U52" s="2">
        <v>9451.68</v>
      </c>
      <c r="V52">
        <v>91.76</v>
      </c>
      <c r="W52">
        <v>6436.66</v>
      </c>
      <c r="X52" s="2">
        <v>2923.26</v>
      </c>
      <c r="Y52">
        <v>0.30930000000000002</v>
      </c>
      <c r="Z52">
        <v>4</v>
      </c>
      <c r="AA52" t="s">
        <v>46</v>
      </c>
      <c r="AB52" t="s">
        <v>47</v>
      </c>
      <c r="AD52">
        <v>4</v>
      </c>
      <c r="AE52" s="2">
        <v>9181.8700000000008</v>
      </c>
      <c r="AF52">
        <v>1.0294000000000001</v>
      </c>
      <c r="AG52" t="s">
        <v>49</v>
      </c>
      <c r="AH52" s="23">
        <f>SUM(Amazon_Data_Set[[#This Row],[Gross Sales]]-Amazon_Data_Set[[#This Row],[Discount Amount]])</f>
        <v>9451.68</v>
      </c>
    </row>
    <row r="53" spans="1:34">
      <c r="A53" t="s">
        <v>327</v>
      </c>
      <c r="B53" s="1">
        <v>46152</v>
      </c>
      <c r="C53" t="str">
        <f>TEXT(Amazon_Data_Set[[#This Row],[Order Date]],"mmm")</f>
        <v>May</v>
      </c>
      <c r="D53" t="s">
        <v>328</v>
      </c>
      <c r="E53" t="s">
        <v>140</v>
      </c>
      <c r="F53" t="s">
        <v>141</v>
      </c>
      <c r="G53" t="s">
        <v>54</v>
      </c>
      <c r="H53" t="s">
        <v>142</v>
      </c>
      <c r="I53" t="s">
        <v>143</v>
      </c>
      <c r="J53" t="s">
        <v>200</v>
      </c>
      <c r="K53" t="s">
        <v>201</v>
      </c>
      <c r="L53" t="s">
        <v>329</v>
      </c>
      <c r="M53" t="s">
        <v>43</v>
      </c>
      <c r="N53" t="s">
        <v>77</v>
      </c>
      <c r="O53" t="s">
        <v>45</v>
      </c>
      <c r="P53">
        <v>4</v>
      </c>
      <c r="Q53">
        <v>2147.54</v>
      </c>
      <c r="R53" s="19">
        <v>0.1</v>
      </c>
      <c r="S53" s="21">
        <v>859.02</v>
      </c>
      <c r="T53">
        <v>8590.16</v>
      </c>
      <c r="U53" s="2">
        <v>7731.14</v>
      </c>
      <c r="V53">
        <v>190.02</v>
      </c>
      <c r="W53">
        <v>5886.62</v>
      </c>
      <c r="X53" s="2">
        <v>1654.5</v>
      </c>
      <c r="Y53">
        <v>0.214</v>
      </c>
      <c r="Z53">
        <v>2</v>
      </c>
      <c r="AA53" t="s">
        <v>46</v>
      </c>
      <c r="AB53" t="s">
        <v>47</v>
      </c>
      <c r="AD53">
        <v>5</v>
      </c>
      <c r="AE53" s="2">
        <v>8498.7199999999993</v>
      </c>
      <c r="AF53">
        <v>0.90969999999999995</v>
      </c>
      <c r="AG53" t="s">
        <v>49</v>
      </c>
      <c r="AH53" s="23">
        <f>SUM(Amazon_Data_Set[[#This Row],[Gross Sales]]-Amazon_Data_Set[[#This Row],[Discount Amount]])</f>
        <v>7731.1399999999994</v>
      </c>
    </row>
    <row r="54" spans="1:34">
      <c r="A54" t="s">
        <v>330</v>
      </c>
      <c r="B54" s="1">
        <v>46100</v>
      </c>
      <c r="C54" t="str">
        <f>TEXT(Amazon_Data_Set[[#This Row],[Order Date]],"mmm")</f>
        <v>Mar</v>
      </c>
      <c r="D54" t="s">
        <v>331</v>
      </c>
      <c r="E54" t="s">
        <v>149</v>
      </c>
      <c r="F54" t="s">
        <v>150</v>
      </c>
      <c r="G54" t="s">
        <v>37</v>
      </c>
      <c r="H54" t="s">
        <v>83</v>
      </c>
      <c r="I54" t="s">
        <v>84</v>
      </c>
      <c r="J54" t="s">
        <v>332</v>
      </c>
      <c r="K54" t="s">
        <v>333</v>
      </c>
      <c r="L54" t="s">
        <v>334</v>
      </c>
      <c r="M54" t="s">
        <v>106</v>
      </c>
      <c r="N54" t="s">
        <v>77</v>
      </c>
      <c r="O54" t="s">
        <v>45</v>
      </c>
      <c r="P54">
        <v>2</v>
      </c>
      <c r="Q54">
        <v>430.38</v>
      </c>
      <c r="R54" s="19">
        <v>0.15</v>
      </c>
      <c r="S54" s="21">
        <v>129.11000000000001</v>
      </c>
      <c r="T54">
        <v>860.76</v>
      </c>
      <c r="U54" s="2">
        <v>731.65</v>
      </c>
      <c r="V54">
        <v>241.91</v>
      </c>
      <c r="W54">
        <v>531.64</v>
      </c>
      <c r="X54" s="2">
        <v>-41.9</v>
      </c>
      <c r="Y54">
        <v>-5.7299999999999997E-2</v>
      </c>
      <c r="Z54">
        <v>8</v>
      </c>
      <c r="AA54" t="s">
        <v>61</v>
      </c>
      <c r="AB54" t="s">
        <v>47</v>
      </c>
      <c r="AD54">
        <v>4</v>
      </c>
      <c r="AE54" s="2">
        <v>906.19</v>
      </c>
      <c r="AF54">
        <v>0.80740000000000001</v>
      </c>
      <c r="AG54" t="s">
        <v>49</v>
      </c>
      <c r="AH54" s="23">
        <f>SUM(Amazon_Data_Set[[#This Row],[Gross Sales]]-Amazon_Data_Set[[#This Row],[Discount Amount]])</f>
        <v>731.65</v>
      </c>
    </row>
    <row r="55" spans="1:34">
      <c r="A55" t="s">
        <v>335</v>
      </c>
      <c r="B55" s="1">
        <v>46028</v>
      </c>
      <c r="C55" t="str">
        <f>TEXT(Amazon_Data_Set[[#This Row],[Order Date]],"mmm")</f>
        <v>Jan</v>
      </c>
      <c r="D55" t="s">
        <v>336</v>
      </c>
      <c r="E55" t="s">
        <v>52</v>
      </c>
      <c r="F55" t="s">
        <v>53</v>
      </c>
      <c r="G55" t="s">
        <v>54</v>
      </c>
      <c r="H55" t="s">
        <v>38</v>
      </c>
      <c r="I55" t="s">
        <v>66</v>
      </c>
      <c r="J55" t="s">
        <v>337</v>
      </c>
      <c r="K55" t="s">
        <v>224</v>
      </c>
      <c r="L55" t="s">
        <v>338</v>
      </c>
      <c r="M55" t="s">
        <v>43</v>
      </c>
      <c r="N55" t="s">
        <v>124</v>
      </c>
      <c r="O55" t="s">
        <v>96</v>
      </c>
      <c r="P55">
        <v>3</v>
      </c>
      <c r="Q55">
        <v>415.65</v>
      </c>
      <c r="R55" s="19">
        <v>0.3</v>
      </c>
      <c r="S55" s="21">
        <v>374.08</v>
      </c>
      <c r="T55">
        <v>1246.95</v>
      </c>
      <c r="U55" s="2">
        <v>872.87</v>
      </c>
      <c r="V55">
        <v>244.67</v>
      </c>
      <c r="W55">
        <v>638.49</v>
      </c>
      <c r="X55" s="2">
        <v>-10.29</v>
      </c>
      <c r="Y55">
        <v>-1.18E-2</v>
      </c>
      <c r="Z55">
        <v>0</v>
      </c>
      <c r="AA55" t="s">
        <v>97</v>
      </c>
      <c r="AB55" t="s">
        <v>47</v>
      </c>
      <c r="AE55" s="2">
        <v>858.68</v>
      </c>
      <c r="AF55">
        <v>1.0165</v>
      </c>
      <c r="AG55" t="s">
        <v>49</v>
      </c>
      <c r="AH55" s="23">
        <f>SUM(Amazon_Data_Set[[#This Row],[Gross Sales]]-Amazon_Data_Set[[#This Row],[Discount Amount]])</f>
        <v>872.87000000000012</v>
      </c>
    </row>
    <row r="56" spans="1:34">
      <c r="A56" t="s">
        <v>339</v>
      </c>
      <c r="B56" s="1">
        <v>46198</v>
      </c>
      <c r="C56" t="str">
        <f>TEXT(Amazon_Data_Set[[#This Row],[Order Date]],"mmm")</f>
        <v>Jun</v>
      </c>
      <c r="D56" t="s">
        <v>340</v>
      </c>
      <c r="E56" t="s">
        <v>275</v>
      </c>
      <c r="F56" t="s">
        <v>276</v>
      </c>
      <c r="G56" t="s">
        <v>37</v>
      </c>
      <c r="H56" t="s">
        <v>90</v>
      </c>
      <c r="I56" t="s">
        <v>112</v>
      </c>
      <c r="J56" t="s">
        <v>292</v>
      </c>
      <c r="K56" t="s">
        <v>293</v>
      </c>
      <c r="L56" t="s">
        <v>341</v>
      </c>
      <c r="M56" t="s">
        <v>43</v>
      </c>
      <c r="N56" t="s">
        <v>95</v>
      </c>
      <c r="O56" t="s">
        <v>96</v>
      </c>
      <c r="P56">
        <v>5</v>
      </c>
      <c r="Q56">
        <v>332.49</v>
      </c>
      <c r="R56" s="19">
        <v>0.25</v>
      </c>
      <c r="S56" s="21">
        <v>415.61</v>
      </c>
      <c r="T56">
        <v>1662.45</v>
      </c>
      <c r="U56" s="2">
        <v>1246.8399999999999</v>
      </c>
      <c r="V56">
        <v>134.32</v>
      </c>
      <c r="W56">
        <v>883.93</v>
      </c>
      <c r="X56" s="2">
        <v>228.59</v>
      </c>
      <c r="Y56">
        <v>0.18329999999999999</v>
      </c>
      <c r="Z56">
        <v>0</v>
      </c>
      <c r="AA56" t="s">
        <v>97</v>
      </c>
      <c r="AB56" t="s">
        <v>47</v>
      </c>
      <c r="AE56" s="2">
        <v>1382.83</v>
      </c>
      <c r="AF56">
        <v>0.90169999999999995</v>
      </c>
      <c r="AG56" t="s">
        <v>49</v>
      </c>
      <c r="AH56" s="23">
        <f>SUM(Amazon_Data_Set[[#This Row],[Gross Sales]]-Amazon_Data_Set[[#This Row],[Discount Amount]])</f>
        <v>1246.8400000000001</v>
      </c>
    </row>
    <row r="57" spans="1:34">
      <c r="A57" t="s">
        <v>342</v>
      </c>
      <c r="B57" s="1">
        <v>46229</v>
      </c>
      <c r="C57" t="str">
        <f>TEXT(Amazon_Data_Set[[#This Row],[Order Date]],"mmm")</f>
        <v>Jul</v>
      </c>
      <c r="D57" t="s">
        <v>343</v>
      </c>
      <c r="E57" t="s">
        <v>52</v>
      </c>
      <c r="F57" t="s">
        <v>53</v>
      </c>
      <c r="G57" t="s">
        <v>54</v>
      </c>
      <c r="H57" t="s">
        <v>55</v>
      </c>
      <c r="I57" t="s">
        <v>120</v>
      </c>
      <c r="J57" t="s">
        <v>344</v>
      </c>
      <c r="K57" t="s">
        <v>345</v>
      </c>
      <c r="L57" t="s">
        <v>346</v>
      </c>
      <c r="M57" t="s">
        <v>106</v>
      </c>
      <c r="N57" t="s">
        <v>77</v>
      </c>
      <c r="O57" t="s">
        <v>96</v>
      </c>
      <c r="P57">
        <v>2</v>
      </c>
      <c r="Q57">
        <v>14188.9</v>
      </c>
      <c r="R57" s="19">
        <v>0.1</v>
      </c>
      <c r="S57" s="21">
        <v>2837.78</v>
      </c>
      <c r="T57">
        <v>28377.8</v>
      </c>
      <c r="U57" s="2">
        <v>25540.02</v>
      </c>
      <c r="V57">
        <v>69.569999999999993</v>
      </c>
      <c r="W57">
        <v>13894.13</v>
      </c>
      <c r="X57" s="2">
        <v>11576.32</v>
      </c>
      <c r="Y57">
        <v>0.45329999999999998</v>
      </c>
      <c r="Z57">
        <v>0</v>
      </c>
      <c r="AA57" t="s">
        <v>97</v>
      </c>
      <c r="AB57" t="s">
        <v>47</v>
      </c>
      <c r="AE57" s="2">
        <v>21800.51</v>
      </c>
      <c r="AF57">
        <v>1.1715</v>
      </c>
      <c r="AG57" t="s">
        <v>347</v>
      </c>
      <c r="AH57" s="23">
        <f>SUM(Amazon_Data_Set[[#This Row],[Gross Sales]]-Amazon_Data_Set[[#This Row],[Discount Amount]])</f>
        <v>25540.02</v>
      </c>
    </row>
    <row r="58" spans="1:34">
      <c r="A58" t="s">
        <v>348</v>
      </c>
      <c r="B58" s="1">
        <v>46114</v>
      </c>
      <c r="C58" t="str">
        <f>TEXT(Amazon_Data_Set[[#This Row],[Order Date]],"mmm")</f>
        <v>Apr</v>
      </c>
      <c r="D58" t="s">
        <v>349</v>
      </c>
      <c r="E58" t="s">
        <v>149</v>
      </c>
      <c r="F58" t="s">
        <v>150</v>
      </c>
      <c r="G58" t="s">
        <v>37</v>
      </c>
      <c r="H58" t="s">
        <v>142</v>
      </c>
      <c r="I58" t="s">
        <v>214</v>
      </c>
      <c r="J58" t="s">
        <v>350</v>
      </c>
      <c r="K58" t="s">
        <v>351</v>
      </c>
      <c r="L58" t="s">
        <v>352</v>
      </c>
      <c r="M58" t="s">
        <v>106</v>
      </c>
      <c r="N58" t="s">
        <v>70</v>
      </c>
      <c r="O58" t="s">
        <v>45</v>
      </c>
      <c r="P58">
        <v>5</v>
      </c>
      <c r="Q58">
        <v>2849.25</v>
      </c>
      <c r="R58" s="19">
        <v>0</v>
      </c>
      <c r="S58" s="21">
        <v>0</v>
      </c>
      <c r="T58">
        <v>14246.25</v>
      </c>
      <c r="U58" s="2">
        <v>14246.25</v>
      </c>
      <c r="V58">
        <v>99.14</v>
      </c>
      <c r="W58">
        <v>10468.18</v>
      </c>
      <c r="X58" s="2">
        <v>3678.93</v>
      </c>
      <c r="Y58">
        <v>0.25819999999999999</v>
      </c>
      <c r="Z58">
        <v>8</v>
      </c>
      <c r="AA58" t="s">
        <v>61</v>
      </c>
      <c r="AB58" t="s">
        <v>47</v>
      </c>
      <c r="AD58">
        <v>4</v>
      </c>
      <c r="AE58" s="2">
        <v>16278</v>
      </c>
      <c r="AF58">
        <v>0.87519999999999998</v>
      </c>
      <c r="AG58" t="s">
        <v>49</v>
      </c>
      <c r="AH58" s="23">
        <f>SUM(Amazon_Data_Set[[#This Row],[Gross Sales]]-Amazon_Data_Set[[#This Row],[Discount Amount]])</f>
        <v>14246.25</v>
      </c>
    </row>
    <row r="59" spans="1:34">
      <c r="A59" t="s">
        <v>353</v>
      </c>
      <c r="B59" s="1">
        <v>46138</v>
      </c>
      <c r="C59" t="str">
        <f>TEXT(Amazon_Data_Set[[#This Row],[Order Date]],"mmm")</f>
        <v>Apr</v>
      </c>
      <c r="D59" t="s">
        <v>354</v>
      </c>
      <c r="E59" t="s">
        <v>149</v>
      </c>
      <c r="F59" t="s">
        <v>150</v>
      </c>
      <c r="G59" t="s">
        <v>37</v>
      </c>
      <c r="H59" t="s">
        <v>83</v>
      </c>
      <c r="I59" t="s">
        <v>188</v>
      </c>
      <c r="J59" t="s">
        <v>189</v>
      </c>
      <c r="K59" t="s">
        <v>190</v>
      </c>
      <c r="L59" t="s">
        <v>355</v>
      </c>
      <c r="M59" t="s">
        <v>43</v>
      </c>
      <c r="N59" t="s">
        <v>124</v>
      </c>
      <c r="O59" t="s">
        <v>45</v>
      </c>
      <c r="P59">
        <v>3</v>
      </c>
      <c r="Q59">
        <v>1920.59</v>
      </c>
      <c r="R59" s="19">
        <v>0.15</v>
      </c>
      <c r="S59" s="21">
        <v>864.27</v>
      </c>
      <c r="T59">
        <v>5761.77</v>
      </c>
      <c r="U59" s="2">
        <v>4897.5</v>
      </c>
      <c r="V59">
        <v>173.52</v>
      </c>
      <c r="W59">
        <v>3277.6</v>
      </c>
      <c r="X59" s="2">
        <v>1446.38</v>
      </c>
      <c r="Y59">
        <v>0.29530000000000001</v>
      </c>
      <c r="Z59">
        <v>8</v>
      </c>
      <c r="AA59" t="s">
        <v>61</v>
      </c>
      <c r="AB59" t="s">
        <v>47</v>
      </c>
      <c r="AD59">
        <v>5</v>
      </c>
      <c r="AE59" s="2">
        <v>5653.33</v>
      </c>
      <c r="AF59">
        <v>0.86629999999999996</v>
      </c>
      <c r="AG59" t="s">
        <v>49</v>
      </c>
      <c r="AH59" s="23">
        <f>SUM(Amazon_Data_Set[[#This Row],[Gross Sales]]-Amazon_Data_Set[[#This Row],[Discount Amount]])</f>
        <v>4897.5</v>
      </c>
    </row>
    <row r="60" spans="1:34">
      <c r="A60" t="s">
        <v>356</v>
      </c>
      <c r="B60" s="1">
        <v>46290</v>
      </c>
      <c r="C60" t="str">
        <f>TEXT(Amazon_Data_Set[[#This Row],[Order Date]],"mmm")</f>
        <v>Sep</v>
      </c>
      <c r="D60" t="s">
        <v>357</v>
      </c>
      <c r="E60" t="s">
        <v>109</v>
      </c>
      <c r="F60" t="s">
        <v>154</v>
      </c>
      <c r="G60" t="s">
        <v>111</v>
      </c>
      <c r="H60" t="s">
        <v>142</v>
      </c>
      <c r="I60" t="s">
        <v>143</v>
      </c>
      <c r="J60" t="s">
        <v>183</v>
      </c>
      <c r="K60" t="s">
        <v>184</v>
      </c>
      <c r="L60" t="s">
        <v>358</v>
      </c>
      <c r="M60" t="s">
        <v>43</v>
      </c>
      <c r="N60" t="s">
        <v>124</v>
      </c>
      <c r="O60" t="s">
        <v>45</v>
      </c>
      <c r="P60">
        <v>2</v>
      </c>
      <c r="Q60">
        <v>1328.07</v>
      </c>
      <c r="R60" s="19">
        <v>0.15</v>
      </c>
      <c r="S60" s="21">
        <v>398.42</v>
      </c>
      <c r="T60">
        <v>2656.14</v>
      </c>
      <c r="U60" s="2">
        <v>2257.7199999999998</v>
      </c>
      <c r="V60">
        <v>3.38</v>
      </c>
      <c r="W60">
        <v>1275.5899999999999</v>
      </c>
      <c r="X60" s="2">
        <v>978.75</v>
      </c>
      <c r="Y60">
        <v>0.4335</v>
      </c>
      <c r="Z60">
        <v>5</v>
      </c>
      <c r="AA60" t="s">
        <v>61</v>
      </c>
      <c r="AB60" t="s">
        <v>47</v>
      </c>
      <c r="AD60">
        <v>4</v>
      </c>
      <c r="AE60" s="2">
        <v>2807.62</v>
      </c>
      <c r="AF60">
        <v>0.80410000000000004</v>
      </c>
      <c r="AG60" t="s">
        <v>49</v>
      </c>
      <c r="AH60" s="23">
        <f>SUM(Amazon_Data_Set[[#This Row],[Gross Sales]]-Amazon_Data_Set[[#This Row],[Discount Amount]])</f>
        <v>2257.7199999999998</v>
      </c>
    </row>
    <row r="61" spans="1:34">
      <c r="A61" t="s">
        <v>359</v>
      </c>
      <c r="B61" s="1">
        <v>46070</v>
      </c>
      <c r="C61" t="str">
        <f>TEXT(Amazon_Data_Set[[#This Row],[Order Date]],"mmm")</f>
        <v>Feb</v>
      </c>
      <c r="D61" t="s">
        <v>153</v>
      </c>
      <c r="E61" t="s">
        <v>149</v>
      </c>
      <c r="F61" t="s">
        <v>150</v>
      </c>
      <c r="G61" t="s">
        <v>37</v>
      </c>
      <c r="H61" t="s">
        <v>90</v>
      </c>
      <c r="I61" t="s">
        <v>91</v>
      </c>
      <c r="J61" t="s">
        <v>313</v>
      </c>
      <c r="K61" t="s">
        <v>314</v>
      </c>
      <c r="L61" t="s">
        <v>360</v>
      </c>
      <c r="M61" t="s">
        <v>43</v>
      </c>
      <c r="N61" t="s">
        <v>95</v>
      </c>
      <c r="O61" t="s">
        <v>45</v>
      </c>
      <c r="P61">
        <v>5</v>
      </c>
      <c r="Q61">
        <v>80</v>
      </c>
      <c r="R61" s="19">
        <v>0</v>
      </c>
      <c r="S61" s="21">
        <v>0</v>
      </c>
      <c r="T61">
        <v>400</v>
      </c>
      <c r="U61" s="2">
        <v>400</v>
      </c>
      <c r="V61">
        <v>220.98</v>
      </c>
      <c r="W61">
        <v>309.62</v>
      </c>
      <c r="X61" s="2">
        <v>-130.6</v>
      </c>
      <c r="Y61">
        <v>-0.32650000000000001</v>
      </c>
      <c r="Z61">
        <v>6</v>
      </c>
      <c r="AA61" t="s">
        <v>61</v>
      </c>
      <c r="AB61" t="s">
        <v>47</v>
      </c>
      <c r="AD61">
        <v>3</v>
      </c>
      <c r="AE61" s="2">
        <v>418.33</v>
      </c>
      <c r="AF61">
        <v>0.95620000000000005</v>
      </c>
      <c r="AG61" t="s">
        <v>49</v>
      </c>
      <c r="AH61" s="23">
        <f>SUM(Amazon_Data_Set[[#This Row],[Gross Sales]]-Amazon_Data_Set[[#This Row],[Discount Amount]])</f>
        <v>400</v>
      </c>
    </row>
    <row r="62" spans="1:34">
      <c r="A62" t="s">
        <v>361</v>
      </c>
      <c r="B62" s="1">
        <v>46214</v>
      </c>
      <c r="C62" t="str">
        <f>TEXT(Amazon_Data_Set[[#This Row],[Order Date]],"mmm")</f>
        <v>Jul</v>
      </c>
      <c r="D62" t="s">
        <v>362</v>
      </c>
      <c r="E62" t="s">
        <v>235</v>
      </c>
      <c r="F62" t="s">
        <v>236</v>
      </c>
      <c r="G62" t="s">
        <v>82</v>
      </c>
      <c r="H62" t="s">
        <v>38</v>
      </c>
      <c r="I62" t="s">
        <v>66</v>
      </c>
      <c r="J62" t="s">
        <v>318</v>
      </c>
      <c r="K62" t="s">
        <v>282</v>
      </c>
      <c r="L62" t="s">
        <v>363</v>
      </c>
      <c r="M62" t="s">
        <v>106</v>
      </c>
      <c r="N62" t="s">
        <v>95</v>
      </c>
      <c r="O62" t="s">
        <v>45</v>
      </c>
      <c r="P62">
        <v>5</v>
      </c>
      <c r="Q62">
        <v>4878.5200000000004</v>
      </c>
      <c r="R62" s="19">
        <v>0.3</v>
      </c>
      <c r="S62" s="21">
        <v>7317.78</v>
      </c>
      <c r="T62">
        <v>24392.6</v>
      </c>
      <c r="U62" s="2">
        <v>17074.82</v>
      </c>
      <c r="V62">
        <v>112.22</v>
      </c>
      <c r="W62">
        <v>10906.03</v>
      </c>
      <c r="X62" s="2">
        <v>6056.57</v>
      </c>
      <c r="Y62">
        <v>0.35470000000000002</v>
      </c>
      <c r="Z62">
        <v>7</v>
      </c>
      <c r="AA62" t="s">
        <v>61</v>
      </c>
      <c r="AB62" t="s">
        <v>47</v>
      </c>
      <c r="AD62">
        <v>4</v>
      </c>
      <c r="AE62" s="2">
        <v>20647.64</v>
      </c>
      <c r="AF62">
        <v>0.82699999999999996</v>
      </c>
      <c r="AG62" t="s">
        <v>49</v>
      </c>
      <c r="AH62" s="23">
        <f>SUM(Amazon_Data_Set[[#This Row],[Gross Sales]]-Amazon_Data_Set[[#This Row],[Discount Amount]])</f>
        <v>17074.82</v>
      </c>
    </row>
    <row r="63" spans="1:34">
      <c r="A63" t="s">
        <v>364</v>
      </c>
      <c r="B63" s="1">
        <v>46042</v>
      </c>
      <c r="C63" t="str">
        <f>TEXT(Amazon_Data_Set[[#This Row],[Order Date]],"mmm")</f>
        <v>Jan</v>
      </c>
      <c r="D63" t="s">
        <v>365</v>
      </c>
      <c r="E63" t="s">
        <v>52</v>
      </c>
      <c r="F63" t="s">
        <v>53</v>
      </c>
      <c r="G63" t="s">
        <v>54</v>
      </c>
      <c r="H63" t="s">
        <v>55</v>
      </c>
      <c r="I63" t="s">
        <v>56</v>
      </c>
      <c r="J63" t="s">
        <v>366</v>
      </c>
      <c r="K63" t="s">
        <v>367</v>
      </c>
      <c r="L63" t="s">
        <v>368</v>
      </c>
      <c r="M63" t="s">
        <v>43</v>
      </c>
      <c r="N63" t="s">
        <v>124</v>
      </c>
      <c r="O63" t="s">
        <v>45</v>
      </c>
      <c r="P63">
        <v>1</v>
      </c>
      <c r="Q63">
        <v>59287.97</v>
      </c>
      <c r="R63" s="19">
        <v>0.15</v>
      </c>
      <c r="S63" s="21">
        <v>8893.2000000000007</v>
      </c>
      <c r="T63">
        <v>59287.97</v>
      </c>
      <c r="U63" s="2">
        <v>50394.77</v>
      </c>
      <c r="V63">
        <v>41.67</v>
      </c>
      <c r="W63">
        <v>27165.47</v>
      </c>
      <c r="X63" s="2">
        <v>23187.63</v>
      </c>
      <c r="Y63">
        <v>0.46010000000000001</v>
      </c>
      <c r="Z63">
        <v>2</v>
      </c>
      <c r="AA63" t="s">
        <v>46</v>
      </c>
      <c r="AB63" t="s">
        <v>47</v>
      </c>
      <c r="AD63">
        <v>4</v>
      </c>
      <c r="AE63" s="2">
        <v>49632.95</v>
      </c>
      <c r="AF63">
        <v>1.0153000000000001</v>
      </c>
      <c r="AG63" t="s">
        <v>49</v>
      </c>
      <c r="AH63" s="23">
        <f>SUM(Amazon_Data_Set[[#This Row],[Gross Sales]]-Amazon_Data_Set[[#This Row],[Discount Amount]])</f>
        <v>50394.770000000004</v>
      </c>
    </row>
    <row r="64" spans="1:34">
      <c r="A64" t="s">
        <v>369</v>
      </c>
      <c r="B64" s="1">
        <v>46070</v>
      </c>
      <c r="C64" t="str">
        <f>TEXT(Amazon_Data_Set[[#This Row],[Order Date]],"mmm")</f>
        <v>Feb</v>
      </c>
      <c r="D64" t="s">
        <v>34</v>
      </c>
      <c r="E64" t="s">
        <v>167</v>
      </c>
      <c r="F64" t="s">
        <v>168</v>
      </c>
      <c r="G64" t="s">
        <v>111</v>
      </c>
      <c r="H64" t="s">
        <v>83</v>
      </c>
      <c r="I64" t="s">
        <v>102</v>
      </c>
      <c r="J64" t="s">
        <v>259</v>
      </c>
      <c r="K64" t="s">
        <v>260</v>
      </c>
      <c r="L64" t="s">
        <v>370</v>
      </c>
      <c r="M64" t="s">
        <v>43</v>
      </c>
      <c r="N64" t="s">
        <v>60</v>
      </c>
      <c r="O64" t="s">
        <v>45</v>
      </c>
      <c r="P64">
        <v>4</v>
      </c>
      <c r="Q64">
        <v>1097.01</v>
      </c>
      <c r="R64" s="19">
        <v>0.05</v>
      </c>
      <c r="S64" s="21">
        <v>219.4</v>
      </c>
      <c r="T64">
        <v>4388.04</v>
      </c>
      <c r="U64" s="2">
        <v>4168.6400000000003</v>
      </c>
      <c r="V64">
        <v>146.13999999999999</v>
      </c>
      <c r="W64">
        <v>2775.06</v>
      </c>
      <c r="X64" s="2">
        <v>1247.44</v>
      </c>
      <c r="Y64">
        <v>0.29920000000000002</v>
      </c>
      <c r="Z64">
        <v>2</v>
      </c>
      <c r="AA64" t="s">
        <v>46</v>
      </c>
      <c r="AB64" t="s">
        <v>47</v>
      </c>
      <c r="AD64">
        <v>4</v>
      </c>
      <c r="AE64" s="2">
        <v>4362.53</v>
      </c>
      <c r="AF64">
        <v>0.9556</v>
      </c>
      <c r="AG64" t="s">
        <v>49</v>
      </c>
      <c r="AH64" s="23">
        <f>SUM(Amazon_Data_Set[[#This Row],[Gross Sales]]-Amazon_Data_Set[[#This Row],[Discount Amount]])</f>
        <v>4168.6400000000003</v>
      </c>
    </row>
    <row r="65" spans="1:34">
      <c r="A65" t="s">
        <v>371</v>
      </c>
      <c r="B65" s="1">
        <v>46321</v>
      </c>
      <c r="C65" t="str">
        <f>TEXT(Amazon_Data_Set[[#This Row],[Order Date]],"mmm")</f>
        <v>Oct</v>
      </c>
      <c r="D65" t="s">
        <v>372</v>
      </c>
      <c r="E65" t="s">
        <v>52</v>
      </c>
      <c r="F65" t="s">
        <v>53</v>
      </c>
      <c r="G65" t="s">
        <v>54</v>
      </c>
      <c r="H65" t="s">
        <v>83</v>
      </c>
      <c r="I65" t="s">
        <v>102</v>
      </c>
      <c r="J65" t="s">
        <v>373</v>
      </c>
      <c r="K65" t="s">
        <v>374</v>
      </c>
      <c r="L65" t="s">
        <v>375</v>
      </c>
      <c r="M65" t="s">
        <v>43</v>
      </c>
      <c r="N65" t="s">
        <v>60</v>
      </c>
      <c r="O65" t="s">
        <v>45</v>
      </c>
      <c r="P65">
        <v>4</v>
      </c>
      <c r="Q65">
        <v>755.59</v>
      </c>
      <c r="R65" s="19">
        <v>0.2</v>
      </c>
      <c r="S65" s="21">
        <v>604.47</v>
      </c>
      <c r="T65">
        <v>3022.36</v>
      </c>
      <c r="U65" s="2">
        <v>2417.89</v>
      </c>
      <c r="V65">
        <v>78.510000000000005</v>
      </c>
      <c r="W65">
        <v>1555.83</v>
      </c>
      <c r="X65" s="2">
        <v>783.55</v>
      </c>
      <c r="Y65">
        <v>0.3241</v>
      </c>
      <c r="Z65">
        <v>1</v>
      </c>
      <c r="AA65" t="s">
        <v>46</v>
      </c>
      <c r="AB65" t="s">
        <v>47</v>
      </c>
      <c r="AD65">
        <v>4</v>
      </c>
      <c r="AE65" s="2">
        <v>2148.44</v>
      </c>
      <c r="AF65">
        <v>1.1254</v>
      </c>
      <c r="AG65" t="s">
        <v>49</v>
      </c>
      <c r="AH65" s="23">
        <f>SUM(Amazon_Data_Set[[#This Row],[Gross Sales]]-Amazon_Data_Set[[#This Row],[Discount Amount]])</f>
        <v>2417.8900000000003</v>
      </c>
    </row>
    <row r="66" spans="1:34">
      <c r="A66" t="s">
        <v>376</v>
      </c>
      <c r="B66" s="1">
        <v>46093</v>
      </c>
      <c r="C66" t="str">
        <f>TEXT(Amazon_Data_Set[[#This Row],[Order Date]],"mmm")</f>
        <v>Mar</v>
      </c>
      <c r="D66" t="s">
        <v>377</v>
      </c>
      <c r="E66" t="s">
        <v>35</v>
      </c>
      <c r="F66" t="s">
        <v>36</v>
      </c>
      <c r="G66" t="s">
        <v>37</v>
      </c>
      <c r="H66" t="s">
        <v>83</v>
      </c>
      <c r="I66" t="s">
        <v>84</v>
      </c>
      <c r="J66" t="s">
        <v>277</v>
      </c>
      <c r="K66" t="s">
        <v>86</v>
      </c>
      <c r="L66" t="s">
        <v>378</v>
      </c>
      <c r="M66" t="s">
        <v>106</v>
      </c>
      <c r="N66" t="s">
        <v>77</v>
      </c>
      <c r="O66" t="s">
        <v>45</v>
      </c>
      <c r="P66">
        <v>2</v>
      </c>
      <c r="Q66">
        <v>554.14</v>
      </c>
      <c r="R66" s="19">
        <v>0.1</v>
      </c>
      <c r="S66" s="21">
        <v>110.83</v>
      </c>
      <c r="T66">
        <v>1108.28</v>
      </c>
      <c r="U66" s="2">
        <v>997.45</v>
      </c>
      <c r="V66">
        <v>203.59</v>
      </c>
      <c r="W66">
        <v>703.01</v>
      </c>
      <c r="X66" s="2">
        <v>90.85</v>
      </c>
      <c r="Y66">
        <v>9.11E-2</v>
      </c>
      <c r="Z66">
        <v>7</v>
      </c>
      <c r="AA66" t="s">
        <v>61</v>
      </c>
      <c r="AB66" t="s">
        <v>47</v>
      </c>
      <c r="AD66">
        <v>5</v>
      </c>
      <c r="AE66" s="2">
        <v>1076.27</v>
      </c>
      <c r="AF66">
        <v>0.92679999999999996</v>
      </c>
      <c r="AG66" t="s">
        <v>49</v>
      </c>
      <c r="AH66" s="23">
        <f>SUM(Amazon_Data_Set[[#This Row],[Gross Sales]]-Amazon_Data_Set[[#This Row],[Discount Amount]])</f>
        <v>997.44999999999993</v>
      </c>
    </row>
    <row r="67" spans="1:34">
      <c r="A67" t="s">
        <v>379</v>
      </c>
      <c r="B67" s="1">
        <v>46173</v>
      </c>
      <c r="C67" t="str">
        <f>TEXT(Amazon_Data_Set[[#This Row],[Order Date]],"mmm")</f>
        <v>May</v>
      </c>
      <c r="D67" t="s">
        <v>380</v>
      </c>
      <c r="E67" t="s">
        <v>167</v>
      </c>
      <c r="F67" t="s">
        <v>168</v>
      </c>
      <c r="G67" t="s">
        <v>111</v>
      </c>
      <c r="H67" t="s">
        <v>38</v>
      </c>
      <c r="I67" t="s">
        <v>39</v>
      </c>
      <c r="J67" t="s">
        <v>155</v>
      </c>
      <c r="K67" t="s">
        <v>156</v>
      </c>
      <c r="L67" t="s">
        <v>381</v>
      </c>
      <c r="M67" t="s">
        <v>43</v>
      </c>
      <c r="N67" t="s">
        <v>124</v>
      </c>
      <c r="O67" t="s">
        <v>130</v>
      </c>
      <c r="P67">
        <v>4</v>
      </c>
      <c r="Q67">
        <v>2748.28</v>
      </c>
      <c r="R67" s="19">
        <v>0</v>
      </c>
      <c r="S67" s="21">
        <v>0</v>
      </c>
      <c r="T67">
        <v>10993.12</v>
      </c>
      <c r="U67" s="2">
        <v>10993.12</v>
      </c>
      <c r="V67">
        <v>196.05</v>
      </c>
      <c r="W67">
        <v>7528.21</v>
      </c>
      <c r="X67" s="2">
        <v>3268.86</v>
      </c>
      <c r="Y67">
        <v>0.2974</v>
      </c>
      <c r="Z67">
        <v>6</v>
      </c>
      <c r="AA67" t="s">
        <v>131</v>
      </c>
      <c r="AB67" t="s">
        <v>47</v>
      </c>
      <c r="AE67" s="2">
        <v>9538.41</v>
      </c>
      <c r="AF67">
        <v>1.1525000000000001</v>
      </c>
      <c r="AG67" t="s">
        <v>347</v>
      </c>
      <c r="AH67" s="23">
        <f>SUM(Amazon_Data_Set[[#This Row],[Gross Sales]]-Amazon_Data_Set[[#This Row],[Discount Amount]])</f>
        <v>10993.12</v>
      </c>
    </row>
    <row r="68" spans="1:34">
      <c r="A68" t="s">
        <v>382</v>
      </c>
      <c r="B68" s="1">
        <v>46259</v>
      </c>
      <c r="C68" t="str">
        <f>TEXT(Amazon_Data_Set[[#This Row],[Order Date]],"mmm")</f>
        <v>Aug</v>
      </c>
      <c r="D68" t="s">
        <v>383</v>
      </c>
      <c r="E68" t="s">
        <v>100</v>
      </c>
      <c r="F68" t="s">
        <v>101</v>
      </c>
      <c r="G68" t="s">
        <v>54</v>
      </c>
      <c r="H68" t="s">
        <v>38</v>
      </c>
      <c r="I68" t="s">
        <v>66</v>
      </c>
      <c r="J68" t="s">
        <v>337</v>
      </c>
      <c r="K68" t="s">
        <v>224</v>
      </c>
      <c r="L68" t="s">
        <v>384</v>
      </c>
      <c r="M68" t="s">
        <v>106</v>
      </c>
      <c r="N68" t="s">
        <v>124</v>
      </c>
      <c r="O68" t="s">
        <v>96</v>
      </c>
      <c r="P68">
        <v>2</v>
      </c>
      <c r="Q68">
        <v>1027.33</v>
      </c>
      <c r="R68" s="19">
        <v>0.05</v>
      </c>
      <c r="S68" s="21">
        <v>102.73</v>
      </c>
      <c r="T68">
        <v>2054.66</v>
      </c>
      <c r="U68" s="2">
        <v>1951.93</v>
      </c>
      <c r="V68">
        <v>96.03</v>
      </c>
      <c r="W68">
        <v>1150.3599999999999</v>
      </c>
      <c r="X68" s="2">
        <v>705.54</v>
      </c>
      <c r="Y68">
        <v>0.36149999999999999</v>
      </c>
      <c r="Z68">
        <v>0</v>
      </c>
      <c r="AA68" t="s">
        <v>97</v>
      </c>
      <c r="AB68" t="s">
        <v>47</v>
      </c>
      <c r="AE68" s="2">
        <v>2000.4</v>
      </c>
      <c r="AF68">
        <v>0.9758</v>
      </c>
      <c r="AG68" t="s">
        <v>49</v>
      </c>
      <c r="AH68" s="23">
        <f>SUM(Amazon_Data_Set[[#This Row],[Gross Sales]]-Amazon_Data_Set[[#This Row],[Discount Amount]])</f>
        <v>1951.9299999999998</v>
      </c>
    </row>
    <row r="69" spans="1:34">
      <c r="A69" t="s">
        <v>385</v>
      </c>
      <c r="B69" s="1">
        <v>46229</v>
      </c>
      <c r="C69" t="str">
        <f>TEXT(Amazon_Data_Set[[#This Row],[Order Date]],"mmm")</f>
        <v>Jul</v>
      </c>
      <c r="D69" t="s">
        <v>386</v>
      </c>
      <c r="E69" t="s">
        <v>100</v>
      </c>
      <c r="F69" t="s">
        <v>179</v>
      </c>
      <c r="G69" t="s">
        <v>54</v>
      </c>
      <c r="H69" t="s">
        <v>55</v>
      </c>
      <c r="I69" t="s">
        <v>73</v>
      </c>
      <c r="J69" t="s">
        <v>387</v>
      </c>
      <c r="K69" t="s">
        <v>388</v>
      </c>
      <c r="L69" t="s">
        <v>389</v>
      </c>
      <c r="M69" t="s">
        <v>106</v>
      </c>
      <c r="N69" t="s">
        <v>70</v>
      </c>
      <c r="O69" t="s">
        <v>130</v>
      </c>
      <c r="P69">
        <v>4</v>
      </c>
      <c r="Q69">
        <v>918.37</v>
      </c>
      <c r="R69" s="19">
        <v>0</v>
      </c>
      <c r="S69" s="21">
        <v>0</v>
      </c>
      <c r="T69">
        <v>3673.48</v>
      </c>
      <c r="U69" s="2">
        <v>3673.48</v>
      </c>
      <c r="V69">
        <v>4.97</v>
      </c>
      <c r="W69">
        <v>1904.45</v>
      </c>
      <c r="X69" s="2">
        <v>1764.06</v>
      </c>
      <c r="Y69">
        <v>0.48020000000000002</v>
      </c>
      <c r="Z69">
        <v>7</v>
      </c>
      <c r="AA69" t="s">
        <v>131</v>
      </c>
      <c r="AB69" t="s">
        <v>47</v>
      </c>
      <c r="AE69" s="2">
        <v>4585.7299999999996</v>
      </c>
      <c r="AF69">
        <v>0.80110000000000003</v>
      </c>
      <c r="AG69" t="s">
        <v>49</v>
      </c>
      <c r="AH69" s="23">
        <f>SUM(Amazon_Data_Set[[#This Row],[Gross Sales]]-Amazon_Data_Set[[#This Row],[Discount Amount]])</f>
        <v>3673.48</v>
      </c>
    </row>
    <row r="70" spans="1:34">
      <c r="A70" t="s">
        <v>390</v>
      </c>
      <c r="B70" s="1">
        <v>46186</v>
      </c>
      <c r="C70" t="str">
        <f>TEXT(Amazon_Data_Set[[#This Row],[Order Date]],"mmm")</f>
        <v>Jun</v>
      </c>
      <c r="D70" t="s">
        <v>269</v>
      </c>
      <c r="E70" t="s">
        <v>35</v>
      </c>
      <c r="F70" t="s">
        <v>36</v>
      </c>
      <c r="G70" t="s">
        <v>37</v>
      </c>
      <c r="H70" t="s">
        <v>55</v>
      </c>
      <c r="I70" t="s">
        <v>73</v>
      </c>
      <c r="J70" t="s">
        <v>387</v>
      </c>
      <c r="K70" t="s">
        <v>388</v>
      </c>
      <c r="L70" t="s">
        <v>391</v>
      </c>
      <c r="M70" t="s">
        <v>106</v>
      </c>
      <c r="N70" t="s">
        <v>95</v>
      </c>
      <c r="O70" t="s">
        <v>96</v>
      </c>
      <c r="P70">
        <v>1</v>
      </c>
      <c r="Q70">
        <v>817.82</v>
      </c>
      <c r="R70" s="19">
        <v>0</v>
      </c>
      <c r="S70" s="21">
        <v>0</v>
      </c>
      <c r="T70">
        <v>817.82</v>
      </c>
      <c r="U70" s="2">
        <v>817.82</v>
      </c>
      <c r="V70">
        <v>108.97</v>
      </c>
      <c r="W70">
        <v>607.89</v>
      </c>
      <c r="X70" s="2">
        <v>100.96</v>
      </c>
      <c r="Y70">
        <v>0.1235</v>
      </c>
      <c r="Z70">
        <v>0</v>
      </c>
      <c r="AA70" t="s">
        <v>97</v>
      </c>
      <c r="AB70" t="s">
        <v>47</v>
      </c>
      <c r="AE70" s="2">
        <v>853.65</v>
      </c>
      <c r="AF70">
        <v>0.95799999999999996</v>
      </c>
      <c r="AG70" t="s">
        <v>347</v>
      </c>
      <c r="AH70" s="23">
        <f>SUM(Amazon_Data_Set[[#This Row],[Gross Sales]]-Amazon_Data_Set[[#This Row],[Discount Amount]])</f>
        <v>817.82</v>
      </c>
    </row>
    <row r="71" spans="1:34">
      <c r="A71" t="s">
        <v>392</v>
      </c>
      <c r="B71" s="1">
        <v>46060</v>
      </c>
      <c r="C71" t="str">
        <f>TEXT(Amazon_Data_Set[[#This Row],[Order Date]],"mmm")</f>
        <v>Feb</v>
      </c>
      <c r="D71" t="s">
        <v>108</v>
      </c>
      <c r="E71" t="s">
        <v>174</v>
      </c>
      <c r="F71" t="s">
        <v>175</v>
      </c>
      <c r="G71" t="s">
        <v>82</v>
      </c>
      <c r="H71" t="s">
        <v>90</v>
      </c>
      <c r="I71" t="s">
        <v>112</v>
      </c>
      <c r="J71" t="s">
        <v>113</v>
      </c>
      <c r="K71" t="s">
        <v>114</v>
      </c>
      <c r="L71" t="s">
        <v>393</v>
      </c>
      <c r="M71" t="s">
        <v>106</v>
      </c>
      <c r="N71" t="s">
        <v>44</v>
      </c>
      <c r="O71" t="s">
        <v>45</v>
      </c>
      <c r="P71">
        <v>5</v>
      </c>
      <c r="Q71">
        <v>1405.22</v>
      </c>
      <c r="R71" s="19">
        <v>0.25</v>
      </c>
      <c r="S71" s="21">
        <v>1756.53</v>
      </c>
      <c r="T71">
        <v>7026.1</v>
      </c>
      <c r="U71" s="2">
        <v>5269.57</v>
      </c>
      <c r="V71">
        <v>245.18</v>
      </c>
      <c r="W71">
        <v>2554.58</v>
      </c>
      <c r="X71" s="2">
        <v>2469.81</v>
      </c>
      <c r="Y71">
        <v>0.46870000000000001</v>
      </c>
      <c r="Z71">
        <v>6</v>
      </c>
      <c r="AA71" t="s">
        <v>61</v>
      </c>
      <c r="AB71" t="s">
        <v>47</v>
      </c>
      <c r="AD71">
        <v>3</v>
      </c>
      <c r="AE71" s="2">
        <v>4639.84</v>
      </c>
      <c r="AF71">
        <v>1.1356999999999999</v>
      </c>
      <c r="AG71" t="s">
        <v>49</v>
      </c>
      <c r="AH71" s="23">
        <f>SUM(Amazon_Data_Set[[#This Row],[Gross Sales]]-Amazon_Data_Set[[#This Row],[Discount Amount]])</f>
        <v>5269.5700000000006</v>
      </c>
    </row>
    <row r="72" spans="1:34">
      <c r="A72" t="s">
        <v>394</v>
      </c>
      <c r="B72" s="1">
        <v>46211</v>
      </c>
      <c r="C72" t="str">
        <f>TEXT(Amazon_Data_Set[[#This Row],[Order Date]],"mmm")</f>
        <v>Jul</v>
      </c>
      <c r="D72" t="s">
        <v>307</v>
      </c>
      <c r="E72" t="s">
        <v>100</v>
      </c>
      <c r="F72" t="s">
        <v>101</v>
      </c>
      <c r="G72" t="s">
        <v>54</v>
      </c>
      <c r="H72" t="s">
        <v>142</v>
      </c>
      <c r="I72" t="s">
        <v>143</v>
      </c>
      <c r="J72" t="s">
        <v>144</v>
      </c>
      <c r="K72" t="s">
        <v>145</v>
      </c>
      <c r="L72" t="s">
        <v>395</v>
      </c>
      <c r="M72" t="s">
        <v>106</v>
      </c>
      <c r="N72" t="s">
        <v>77</v>
      </c>
      <c r="O72" t="s">
        <v>45</v>
      </c>
      <c r="P72">
        <v>5</v>
      </c>
      <c r="Q72">
        <v>5686.91</v>
      </c>
      <c r="R72" s="19">
        <v>0</v>
      </c>
      <c r="S72" s="21">
        <v>0</v>
      </c>
      <c r="T72">
        <v>28434.55</v>
      </c>
      <c r="U72" s="2">
        <v>28434.55</v>
      </c>
      <c r="V72">
        <v>201.93</v>
      </c>
      <c r="W72">
        <v>22057.77</v>
      </c>
      <c r="X72" s="2">
        <v>6174.85</v>
      </c>
      <c r="Y72">
        <v>0.2172</v>
      </c>
      <c r="Z72">
        <v>2</v>
      </c>
      <c r="AA72" t="s">
        <v>46</v>
      </c>
      <c r="AB72" t="s">
        <v>47</v>
      </c>
      <c r="AD72">
        <v>5</v>
      </c>
      <c r="AE72" s="2">
        <v>25684.99</v>
      </c>
      <c r="AF72">
        <v>1.107</v>
      </c>
      <c r="AG72" t="s">
        <v>49</v>
      </c>
      <c r="AH72" s="23">
        <f>SUM(Amazon_Data_Set[[#This Row],[Gross Sales]]-Amazon_Data_Set[[#This Row],[Discount Amount]])</f>
        <v>28434.55</v>
      </c>
    </row>
    <row r="73" spans="1:34">
      <c r="A73" t="s">
        <v>396</v>
      </c>
      <c r="B73" s="1">
        <v>46089</v>
      </c>
      <c r="C73" t="str">
        <f>TEXT(Amazon_Data_Set[[#This Row],[Order Date]],"mmm")</f>
        <v>Mar</v>
      </c>
      <c r="D73" t="s">
        <v>397</v>
      </c>
      <c r="E73" t="s">
        <v>109</v>
      </c>
      <c r="F73" t="s">
        <v>154</v>
      </c>
      <c r="G73" t="s">
        <v>111</v>
      </c>
      <c r="H73" t="s">
        <v>38</v>
      </c>
      <c r="I73" t="s">
        <v>39</v>
      </c>
      <c r="J73" t="s">
        <v>40</v>
      </c>
      <c r="K73" t="s">
        <v>41</v>
      </c>
      <c r="L73" t="s">
        <v>398</v>
      </c>
      <c r="M73" t="s">
        <v>106</v>
      </c>
      <c r="N73" t="s">
        <v>44</v>
      </c>
      <c r="O73" t="s">
        <v>96</v>
      </c>
      <c r="P73">
        <v>4</v>
      </c>
      <c r="Q73">
        <v>617.72</v>
      </c>
      <c r="R73" s="19">
        <v>0.3</v>
      </c>
      <c r="S73" s="21">
        <v>741.26</v>
      </c>
      <c r="T73">
        <v>2470.88</v>
      </c>
      <c r="U73" s="2">
        <v>1729.62</v>
      </c>
      <c r="V73">
        <v>121.38</v>
      </c>
      <c r="W73">
        <v>854.14</v>
      </c>
      <c r="X73" s="2">
        <v>754.1</v>
      </c>
      <c r="Y73">
        <v>0.436</v>
      </c>
      <c r="Z73">
        <v>0</v>
      </c>
      <c r="AA73" t="s">
        <v>97</v>
      </c>
      <c r="AB73" t="s">
        <v>47</v>
      </c>
      <c r="AE73" s="2">
        <v>1478.43</v>
      </c>
      <c r="AF73">
        <v>1.1698999999999999</v>
      </c>
      <c r="AG73" t="s">
        <v>49</v>
      </c>
      <c r="AH73" s="23">
        <f>SUM(Amazon_Data_Set[[#This Row],[Gross Sales]]-Amazon_Data_Set[[#This Row],[Discount Amount]])</f>
        <v>1729.6200000000001</v>
      </c>
    </row>
    <row r="74" spans="1:34">
      <c r="A74" t="s">
        <v>399</v>
      </c>
      <c r="B74" s="1">
        <v>46243</v>
      </c>
      <c r="C74" t="str">
        <f>TEXT(Amazon_Data_Set[[#This Row],[Order Date]],"mmm")</f>
        <v>Aug</v>
      </c>
      <c r="D74" t="s">
        <v>400</v>
      </c>
      <c r="E74" t="s">
        <v>35</v>
      </c>
      <c r="F74" t="s">
        <v>36</v>
      </c>
      <c r="G74" t="s">
        <v>37</v>
      </c>
      <c r="H74" t="s">
        <v>38</v>
      </c>
      <c r="I74" t="s">
        <v>39</v>
      </c>
      <c r="J74" t="s">
        <v>40</v>
      </c>
      <c r="K74" t="s">
        <v>41</v>
      </c>
      <c r="L74" t="s">
        <v>401</v>
      </c>
      <c r="M74" t="s">
        <v>106</v>
      </c>
      <c r="N74" t="s">
        <v>44</v>
      </c>
      <c r="O74" t="s">
        <v>96</v>
      </c>
      <c r="P74">
        <v>4</v>
      </c>
      <c r="Q74">
        <v>916.21</v>
      </c>
      <c r="R74" s="19">
        <v>0.3</v>
      </c>
      <c r="S74" s="21">
        <v>1099.45</v>
      </c>
      <c r="T74">
        <v>3664.84</v>
      </c>
      <c r="U74" s="2">
        <v>2565.39</v>
      </c>
      <c r="V74">
        <v>100.98</v>
      </c>
      <c r="W74">
        <v>1261.79</v>
      </c>
      <c r="X74" s="2">
        <v>1202.6199999999999</v>
      </c>
      <c r="Y74">
        <v>0.46879999999999999</v>
      </c>
      <c r="Z74">
        <v>0</v>
      </c>
      <c r="AA74" t="s">
        <v>97</v>
      </c>
      <c r="AB74" t="s">
        <v>47</v>
      </c>
      <c r="AE74" s="2">
        <v>2659.83</v>
      </c>
      <c r="AF74">
        <v>0.96450000000000002</v>
      </c>
      <c r="AG74" t="s">
        <v>49</v>
      </c>
      <c r="AH74" s="23">
        <f>SUM(Amazon_Data_Set[[#This Row],[Gross Sales]]-Amazon_Data_Set[[#This Row],[Discount Amount]])</f>
        <v>2565.3900000000003</v>
      </c>
    </row>
    <row r="75" spans="1:34">
      <c r="A75" t="s">
        <v>402</v>
      </c>
      <c r="B75" s="1">
        <v>46209</v>
      </c>
      <c r="C75" t="str">
        <f>TEXT(Amazon_Data_Set[[#This Row],[Order Date]],"mmm")</f>
        <v>Jul</v>
      </c>
      <c r="D75" t="s">
        <v>403</v>
      </c>
      <c r="E75" t="s">
        <v>235</v>
      </c>
      <c r="F75" t="s">
        <v>236</v>
      </c>
      <c r="G75" t="s">
        <v>82</v>
      </c>
      <c r="H75" t="s">
        <v>90</v>
      </c>
      <c r="I75" t="s">
        <v>112</v>
      </c>
      <c r="J75" t="s">
        <v>113</v>
      </c>
      <c r="K75" t="s">
        <v>114</v>
      </c>
      <c r="L75" t="s">
        <v>404</v>
      </c>
      <c r="M75" t="s">
        <v>43</v>
      </c>
      <c r="N75" t="s">
        <v>44</v>
      </c>
      <c r="O75" t="s">
        <v>96</v>
      </c>
      <c r="P75">
        <v>3</v>
      </c>
      <c r="Q75">
        <v>452.01</v>
      </c>
      <c r="R75" s="19">
        <v>0.1</v>
      </c>
      <c r="S75" s="21">
        <v>135.6</v>
      </c>
      <c r="T75">
        <v>1356.03</v>
      </c>
      <c r="U75" s="2">
        <v>1220.43</v>
      </c>
      <c r="V75">
        <v>57.07</v>
      </c>
      <c r="W75">
        <v>772.11</v>
      </c>
      <c r="X75" s="2">
        <v>391.25</v>
      </c>
      <c r="Y75">
        <v>0.3206</v>
      </c>
      <c r="Z75">
        <v>0</v>
      </c>
      <c r="AA75" t="s">
        <v>97</v>
      </c>
      <c r="AB75" t="s">
        <v>47</v>
      </c>
      <c r="AE75" s="2">
        <v>1331.05</v>
      </c>
      <c r="AF75">
        <v>0.91690000000000005</v>
      </c>
      <c r="AG75" t="s">
        <v>49</v>
      </c>
      <c r="AH75" s="23">
        <f>SUM(Amazon_Data_Set[[#This Row],[Gross Sales]]-Amazon_Data_Set[[#This Row],[Discount Amount]])</f>
        <v>1220.43</v>
      </c>
    </row>
    <row r="76" spans="1:34">
      <c r="A76" t="s">
        <v>405</v>
      </c>
      <c r="B76" s="1">
        <v>46179</v>
      </c>
      <c r="C76" t="str">
        <f>TEXT(Amazon_Data_Set[[#This Row],[Order Date]],"mmm")</f>
        <v>Jun</v>
      </c>
      <c r="D76" t="s">
        <v>406</v>
      </c>
      <c r="E76" t="s">
        <v>100</v>
      </c>
      <c r="F76" t="s">
        <v>179</v>
      </c>
      <c r="G76" t="s">
        <v>54</v>
      </c>
      <c r="H76" t="s">
        <v>83</v>
      </c>
      <c r="I76" t="s">
        <v>102</v>
      </c>
      <c r="J76" t="s">
        <v>103</v>
      </c>
      <c r="K76" t="s">
        <v>104</v>
      </c>
      <c r="L76" t="s">
        <v>407</v>
      </c>
      <c r="M76" t="s">
        <v>43</v>
      </c>
      <c r="N76" t="s">
        <v>60</v>
      </c>
      <c r="O76" t="s">
        <v>45</v>
      </c>
      <c r="P76">
        <v>3</v>
      </c>
      <c r="Q76">
        <v>637.03</v>
      </c>
      <c r="R76" s="19">
        <v>0.1</v>
      </c>
      <c r="S76" s="21">
        <v>191.11</v>
      </c>
      <c r="T76">
        <v>1911.09</v>
      </c>
      <c r="U76" s="2">
        <v>1719.98</v>
      </c>
      <c r="V76">
        <v>204.86</v>
      </c>
      <c r="W76">
        <v>1299.3699999999999</v>
      </c>
      <c r="X76" s="2">
        <v>215.75</v>
      </c>
      <c r="Y76">
        <v>0.12540000000000001</v>
      </c>
      <c r="Z76">
        <v>7</v>
      </c>
      <c r="AA76" t="s">
        <v>61</v>
      </c>
      <c r="AB76" t="s">
        <v>47</v>
      </c>
      <c r="AD76">
        <v>3</v>
      </c>
      <c r="AE76" s="2">
        <v>1695.23</v>
      </c>
      <c r="AF76">
        <v>1.0145999999999999</v>
      </c>
      <c r="AG76" t="s">
        <v>49</v>
      </c>
      <c r="AH76" s="23">
        <f>SUM(Amazon_Data_Set[[#This Row],[Gross Sales]]-Amazon_Data_Set[[#This Row],[Discount Amount]])</f>
        <v>1719.98</v>
      </c>
    </row>
    <row r="77" spans="1:34">
      <c r="A77" t="s">
        <v>408</v>
      </c>
      <c r="B77" s="1">
        <v>46045</v>
      </c>
      <c r="C77" t="str">
        <f>TEXT(Amazon_Data_Set[[#This Row],[Order Date]],"mmm")</f>
        <v>Jan</v>
      </c>
      <c r="D77" t="s">
        <v>269</v>
      </c>
      <c r="E77" t="s">
        <v>167</v>
      </c>
      <c r="F77" t="s">
        <v>168</v>
      </c>
      <c r="G77" t="s">
        <v>111</v>
      </c>
      <c r="H77" t="s">
        <v>38</v>
      </c>
      <c r="I77" t="s">
        <v>66</v>
      </c>
      <c r="J77" t="s">
        <v>67</v>
      </c>
      <c r="K77" t="s">
        <v>68</v>
      </c>
      <c r="L77" t="s">
        <v>409</v>
      </c>
      <c r="M77" t="s">
        <v>43</v>
      </c>
      <c r="N77" t="s">
        <v>77</v>
      </c>
      <c r="O77" t="s">
        <v>96</v>
      </c>
      <c r="P77">
        <v>5</v>
      </c>
      <c r="Q77">
        <v>2351.31</v>
      </c>
      <c r="R77" s="19">
        <v>0.3</v>
      </c>
      <c r="S77" s="21">
        <v>3526.96</v>
      </c>
      <c r="T77">
        <v>11756.55</v>
      </c>
      <c r="U77" s="2">
        <v>8229.59</v>
      </c>
      <c r="V77">
        <v>102.46</v>
      </c>
      <c r="W77">
        <v>4770.45</v>
      </c>
      <c r="X77" s="2">
        <v>3356.68</v>
      </c>
      <c r="Y77">
        <v>0.40789999999999998</v>
      </c>
      <c r="Z77">
        <v>0</v>
      </c>
      <c r="AA77" t="s">
        <v>97</v>
      </c>
      <c r="AB77" t="s">
        <v>47</v>
      </c>
      <c r="AE77" s="2">
        <v>9996.85</v>
      </c>
      <c r="AF77">
        <v>0.82320000000000004</v>
      </c>
      <c r="AG77" t="s">
        <v>49</v>
      </c>
      <c r="AH77" s="23">
        <f>SUM(Amazon_Data_Set[[#This Row],[Gross Sales]]-Amazon_Data_Set[[#This Row],[Discount Amount]])</f>
        <v>8229.59</v>
      </c>
    </row>
    <row r="78" spans="1:34">
      <c r="A78" t="s">
        <v>410</v>
      </c>
      <c r="B78" s="1">
        <v>46113</v>
      </c>
      <c r="C78" t="str">
        <f>TEXT(Amazon_Data_Set[[#This Row],[Order Date]],"mmm")</f>
        <v>Apr</v>
      </c>
      <c r="D78" t="s">
        <v>411</v>
      </c>
      <c r="E78" t="s">
        <v>109</v>
      </c>
      <c r="F78" t="s">
        <v>154</v>
      </c>
      <c r="G78" t="s">
        <v>111</v>
      </c>
      <c r="H78" t="s">
        <v>55</v>
      </c>
      <c r="I78" t="s">
        <v>120</v>
      </c>
      <c r="J78" t="s">
        <v>344</v>
      </c>
      <c r="K78" t="s">
        <v>345</v>
      </c>
      <c r="L78" t="s">
        <v>412</v>
      </c>
      <c r="M78" t="s">
        <v>43</v>
      </c>
      <c r="N78" t="s">
        <v>95</v>
      </c>
      <c r="O78" t="s">
        <v>130</v>
      </c>
      <c r="P78">
        <v>1</v>
      </c>
      <c r="Q78">
        <v>28455.18</v>
      </c>
      <c r="R78" s="19">
        <v>0.25</v>
      </c>
      <c r="S78" s="21">
        <v>7113.8</v>
      </c>
      <c r="T78">
        <v>28455.18</v>
      </c>
      <c r="U78" s="2">
        <v>21341.38</v>
      </c>
      <c r="V78">
        <v>239.8</v>
      </c>
      <c r="W78">
        <v>11170.81</v>
      </c>
      <c r="X78" s="2">
        <v>9930.77</v>
      </c>
      <c r="Y78">
        <v>0.46529999999999999</v>
      </c>
      <c r="Z78">
        <v>5</v>
      </c>
      <c r="AA78" t="s">
        <v>131</v>
      </c>
      <c r="AB78" t="s">
        <v>47</v>
      </c>
      <c r="AE78" s="2">
        <v>20807.740000000002</v>
      </c>
      <c r="AF78">
        <v>1.0256000000000001</v>
      </c>
      <c r="AG78" t="s">
        <v>49</v>
      </c>
      <c r="AH78" s="23">
        <f>SUM(Amazon_Data_Set[[#This Row],[Gross Sales]]-Amazon_Data_Set[[#This Row],[Discount Amount]])</f>
        <v>21341.38</v>
      </c>
    </row>
    <row r="79" spans="1:34">
      <c r="A79" t="s">
        <v>413</v>
      </c>
      <c r="B79" s="1">
        <v>46247</v>
      </c>
      <c r="C79" t="str">
        <f>TEXT(Amazon_Data_Set[[#This Row],[Order Date]],"mmm")</f>
        <v>Aug</v>
      </c>
      <c r="D79" t="s">
        <v>414</v>
      </c>
      <c r="E79" t="s">
        <v>149</v>
      </c>
      <c r="F79" t="s">
        <v>150</v>
      </c>
      <c r="G79" t="s">
        <v>37</v>
      </c>
      <c r="H79" t="s">
        <v>83</v>
      </c>
      <c r="I79" t="s">
        <v>188</v>
      </c>
      <c r="J79" t="s">
        <v>189</v>
      </c>
      <c r="K79" t="s">
        <v>190</v>
      </c>
      <c r="L79" t="s">
        <v>415</v>
      </c>
      <c r="M79" t="s">
        <v>43</v>
      </c>
      <c r="N79" t="s">
        <v>95</v>
      </c>
      <c r="O79" t="s">
        <v>45</v>
      </c>
      <c r="P79">
        <v>2</v>
      </c>
      <c r="Q79">
        <v>1167.32</v>
      </c>
      <c r="R79" s="19">
        <v>0</v>
      </c>
      <c r="S79" s="21">
        <v>0</v>
      </c>
      <c r="T79">
        <v>2334.64</v>
      </c>
      <c r="U79" s="2">
        <v>2334.64</v>
      </c>
      <c r="V79">
        <v>107.97</v>
      </c>
      <c r="W79">
        <v>1453</v>
      </c>
      <c r="X79" s="2">
        <v>773.67</v>
      </c>
      <c r="Y79">
        <v>0.33139999999999997</v>
      </c>
      <c r="Z79">
        <v>8</v>
      </c>
      <c r="AA79" t="s">
        <v>61</v>
      </c>
      <c r="AB79" t="s">
        <v>47</v>
      </c>
      <c r="AD79">
        <v>3</v>
      </c>
      <c r="AE79" s="2">
        <v>2070.09</v>
      </c>
      <c r="AF79">
        <v>1.1277999999999999</v>
      </c>
      <c r="AG79" t="s">
        <v>49</v>
      </c>
      <c r="AH79" s="23">
        <f>SUM(Amazon_Data_Set[[#This Row],[Gross Sales]]-Amazon_Data_Set[[#This Row],[Discount Amount]])</f>
        <v>2334.64</v>
      </c>
    </row>
    <row r="80" spans="1:34">
      <c r="A80" t="s">
        <v>416</v>
      </c>
      <c r="B80" s="1">
        <v>46111</v>
      </c>
      <c r="C80" t="str">
        <f>TEXT(Amazon_Data_Set[[#This Row],[Order Date]],"mmm")</f>
        <v>Mar</v>
      </c>
      <c r="D80" t="s">
        <v>205</v>
      </c>
      <c r="E80" t="s">
        <v>64</v>
      </c>
      <c r="F80" t="s">
        <v>65</v>
      </c>
      <c r="G80" t="s">
        <v>54</v>
      </c>
      <c r="H80" t="s">
        <v>90</v>
      </c>
      <c r="I80" t="s">
        <v>91</v>
      </c>
      <c r="J80" t="s">
        <v>313</v>
      </c>
      <c r="K80" t="s">
        <v>314</v>
      </c>
      <c r="L80" t="s">
        <v>417</v>
      </c>
      <c r="M80" t="s">
        <v>106</v>
      </c>
      <c r="N80" t="s">
        <v>44</v>
      </c>
      <c r="O80" t="s">
        <v>45</v>
      </c>
      <c r="P80">
        <v>2</v>
      </c>
      <c r="Q80">
        <v>189.45</v>
      </c>
      <c r="R80" s="19">
        <v>0</v>
      </c>
      <c r="S80" s="21">
        <v>0</v>
      </c>
      <c r="T80">
        <v>378.9</v>
      </c>
      <c r="U80" s="2">
        <v>378.9</v>
      </c>
      <c r="V80">
        <v>31.81</v>
      </c>
      <c r="W80">
        <v>230.99</v>
      </c>
      <c r="X80" s="2">
        <v>116.1</v>
      </c>
      <c r="Y80">
        <v>0.30640000000000001</v>
      </c>
      <c r="Z80">
        <v>7</v>
      </c>
      <c r="AA80" t="s">
        <v>61</v>
      </c>
      <c r="AB80" t="s">
        <v>47</v>
      </c>
      <c r="AD80">
        <v>4</v>
      </c>
      <c r="AE80" s="2">
        <v>392.62</v>
      </c>
      <c r="AF80">
        <v>0.96509999999999996</v>
      </c>
      <c r="AG80" t="s">
        <v>49</v>
      </c>
      <c r="AH80" s="23">
        <f>SUM(Amazon_Data_Set[[#This Row],[Gross Sales]]-Amazon_Data_Set[[#This Row],[Discount Amount]])</f>
        <v>378.9</v>
      </c>
    </row>
    <row r="81" spans="1:34">
      <c r="A81" t="s">
        <v>418</v>
      </c>
      <c r="B81" s="1">
        <v>46366</v>
      </c>
      <c r="C81" t="str">
        <f>TEXT(Amazon_Data_Set[[#This Row],[Order Date]],"mmm")</f>
        <v>Dec</v>
      </c>
      <c r="D81" t="s">
        <v>208</v>
      </c>
      <c r="E81" t="s">
        <v>194</v>
      </c>
      <c r="F81" t="s">
        <v>195</v>
      </c>
      <c r="G81" t="s">
        <v>111</v>
      </c>
      <c r="H81" t="s">
        <v>38</v>
      </c>
      <c r="I81" t="s">
        <v>39</v>
      </c>
      <c r="J81" t="s">
        <v>155</v>
      </c>
      <c r="K81" t="s">
        <v>156</v>
      </c>
      <c r="L81" t="s">
        <v>419</v>
      </c>
      <c r="M81" t="s">
        <v>43</v>
      </c>
      <c r="N81" t="s">
        <v>124</v>
      </c>
      <c r="O81" t="s">
        <v>45</v>
      </c>
      <c r="P81">
        <v>1</v>
      </c>
      <c r="Q81">
        <v>1642.05</v>
      </c>
      <c r="R81" s="19">
        <v>0.05</v>
      </c>
      <c r="S81" s="21">
        <v>82.1</v>
      </c>
      <c r="T81">
        <v>1642.05</v>
      </c>
      <c r="U81" s="2">
        <v>1559.95</v>
      </c>
      <c r="V81">
        <v>84.06</v>
      </c>
      <c r="W81">
        <v>1196.72</v>
      </c>
      <c r="X81" s="2">
        <v>279.17</v>
      </c>
      <c r="Y81">
        <v>0.17899999999999999</v>
      </c>
      <c r="Z81">
        <v>4</v>
      </c>
      <c r="AA81" t="s">
        <v>46</v>
      </c>
      <c r="AB81" t="s">
        <v>47</v>
      </c>
      <c r="AD81">
        <v>4</v>
      </c>
      <c r="AE81" s="2">
        <v>1461.46</v>
      </c>
      <c r="AF81">
        <v>1.0673999999999999</v>
      </c>
      <c r="AG81" t="s">
        <v>49</v>
      </c>
      <c r="AH81" s="23">
        <f>SUM(Amazon_Data_Set[[#This Row],[Gross Sales]]-Amazon_Data_Set[[#This Row],[Discount Amount]])</f>
        <v>1559.95</v>
      </c>
    </row>
    <row r="82" spans="1:34">
      <c r="A82" t="s">
        <v>420</v>
      </c>
      <c r="B82" s="1">
        <v>46172</v>
      </c>
      <c r="C82" t="str">
        <f>TEXT(Amazon_Data_Set[[#This Row],[Order Date]],"mmm")</f>
        <v>May</v>
      </c>
      <c r="D82" t="s">
        <v>325</v>
      </c>
      <c r="E82" t="s">
        <v>228</v>
      </c>
      <c r="F82" t="s">
        <v>229</v>
      </c>
      <c r="G82" t="s">
        <v>37</v>
      </c>
      <c r="H82" t="s">
        <v>83</v>
      </c>
      <c r="I82" t="s">
        <v>102</v>
      </c>
      <c r="J82" t="s">
        <v>373</v>
      </c>
      <c r="K82" t="s">
        <v>374</v>
      </c>
      <c r="L82" t="s">
        <v>421</v>
      </c>
      <c r="M82" t="s">
        <v>106</v>
      </c>
      <c r="N82" t="s">
        <v>44</v>
      </c>
      <c r="O82" t="s">
        <v>45</v>
      </c>
      <c r="P82">
        <v>4</v>
      </c>
      <c r="Q82">
        <v>2329.0300000000002</v>
      </c>
      <c r="R82" s="19">
        <v>0.15</v>
      </c>
      <c r="S82" s="21">
        <v>1397.42</v>
      </c>
      <c r="T82">
        <v>9316.1200000000008</v>
      </c>
      <c r="U82" s="2">
        <v>7918.7</v>
      </c>
      <c r="V82">
        <v>82.28</v>
      </c>
      <c r="W82">
        <v>5612.19</v>
      </c>
      <c r="X82" s="2">
        <v>2224.23</v>
      </c>
      <c r="Y82">
        <v>0.28089999999999998</v>
      </c>
      <c r="Z82">
        <v>1</v>
      </c>
      <c r="AA82" t="s">
        <v>46</v>
      </c>
      <c r="AB82" t="s">
        <v>47</v>
      </c>
      <c r="AD82">
        <v>4</v>
      </c>
      <c r="AE82" s="2">
        <v>7755.42</v>
      </c>
      <c r="AF82">
        <v>1.0210999999999999</v>
      </c>
      <c r="AG82" t="s">
        <v>49</v>
      </c>
      <c r="AH82" s="23">
        <f>SUM(Amazon_Data_Set[[#This Row],[Gross Sales]]-Amazon_Data_Set[[#This Row],[Discount Amount]])</f>
        <v>7918.7000000000007</v>
      </c>
    </row>
    <row r="83" spans="1:34">
      <c r="A83" t="s">
        <v>422</v>
      </c>
      <c r="B83" s="1">
        <v>46155</v>
      </c>
      <c r="C83" t="str">
        <f>TEXT(Amazon_Data_Set[[#This Row],[Order Date]],"mmm")</f>
        <v>May</v>
      </c>
      <c r="D83" t="s">
        <v>423</v>
      </c>
      <c r="E83" t="s">
        <v>64</v>
      </c>
      <c r="F83" t="s">
        <v>65</v>
      </c>
      <c r="G83" t="s">
        <v>54</v>
      </c>
      <c r="H83" t="s">
        <v>38</v>
      </c>
      <c r="I83" t="s">
        <v>161</v>
      </c>
      <c r="J83" t="s">
        <v>223</v>
      </c>
      <c r="K83" t="s">
        <v>224</v>
      </c>
      <c r="L83" t="s">
        <v>424</v>
      </c>
      <c r="M83" t="s">
        <v>43</v>
      </c>
      <c r="N83" t="s">
        <v>70</v>
      </c>
      <c r="O83" t="s">
        <v>45</v>
      </c>
      <c r="P83">
        <v>1</v>
      </c>
      <c r="Q83">
        <v>2255</v>
      </c>
      <c r="R83" s="19">
        <v>0.25</v>
      </c>
      <c r="S83" s="21">
        <v>563.75</v>
      </c>
      <c r="T83">
        <v>2255</v>
      </c>
      <c r="U83" s="2">
        <v>1691.25</v>
      </c>
      <c r="V83">
        <v>16.12</v>
      </c>
      <c r="W83">
        <v>1313.63</v>
      </c>
      <c r="X83" s="2">
        <v>361.5</v>
      </c>
      <c r="Y83">
        <v>0.2137</v>
      </c>
      <c r="Z83">
        <v>1</v>
      </c>
      <c r="AA83" t="s">
        <v>46</v>
      </c>
      <c r="AB83" t="s">
        <v>47</v>
      </c>
      <c r="AD83">
        <v>5</v>
      </c>
      <c r="AE83" s="2">
        <v>1919.37</v>
      </c>
      <c r="AF83">
        <v>0.88109999999999999</v>
      </c>
      <c r="AG83" t="s">
        <v>49</v>
      </c>
      <c r="AH83" s="23">
        <f>SUM(Amazon_Data_Set[[#This Row],[Gross Sales]]-Amazon_Data_Set[[#This Row],[Discount Amount]])</f>
        <v>1691.25</v>
      </c>
    </row>
    <row r="84" spans="1:34">
      <c r="A84" t="s">
        <v>425</v>
      </c>
      <c r="B84" s="1">
        <v>46365</v>
      </c>
      <c r="C84" t="str">
        <f>TEXT(Amazon_Data_Set[[#This Row],[Order Date]],"mmm")</f>
        <v>Dec</v>
      </c>
      <c r="D84" t="s">
        <v>426</v>
      </c>
      <c r="E84" t="s">
        <v>109</v>
      </c>
      <c r="F84" t="s">
        <v>154</v>
      </c>
      <c r="G84" t="s">
        <v>111</v>
      </c>
      <c r="H84" t="s">
        <v>55</v>
      </c>
      <c r="I84" t="s">
        <v>73</v>
      </c>
      <c r="J84" t="s">
        <v>230</v>
      </c>
      <c r="K84" t="s">
        <v>231</v>
      </c>
      <c r="L84" t="s">
        <v>427</v>
      </c>
      <c r="M84" t="s">
        <v>43</v>
      </c>
      <c r="N84" t="s">
        <v>95</v>
      </c>
      <c r="O84" t="s">
        <v>45</v>
      </c>
      <c r="P84">
        <v>3</v>
      </c>
      <c r="Q84">
        <v>7479.93</v>
      </c>
      <c r="R84" s="19">
        <v>0</v>
      </c>
      <c r="S84" s="21">
        <v>0</v>
      </c>
      <c r="T84">
        <v>22439.79</v>
      </c>
      <c r="U84" s="2">
        <v>22439.79</v>
      </c>
      <c r="V84">
        <v>213.41</v>
      </c>
      <c r="W84">
        <v>14879.65</v>
      </c>
      <c r="X84" s="2">
        <v>7346.73</v>
      </c>
      <c r="Y84">
        <v>0.32740000000000002</v>
      </c>
      <c r="Z84">
        <v>2</v>
      </c>
      <c r="AA84" t="s">
        <v>46</v>
      </c>
      <c r="AB84" t="s">
        <v>47</v>
      </c>
      <c r="AD84">
        <v>5</v>
      </c>
      <c r="AE84" s="2">
        <v>26484.06</v>
      </c>
      <c r="AF84">
        <v>0.84730000000000005</v>
      </c>
      <c r="AG84" t="s">
        <v>49</v>
      </c>
      <c r="AH84" s="23">
        <f>SUM(Amazon_Data_Set[[#This Row],[Gross Sales]]-Amazon_Data_Set[[#This Row],[Discount Amount]])</f>
        <v>22439.79</v>
      </c>
    </row>
    <row r="85" spans="1:34">
      <c r="A85" t="s">
        <v>428</v>
      </c>
      <c r="B85" s="1">
        <v>46343</v>
      </c>
      <c r="C85" t="str">
        <f>TEXT(Amazon_Data_Set[[#This Row],[Order Date]],"mmm")</f>
        <v>Nov</v>
      </c>
      <c r="D85" t="s">
        <v>429</v>
      </c>
      <c r="E85" t="s">
        <v>109</v>
      </c>
      <c r="F85" t="s">
        <v>154</v>
      </c>
      <c r="G85" t="s">
        <v>111</v>
      </c>
      <c r="H85" t="s">
        <v>83</v>
      </c>
      <c r="I85" t="s">
        <v>84</v>
      </c>
      <c r="J85" t="s">
        <v>277</v>
      </c>
      <c r="K85" t="s">
        <v>86</v>
      </c>
      <c r="L85" t="s">
        <v>430</v>
      </c>
      <c r="M85" t="s">
        <v>43</v>
      </c>
      <c r="N85" t="s">
        <v>44</v>
      </c>
      <c r="O85" t="s">
        <v>45</v>
      </c>
      <c r="P85">
        <v>4</v>
      </c>
      <c r="Q85">
        <v>994.15</v>
      </c>
      <c r="R85" s="19">
        <v>0</v>
      </c>
      <c r="S85" s="21">
        <v>0</v>
      </c>
      <c r="T85">
        <v>3976.6</v>
      </c>
      <c r="U85" s="2">
        <v>3976.6</v>
      </c>
      <c r="V85">
        <v>104.39</v>
      </c>
      <c r="W85">
        <v>2298.2399999999998</v>
      </c>
      <c r="X85" s="2">
        <v>1573.97</v>
      </c>
      <c r="Y85">
        <v>0.39579999999999999</v>
      </c>
      <c r="Z85">
        <v>3</v>
      </c>
      <c r="AA85" t="s">
        <v>46</v>
      </c>
      <c r="AB85" t="s">
        <v>47</v>
      </c>
      <c r="AD85">
        <v>4</v>
      </c>
      <c r="AE85" s="2">
        <v>4813.0600000000004</v>
      </c>
      <c r="AF85">
        <v>0.82620000000000005</v>
      </c>
      <c r="AG85" t="s">
        <v>49</v>
      </c>
      <c r="AH85" s="23">
        <f>SUM(Amazon_Data_Set[[#This Row],[Gross Sales]]-Amazon_Data_Set[[#This Row],[Discount Amount]])</f>
        <v>3976.6</v>
      </c>
    </row>
    <row r="86" spans="1:34">
      <c r="A86" t="s">
        <v>431</v>
      </c>
      <c r="B86" s="1">
        <v>46246</v>
      </c>
      <c r="C86" t="str">
        <f>TEXT(Amazon_Data_Set[[#This Row],[Order Date]],"mmm")</f>
        <v>Aug</v>
      </c>
      <c r="D86" t="s">
        <v>182</v>
      </c>
      <c r="E86" t="s">
        <v>194</v>
      </c>
      <c r="F86" t="s">
        <v>195</v>
      </c>
      <c r="G86" t="s">
        <v>111</v>
      </c>
      <c r="H86" t="s">
        <v>38</v>
      </c>
      <c r="I86" t="s">
        <v>39</v>
      </c>
      <c r="J86" t="s">
        <v>281</v>
      </c>
      <c r="K86" t="s">
        <v>282</v>
      </c>
      <c r="L86" t="s">
        <v>432</v>
      </c>
      <c r="M86" t="s">
        <v>106</v>
      </c>
      <c r="N86" t="s">
        <v>70</v>
      </c>
      <c r="O86" t="s">
        <v>45</v>
      </c>
      <c r="P86">
        <v>3</v>
      </c>
      <c r="Q86">
        <v>4842.51</v>
      </c>
      <c r="R86" s="19">
        <v>0.25</v>
      </c>
      <c r="S86" s="21">
        <v>3631.88</v>
      </c>
      <c r="T86">
        <v>14527.53</v>
      </c>
      <c r="U86" s="2">
        <v>10895.65</v>
      </c>
      <c r="V86">
        <v>18.97</v>
      </c>
      <c r="W86">
        <v>6932.22</v>
      </c>
      <c r="X86" s="2">
        <v>3944.46</v>
      </c>
      <c r="Y86">
        <v>0.36199999999999999</v>
      </c>
      <c r="Z86">
        <v>4</v>
      </c>
      <c r="AA86" t="s">
        <v>46</v>
      </c>
      <c r="AB86" t="s">
        <v>47</v>
      </c>
      <c r="AD86">
        <v>5</v>
      </c>
      <c r="AE86" s="2">
        <v>11000</v>
      </c>
      <c r="AF86">
        <v>0.99050000000000005</v>
      </c>
      <c r="AG86" t="s">
        <v>49</v>
      </c>
      <c r="AH86" s="23">
        <f>SUM(Amazon_Data_Set[[#This Row],[Gross Sales]]-Amazon_Data_Set[[#This Row],[Discount Amount]])</f>
        <v>10895.650000000001</v>
      </c>
    </row>
    <row r="87" spans="1:34">
      <c r="A87" t="s">
        <v>433</v>
      </c>
      <c r="B87" s="1">
        <v>46353</v>
      </c>
      <c r="C87" t="str">
        <f>TEXT(Amazon_Data_Set[[#This Row],[Order Date]],"mmm")</f>
        <v>Nov</v>
      </c>
      <c r="D87" t="s">
        <v>434</v>
      </c>
      <c r="E87" t="s">
        <v>52</v>
      </c>
      <c r="F87" t="s">
        <v>53</v>
      </c>
      <c r="G87" t="s">
        <v>54</v>
      </c>
      <c r="H87" t="s">
        <v>38</v>
      </c>
      <c r="I87" t="s">
        <v>66</v>
      </c>
      <c r="J87" t="s">
        <v>67</v>
      </c>
      <c r="K87" t="s">
        <v>68</v>
      </c>
      <c r="L87" t="s">
        <v>435</v>
      </c>
      <c r="M87" t="s">
        <v>43</v>
      </c>
      <c r="N87" t="s">
        <v>77</v>
      </c>
      <c r="O87" t="s">
        <v>45</v>
      </c>
      <c r="P87">
        <v>4</v>
      </c>
      <c r="Q87">
        <v>2271.61</v>
      </c>
      <c r="R87" s="19">
        <v>0</v>
      </c>
      <c r="S87" s="21">
        <v>0</v>
      </c>
      <c r="T87">
        <v>9086.44</v>
      </c>
      <c r="U87" s="2">
        <v>9086.44</v>
      </c>
      <c r="V87">
        <v>230.7</v>
      </c>
      <c r="W87">
        <v>4965.9799999999996</v>
      </c>
      <c r="X87" s="2">
        <v>3889.76</v>
      </c>
      <c r="Y87">
        <v>0.42809999999999998</v>
      </c>
      <c r="Z87">
        <v>8</v>
      </c>
      <c r="AA87" t="s">
        <v>61</v>
      </c>
      <c r="AB87" t="s">
        <v>47</v>
      </c>
      <c r="AD87">
        <v>4</v>
      </c>
      <c r="AE87" s="2">
        <v>9125.99</v>
      </c>
      <c r="AF87">
        <v>0.99570000000000003</v>
      </c>
      <c r="AG87" t="s">
        <v>49</v>
      </c>
      <c r="AH87" s="23">
        <f>SUM(Amazon_Data_Set[[#This Row],[Gross Sales]]-Amazon_Data_Set[[#This Row],[Discount Amount]])</f>
        <v>9086.44</v>
      </c>
    </row>
    <row r="88" spans="1:34">
      <c r="A88" t="s">
        <v>436</v>
      </c>
      <c r="B88" s="1">
        <v>46061</v>
      </c>
      <c r="C88" t="str">
        <f>TEXT(Amazon_Data_Set[[#This Row],[Order Date]],"mmm")</f>
        <v>Feb</v>
      </c>
      <c r="D88" t="s">
        <v>437</v>
      </c>
      <c r="E88" t="s">
        <v>235</v>
      </c>
      <c r="F88" t="s">
        <v>236</v>
      </c>
      <c r="G88" t="s">
        <v>82</v>
      </c>
      <c r="H88" t="s">
        <v>38</v>
      </c>
      <c r="I88" t="s">
        <v>39</v>
      </c>
      <c r="J88" t="s">
        <v>40</v>
      </c>
      <c r="K88" t="s">
        <v>41</v>
      </c>
      <c r="L88" t="s">
        <v>438</v>
      </c>
      <c r="M88" t="s">
        <v>43</v>
      </c>
      <c r="N88" t="s">
        <v>70</v>
      </c>
      <c r="O88" t="s">
        <v>45</v>
      </c>
      <c r="P88">
        <v>3</v>
      </c>
      <c r="Q88">
        <v>368.13</v>
      </c>
      <c r="R88" s="19">
        <v>0.25</v>
      </c>
      <c r="S88" s="21">
        <v>276.10000000000002</v>
      </c>
      <c r="T88">
        <v>1104.3900000000001</v>
      </c>
      <c r="U88" s="2">
        <v>828.29</v>
      </c>
      <c r="V88">
        <v>153.63999999999999</v>
      </c>
      <c r="W88">
        <v>475.61</v>
      </c>
      <c r="X88" s="2">
        <v>199.04</v>
      </c>
      <c r="Y88">
        <v>0.24030000000000001</v>
      </c>
      <c r="Z88">
        <v>2</v>
      </c>
      <c r="AA88" t="s">
        <v>46</v>
      </c>
      <c r="AB88" t="s">
        <v>47</v>
      </c>
      <c r="AD88">
        <v>4</v>
      </c>
      <c r="AE88" s="2">
        <v>931.28</v>
      </c>
      <c r="AF88">
        <v>0.88939999999999997</v>
      </c>
      <c r="AG88" t="s">
        <v>49</v>
      </c>
      <c r="AH88" s="23">
        <f>SUM(Amazon_Data_Set[[#This Row],[Gross Sales]]-Amazon_Data_Set[[#This Row],[Discount Amount]])</f>
        <v>828.29000000000008</v>
      </c>
    </row>
    <row r="89" spans="1:34">
      <c r="A89" t="s">
        <v>439</v>
      </c>
      <c r="B89" s="1">
        <v>46080</v>
      </c>
      <c r="C89" t="str">
        <f>TEXT(Amazon_Data_Set[[#This Row],[Order Date]],"mmm")</f>
        <v>Feb</v>
      </c>
      <c r="D89" t="s">
        <v>328</v>
      </c>
      <c r="E89" t="s">
        <v>80</v>
      </c>
      <c r="F89" t="s">
        <v>81</v>
      </c>
      <c r="G89" t="s">
        <v>82</v>
      </c>
      <c r="H89" t="s">
        <v>142</v>
      </c>
      <c r="I89" t="s">
        <v>143</v>
      </c>
      <c r="J89" t="s">
        <v>183</v>
      </c>
      <c r="K89" t="s">
        <v>184</v>
      </c>
      <c r="L89" t="s">
        <v>440</v>
      </c>
      <c r="M89" t="s">
        <v>43</v>
      </c>
      <c r="N89" t="s">
        <v>60</v>
      </c>
      <c r="O89" t="s">
        <v>45</v>
      </c>
      <c r="P89">
        <v>4</v>
      </c>
      <c r="Q89">
        <v>1563.83</v>
      </c>
      <c r="R89" s="19">
        <v>0.05</v>
      </c>
      <c r="S89" s="21">
        <v>312.77</v>
      </c>
      <c r="T89">
        <v>6255.32</v>
      </c>
      <c r="U89" s="2">
        <v>5942.55</v>
      </c>
      <c r="V89">
        <v>216.66</v>
      </c>
      <c r="W89">
        <v>4623.5600000000004</v>
      </c>
      <c r="X89" s="2">
        <v>1102.33</v>
      </c>
      <c r="Y89">
        <v>0.1855</v>
      </c>
      <c r="Z89">
        <v>3</v>
      </c>
      <c r="AA89" t="s">
        <v>46</v>
      </c>
      <c r="AB89" t="s">
        <v>47</v>
      </c>
      <c r="AD89">
        <v>4</v>
      </c>
      <c r="AE89" s="2">
        <v>5852.15</v>
      </c>
      <c r="AF89">
        <v>1.0154000000000001</v>
      </c>
      <c r="AG89" t="s">
        <v>49</v>
      </c>
      <c r="AH89" s="23">
        <f>SUM(Amazon_Data_Set[[#This Row],[Gross Sales]]-Amazon_Data_Set[[#This Row],[Discount Amount]])</f>
        <v>5942.5499999999993</v>
      </c>
    </row>
    <row r="90" spans="1:34">
      <c r="A90" t="s">
        <v>441</v>
      </c>
      <c r="B90" s="1">
        <v>46216</v>
      </c>
      <c r="C90" t="str">
        <f>TEXT(Amazon_Data_Set[[#This Row],[Order Date]],"mmm")</f>
        <v>Jul</v>
      </c>
      <c r="D90" t="s">
        <v>442</v>
      </c>
      <c r="E90" t="s">
        <v>174</v>
      </c>
      <c r="F90" t="s">
        <v>175</v>
      </c>
      <c r="G90" t="s">
        <v>82</v>
      </c>
      <c r="H90" t="s">
        <v>90</v>
      </c>
      <c r="I90" t="s">
        <v>91</v>
      </c>
      <c r="J90" t="s">
        <v>443</v>
      </c>
      <c r="K90" t="s">
        <v>444</v>
      </c>
      <c r="L90" t="s">
        <v>445</v>
      </c>
      <c r="M90" t="s">
        <v>43</v>
      </c>
      <c r="N90" t="s">
        <v>77</v>
      </c>
      <c r="O90" t="s">
        <v>96</v>
      </c>
      <c r="P90">
        <v>4</v>
      </c>
      <c r="Q90">
        <v>1162.75</v>
      </c>
      <c r="R90" s="19">
        <v>0</v>
      </c>
      <c r="S90" s="21">
        <v>0</v>
      </c>
      <c r="T90">
        <v>4651</v>
      </c>
      <c r="U90" s="2">
        <v>4651</v>
      </c>
      <c r="V90">
        <v>122.49</v>
      </c>
      <c r="W90">
        <v>2872.08</v>
      </c>
      <c r="X90" s="2">
        <v>1656.43</v>
      </c>
      <c r="Y90">
        <v>0.35610000000000003</v>
      </c>
      <c r="Z90">
        <v>0</v>
      </c>
      <c r="AA90" t="s">
        <v>97</v>
      </c>
      <c r="AB90" t="s">
        <v>47</v>
      </c>
      <c r="AE90" s="2">
        <v>4595.17</v>
      </c>
      <c r="AF90">
        <v>1.0121</v>
      </c>
      <c r="AG90" t="s">
        <v>49</v>
      </c>
      <c r="AH90" s="23">
        <f>SUM(Amazon_Data_Set[[#This Row],[Gross Sales]]-Amazon_Data_Set[[#This Row],[Discount Amount]])</f>
        <v>4651</v>
      </c>
    </row>
    <row r="91" spans="1:34">
      <c r="A91" t="s">
        <v>446</v>
      </c>
      <c r="B91" s="1">
        <v>46363</v>
      </c>
      <c r="C91" t="str">
        <f>TEXT(Amazon_Data_Set[[#This Row],[Order Date]],"mmm")</f>
        <v>Dec</v>
      </c>
      <c r="D91" t="s">
        <v>447</v>
      </c>
      <c r="E91" t="s">
        <v>118</v>
      </c>
      <c r="F91" t="s">
        <v>119</v>
      </c>
      <c r="G91" t="s">
        <v>82</v>
      </c>
      <c r="H91" t="s">
        <v>55</v>
      </c>
      <c r="I91" t="s">
        <v>56</v>
      </c>
      <c r="J91" t="s">
        <v>448</v>
      </c>
      <c r="K91" t="s">
        <v>170</v>
      </c>
      <c r="L91" t="s">
        <v>449</v>
      </c>
      <c r="M91" t="s">
        <v>106</v>
      </c>
      <c r="N91" t="s">
        <v>70</v>
      </c>
      <c r="O91" t="s">
        <v>45</v>
      </c>
      <c r="P91">
        <v>5</v>
      </c>
      <c r="Q91">
        <v>9697.5</v>
      </c>
      <c r="R91" s="19">
        <v>0</v>
      </c>
      <c r="S91" s="21">
        <v>0</v>
      </c>
      <c r="T91">
        <v>48487.5</v>
      </c>
      <c r="U91" s="2">
        <v>48487.5</v>
      </c>
      <c r="V91">
        <v>97.94</v>
      </c>
      <c r="W91">
        <v>25998.080000000002</v>
      </c>
      <c r="X91" s="2">
        <v>22391.48</v>
      </c>
      <c r="Y91">
        <v>0.46179999999999999</v>
      </c>
      <c r="Z91">
        <v>8</v>
      </c>
      <c r="AA91" t="s">
        <v>61</v>
      </c>
      <c r="AB91" t="s">
        <v>48</v>
      </c>
      <c r="AC91" t="s">
        <v>320</v>
      </c>
      <c r="AD91">
        <v>4</v>
      </c>
      <c r="AE91" s="2">
        <v>58631.360000000001</v>
      </c>
      <c r="AF91">
        <v>0.82699999999999996</v>
      </c>
      <c r="AG91" t="s">
        <v>49</v>
      </c>
      <c r="AH91" s="23">
        <f>SUM(Amazon_Data_Set[[#This Row],[Gross Sales]]-Amazon_Data_Set[[#This Row],[Discount Amount]])</f>
        <v>48487.5</v>
      </c>
    </row>
    <row r="92" spans="1:34">
      <c r="A92" t="s">
        <v>450</v>
      </c>
      <c r="B92" s="1">
        <v>46338</v>
      </c>
      <c r="C92" t="str">
        <f>TEXT(Amazon_Data_Set[[#This Row],[Order Date]],"mmm")</f>
        <v>Nov</v>
      </c>
      <c r="D92" t="s">
        <v>153</v>
      </c>
      <c r="E92" t="s">
        <v>100</v>
      </c>
      <c r="F92" t="s">
        <v>179</v>
      </c>
      <c r="G92" t="s">
        <v>54</v>
      </c>
      <c r="H92" t="s">
        <v>142</v>
      </c>
      <c r="I92" t="s">
        <v>214</v>
      </c>
      <c r="J92" t="s">
        <v>350</v>
      </c>
      <c r="K92" t="s">
        <v>351</v>
      </c>
      <c r="L92" t="s">
        <v>451</v>
      </c>
      <c r="M92" t="s">
        <v>106</v>
      </c>
      <c r="N92" t="s">
        <v>77</v>
      </c>
      <c r="O92" t="s">
        <v>130</v>
      </c>
      <c r="P92">
        <v>1</v>
      </c>
      <c r="Q92">
        <v>1700.57</v>
      </c>
      <c r="R92" s="19">
        <v>0</v>
      </c>
      <c r="S92" s="21">
        <v>0</v>
      </c>
      <c r="T92">
        <v>1700.57</v>
      </c>
      <c r="U92" s="2">
        <v>1700.57</v>
      </c>
      <c r="V92">
        <v>118.81</v>
      </c>
      <c r="W92">
        <v>1067.0999999999999</v>
      </c>
      <c r="X92" s="2">
        <v>514.66</v>
      </c>
      <c r="Y92">
        <v>0.30259999999999998</v>
      </c>
      <c r="Z92">
        <v>6</v>
      </c>
      <c r="AA92" t="s">
        <v>131</v>
      </c>
      <c r="AB92" t="s">
        <v>47</v>
      </c>
      <c r="AE92" s="2">
        <v>1917.5</v>
      </c>
      <c r="AF92">
        <v>0.88690000000000002</v>
      </c>
      <c r="AG92" t="s">
        <v>49</v>
      </c>
      <c r="AH92" s="23">
        <f>SUM(Amazon_Data_Set[[#This Row],[Gross Sales]]-Amazon_Data_Set[[#This Row],[Discount Amount]])</f>
        <v>1700.57</v>
      </c>
    </row>
    <row r="93" spans="1:34">
      <c r="A93" t="s">
        <v>452</v>
      </c>
      <c r="B93" s="1">
        <v>46120</v>
      </c>
      <c r="C93" t="str">
        <f>TEXT(Amazon_Data_Set[[#This Row],[Order Date]],"mmm")</f>
        <v>Apr</v>
      </c>
      <c r="D93" t="s">
        <v>182</v>
      </c>
      <c r="E93" t="s">
        <v>167</v>
      </c>
      <c r="F93" t="s">
        <v>168</v>
      </c>
      <c r="G93" t="s">
        <v>111</v>
      </c>
      <c r="H93" t="s">
        <v>55</v>
      </c>
      <c r="I93" t="s">
        <v>120</v>
      </c>
      <c r="J93" t="s">
        <v>121</v>
      </c>
      <c r="K93" t="s">
        <v>122</v>
      </c>
      <c r="L93" t="s">
        <v>453</v>
      </c>
      <c r="M93" t="s">
        <v>43</v>
      </c>
      <c r="N93" t="s">
        <v>95</v>
      </c>
      <c r="O93" t="s">
        <v>45</v>
      </c>
      <c r="P93">
        <v>3</v>
      </c>
      <c r="Q93">
        <v>40574.26</v>
      </c>
      <c r="R93" s="19">
        <v>0.15</v>
      </c>
      <c r="S93" s="21">
        <v>18258.419999999998</v>
      </c>
      <c r="T93">
        <v>121722.78</v>
      </c>
      <c r="U93" s="2">
        <v>103464.36</v>
      </c>
      <c r="V93">
        <v>52.9</v>
      </c>
      <c r="W93">
        <v>76347.83</v>
      </c>
      <c r="X93" s="2">
        <v>27063.63</v>
      </c>
      <c r="Y93">
        <v>0.2616</v>
      </c>
      <c r="Z93">
        <v>6</v>
      </c>
      <c r="AA93" t="s">
        <v>61</v>
      </c>
      <c r="AB93" t="s">
        <v>47</v>
      </c>
      <c r="AD93">
        <v>4</v>
      </c>
      <c r="AE93" s="2">
        <v>106692.97</v>
      </c>
      <c r="AF93">
        <v>0.96970000000000001</v>
      </c>
      <c r="AG93" t="s">
        <v>49</v>
      </c>
      <c r="AH93" s="23">
        <f>SUM(Amazon_Data_Set[[#This Row],[Gross Sales]]-Amazon_Data_Set[[#This Row],[Discount Amount]])</f>
        <v>103464.36</v>
      </c>
    </row>
    <row r="94" spans="1:34">
      <c r="A94" t="s">
        <v>454</v>
      </c>
      <c r="B94" s="1">
        <v>46069</v>
      </c>
      <c r="C94" t="str">
        <f>TEXT(Amazon_Data_Set[[#This Row],[Order Date]],"mmm")</f>
        <v>Feb</v>
      </c>
      <c r="D94" t="s">
        <v>455</v>
      </c>
      <c r="E94" t="s">
        <v>194</v>
      </c>
      <c r="F94" t="s">
        <v>195</v>
      </c>
      <c r="G94" t="s">
        <v>111</v>
      </c>
      <c r="H94" t="s">
        <v>142</v>
      </c>
      <c r="I94" t="s">
        <v>209</v>
      </c>
      <c r="J94" t="s">
        <v>210</v>
      </c>
      <c r="K94" t="s">
        <v>201</v>
      </c>
      <c r="L94" t="s">
        <v>456</v>
      </c>
      <c r="M94" t="s">
        <v>43</v>
      </c>
      <c r="N94" t="s">
        <v>95</v>
      </c>
      <c r="O94" t="s">
        <v>45</v>
      </c>
      <c r="P94">
        <v>4</v>
      </c>
      <c r="Q94">
        <v>3369.91</v>
      </c>
      <c r="R94" s="19">
        <v>0.1</v>
      </c>
      <c r="S94" s="21">
        <v>1347.96</v>
      </c>
      <c r="T94">
        <v>13479.64</v>
      </c>
      <c r="U94" s="2">
        <v>12131.68</v>
      </c>
      <c r="V94">
        <v>43.4</v>
      </c>
      <c r="W94">
        <v>7452.51</v>
      </c>
      <c r="X94" s="2">
        <v>4635.7700000000004</v>
      </c>
      <c r="Y94">
        <v>0.3821</v>
      </c>
      <c r="Z94">
        <v>1</v>
      </c>
      <c r="AA94" t="s">
        <v>46</v>
      </c>
      <c r="AB94" t="s">
        <v>47</v>
      </c>
      <c r="AD94">
        <v>5</v>
      </c>
      <c r="AE94" s="2">
        <v>13084.56</v>
      </c>
      <c r="AF94">
        <v>0.92720000000000002</v>
      </c>
      <c r="AG94" t="s">
        <v>49</v>
      </c>
      <c r="AH94" s="23">
        <f>SUM(Amazon_Data_Set[[#This Row],[Gross Sales]]-Amazon_Data_Set[[#This Row],[Discount Amount]])</f>
        <v>12131.68</v>
      </c>
    </row>
    <row r="95" spans="1:34">
      <c r="A95" t="s">
        <v>457</v>
      </c>
      <c r="B95" s="1">
        <v>46318</v>
      </c>
      <c r="C95" t="str">
        <f>TEXT(Amazon_Data_Set[[#This Row],[Order Date]],"mmm")</f>
        <v>Oct</v>
      </c>
      <c r="D95" t="s">
        <v>269</v>
      </c>
      <c r="E95" t="s">
        <v>64</v>
      </c>
      <c r="F95" t="s">
        <v>65</v>
      </c>
      <c r="G95" t="s">
        <v>54</v>
      </c>
      <c r="H95" t="s">
        <v>38</v>
      </c>
      <c r="I95" t="s">
        <v>39</v>
      </c>
      <c r="J95" t="s">
        <v>155</v>
      </c>
      <c r="K95" t="s">
        <v>156</v>
      </c>
      <c r="L95" t="s">
        <v>458</v>
      </c>
      <c r="M95" t="s">
        <v>43</v>
      </c>
      <c r="N95" t="s">
        <v>77</v>
      </c>
      <c r="O95" t="s">
        <v>45</v>
      </c>
      <c r="P95">
        <v>3</v>
      </c>
      <c r="Q95">
        <v>2770.45</v>
      </c>
      <c r="R95" s="19">
        <v>0.2</v>
      </c>
      <c r="S95" s="21">
        <v>1662.27</v>
      </c>
      <c r="T95">
        <v>8311.35</v>
      </c>
      <c r="U95" s="2">
        <v>6649.08</v>
      </c>
      <c r="V95">
        <v>199.35</v>
      </c>
      <c r="W95">
        <v>3754.97</v>
      </c>
      <c r="X95" s="2">
        <v>2694.76</v>
      </c>
      <c r="Y95">
        <v>0.40529999999999999</v>
      </c>
      <c r="Z95">
        <v>2</v>
      </c>
      <c r="AA95" t="s">
        <v>46</v>
      </c>
      <c r="AB95" t="s">
        <v>47</v>
      </c>
      <c r="AD95">
        <v>4</v>
      </c>
      <c r="AE95" s="2">
        <v>6668.38</v>
      </c>
      <c r="AF95">
        <v>0.99709999999999999</v>
      </c>
      <c r="AG95" t="s">
        <v>49</v>
      </c>
      <c r="AH95" s="23">
        <f>SUM(Amazon_Data_Set[[#This Row],[Gross Sales]]-Amazon_Data_Set[[#This Row],[Discount Amount]])</f>
        <v>6649.08</v>
      </c>
    </row>
    <row r="96" spans="1:34">
      <c r="A96" t="s">
        <v>459</v>
      </c>
      <c r="B96" s="1">
        <v>46211</v>
      </c>
      <c r="C96" t="str">
        <f>TEXT(Amazon_Data_Set[[#This Row],[Order Date]],"mmm")</f>
        <v>Jul</v>
      </c>
      <c r="D96" t="s">
        <v>182</v>
      </c>
      <c r="E96" t="s">
        <v>100</v>
      </c>
      <c r="F96" t="s">
        <v>101</v>
      </c>
      <c r="G96" t="s">
        <v>54</v>
      </c>
      <c r="H96" t="s">
        <v>83</v>
      </c>
      <c r="I96" t="s">
        <v>102</v>
      </c>
      <c r="J96" t="s">
        <v>259</v>
      </c>
      <c r="K96" t="s">
        <v>260</v>
      </c>
      <c r="L96" t="s">
        <v>460</v>
      </c>
      <c r="M96" t="s">
        <v>43</v>
      </c>
      <c r="N96" t="s">
        <v>44</v>
      </c>
      <c r="O96" t="s">
        <v>96</v>
      </c>
      <c r="P96">
        <v>5</v>
      </c>
      <c r="Q96">
        <v>2429.5</v>
      </c>
      <c r="R96" s="19">
        <v>0.2</v>
      </c>
      <c r="S96" s="21">
        <v>2429.5</v>
      </c>
      <c r="T96">
        <v>12147.5</v>
      </c>
      <c r="U96" s="2">
        <v>9718</v>
      </c>
      <c r="V96">
        <v>135.29</v>
      </c>
      <c r="W96">
        <v>5709.9</v>
      </c>
      <c r="X96" s="2">
        <v>3872.81</v>
      </c>
      <c r="Y96">
        <v>0.39850000000000002</v>
      </c>
      <c r="Z96">
        <v>0</v>
      </c>
      <c r="AA96" t="s">
        <v>97</v>
      </c>
      <c r="AB96" t="s">
        <v>47</v>
      </c>
      <c r="AE96" s="2">
        <v>10639.89</v>
      </c>
      <c r="AF96">
        <v>0.91339999999999999</v>
      </c>
      <c r="AG96" t="s">
        <v>347</v>
      </c>
      <c r="AH96" s="23">
        <f>SUM(Amazon_Data_Set[[#This Row],[Gross Sales]]-Amazon_Data_Set[[#This Row],[Discount Amount]])</f>
        <v>9718</v>
      </c>
    </row>
    <row r="97" spans="1:34">
      <c r="A97" t="s">
        <v>461</v>
      </c>
      <c r="B97" s="1">
        <v>46179</v>
      </c>
      <c r="C97" t="str">
        <f>TEXT(Amazon_Data_Set[[#This Row],[Order Date]],"mmm")</f>
        <v>Jun</v>
      </c>
      <c r="D97" t="s">
        <v>462</v>
      </c>
      <c r="E97" t="s">
        <v>235</v>
      </c>
      <c r="F97" t="s">
        <v>236</v>
      </c>
      <c r="G97" t="s">
        <v>82</v>
      </c>
      <c r="H97" t="s">
        <v>142</v>
      </c>
      <c r="I97" t="s">
        <v>214</v>
      </c>
      <c r="J97" t="s">
        <v>215</v>
      </c>
      <c r="K97" t="s">
        <v>216</v>
      </c>
      <c r="L97" t="s">
        <v>463</v>
      </c>
      <c r="M97" t="s">
        <v>43</v>
      </c>
      <c r="N97" t="s">
        <v>60</v>
      </c>
      <c r="O97" t="s">
        <v>45</v>
      </c>
      <c r="P97">
        <v>5</v>
      </c>
      <c r="Q97">
        <v>1035.6300000000001</v>
      </c>
      <c r="R97" s="19">
        <v>0</v>
      </c>
      <c r="S97" s="21">
        <v>0</v>
      </c>
      <c r="T97">
        <v>5178.1499999999996</v>
      </c>
      <c r="U97" s="2">
        <v>5178.1499999999996</v>
      </c>
      <c r="V97">
        <v>244.61</v>
      </c>
      <c r="W97">
        <v>3460.91</v>
      </c>
      <c r="X97" s="2">
        <v>1472.63</v>
      </c>
      <c r="Y97">
        <v>0.28439999999999999</v>
      </c>
      <c r="Z97">
        <v>2</v>
      </c>
      <c r="AA97" t="s">
        <v>46</v>
      </c>
      <c r="AB97" t="s">
        <v>47</v>
      </c>
      <c r="AD97">
        <v>4</v>
      </c>
      <c r="AE97" s="2">
        <v>6199.88</v>
      </c>
      <c r="AF97">
        <v>0.83520000000000005</v>
      </c>
      <c r="AG97" t="s">
        <v>49</v>
      </c>
      <c r="AH97" s="23">
        <f>SUM(Amazon_Data_Set[[#This Row],[Gross Sales]]-Amazon_Data_Set[[#This Row],[Discount Amount]])</f>
        <v>5178.1499999999996</v>
      </c>
    </row>
    <row r="98" spans="1:34">
      <c r="A98" t="s">
        <v>464</v>
      </c>
      <c r="B98" s="1">
        <v>46141</v>
      </c>
      <c r="C98" t="str">
        <f>TEXT(Amazon_Data_Set[[#This Row],[Order Date]],"mmm")</f>
        <v>Apr</v>
      </c>
      <c r="D98" t="s">
        <v>465</v>
      </c>
      <c r="E98" t="s">
        <v>100</v>
      </c>
      <c r="F98" t="s">
        <v>179</v>
      </c>
      <c r="G98" t="s">
        <v>54</v>
      </c>
      <c r="H98" t="s">
        <v>38</v>
      </c>
      <c r="I98" t="s">
        <v>161</v>
      </c>
      <c r="J98" t="s">
        <v>223</v>
      </c>
      <c r="K98" t="s">
        <v>224</v>
      </c>
      <c r="L98" t="s">
        <v>466</v>
      </c>
      <c r="M98" t="s">
        <v>106</v>
      </c>
      <c r="N98" t="s">
        <v>95</v>
      </c>
      <c r="O98" t="s">
        <v>45</v>
      </c>
      <c r="P98">
        <v>3</v>
      </c>
      <c r="Q98">
        <v>750.01</v>
      </c>
      <c r="R98" s="19">
        <v>0</v>
      </c>
      <c r="S98" s="21">
        <v>0</v>
      </c>
      <c r="T98">
        <v>2250.0300000000002</v>
      </c>
      <c r="U98" s="2">
        <v>2250.0300000000002</v>
      </c>
      <c r="V98">
        <v>129.86000000000001</v>
      </c>
      <c r="W98">
        <v>1432.47</v>
      </c>
      <c r="X98" s="2">
        <v>687.7</v>
      </c>
      <c r="Y98">
        <v>0.30559999999999998</v>
      </c>
      <c r="Z98">
        <v>4</v>
      </c>
      <c r="AA98" t="s">
        <v>46</v>
      </c>
      <c r="AB98" t="s">
        <v>47</v>
      </c>
      <c r="AD98">
        <v>4</v>
      </c>
      <c r="AE98" s="2">
        <v>1912.94</v>
      </c>
      <c r="AF98">
        <v>1.1761999999999999</v>
      </c>
      <c r="AG98" t="s">
        <v>49</v>
      </c>
      <c r="AH98" s="23">
        <f>SUM(Amazon_Data_Set[[#This Row],[Gross Sales]]-Amazon_Data_Set[[#This Row],[Discount Amount]])</f>
        <v>2250.0300000000002</v>
      </c>
    </row>
    <row r="99" spans="1:34">
      <c r="A99" t="s">
        <v>467</v>
      </c>
      <c r="B99" s="1">
        <v>46189</v>
      </c>
      <c r="C99" t="str">
        <f>TEXT(Amazon_Data_Set[[#This Row],[Order Date]],"mmm")</f>
        <v>Jun</v>
      </c>
      <c r="D99" t="s">
        <v>468</v>
      </c>
      <c r="E99" t="s">
        <v>194</v>
      </c>
      <c r="F99" t="s">
        <v>195</v>
      </c>
      <c r="G99" t="s">
        <v>111</v>
      </c>
      <c r="H99" t="s">
        <v>142</v>
      </c>
      <c r="I99" t="s">
        <v>143</v>
      </c>
      <c r="J99" t="s">
        <v>144</v>
      </c>
      <c r="K99" t="s">
        <v>145</v>
      </c>
      <c r="L99" t="s">
        <v>469</v>
      </c>
      <c r="M99" t="s">
        <v>43</v>
      </c>
      <c r="N99" t="s">
        <v>124</v>
      </c>
      <c r="O99" t="s">
        <v>130</v>
      </c>
      <c r="P99">
        <v>3</v>
      </c>
      <c r="Q99">
        <v>1464.27</v>
      </c>
      <c r="R99" s="19">
        <v>0.15</v>
      </c>
      <c r="S99" s="21">
        <v>658.92</v>
      </c>
      <c r="T99">
        <v>4392.8100000000004</v>
      </c>
      <c r="U99" s="2">
        <v>3733.89</v>
      </c>
      <c r="V99">
        <v>77.03</v>
      </c>
      <c r="W99">
        <v>2184.2800000000002</v>
      </c>
      <c r="X99" s="2">
        <v>1472.58</v>
      </c>
      <c r="Y99">
        <v>0.39439999999999997</v>
      </c>
      <c r="Z99">
        <v>6</v>
      </c>
      <c r="AA99" t="s">
        <v>131</v>
      </c>
      <c r="AB99" t="s">
        <v>47</v>
      </c>
      <c r="AE99" s="2">
        <v>4518.25</v>
      </c>
      <c r="AF99">
        <v>0.82640000000000002</v>
      </c>
      <c r="AG99" t="s">
        <v>49</v>
      </c>
      <c r="AH99" s="23">
        <f>SUM(Amazon_Data_Set[[#This Row],[Gross Sales]]-Amazon_Data_Set[[#This Row],[Discount Amount]])</f>
        <v>3733.8900000000003</v>
      </c>
    </row>
    <row r="100" spans="1:34">
      <c r="A100" t="s">
        <v>470</v>
      </c>
      <c r="B100" s="1">
        <v>46387</v>
      </c>
      <c r="C100" t="str">
        <f>TEXT(Amazon_Data_Set[[#This Row],[Order Date]],"mmm")</f>
        <v>Dec</v>
      </c>
      <c r="D100" t="s">
        <v>471</v>
      </c>
      <c r="E100" t="s">
        <v>235</v>
      </c>
      <c r="F100" t="s">
        <v>236</v>
      </c>
      <c r="G100" t="s">
        <v>82</v>
      </c>
      <c r="H100" t="s">
        <v>38</v>
      </c>
      <c r="I100" t="s">
        <v>39</v>
      </c>
      <c r="J100" t="s">
        <v>40</v>
      </c>
      <c r="K100" t="s">
        <v>41</v>
      </c>
      <c r="L100" t="s">
        <v>472</v>
      </c>
      <c r="M100" t="s">
        <v>43</v>
      </c>
      <c r="N100" t="s">
        <v>124</v>
      </c>
      <c r="O100" t="s">
        <v>45</v>
      </c>
      <c r="P100">
        <v>4</v>
      </c>
      <c r="Q100">
        <v>634.13</v>
      </c>
      <c r="R100" s="19">
        <v>0.1</v>
      </c>
      <c r="S100" s="21">
        <v>253.65</v>
      </c>
      <c r="T100">
        <v>2536.52</v>
      </c>
      <c r="U100" s="2">
        <v>2282.87</v>
      </c>
      <c r="V100">
        <v>111.92</v>
      </c>
      <c r="W100">
        <v>1193.83</v>
      </c>
      <c r="X100" s="2">
        <v>977.12</v>
      </c>
      <c r="Y100">
        <v>0.42799999999999999</v>
      </c>
      <c r="Z100">
        <v>1</v>
      </c>
      <c r="AA100" t="s">
        <v>46</v>
      </c>
      <c r="AB100" t="s">
        <v>47</v>
      </c>
      <c r="AD100">
        <v>5</v>
      </c>
      <c r="AE100" s="2">
        <v>1988.24</v>
      </c>
      <c r="AF100">
        <v>1.1482000000000001</v>
      </c>
      <c r="AG100" t="s">
        <v>49</v>
      </c>
      <c r="AH100" s="23">
        <f>SUM(Amazon_Data_Set[[#This Row],[Gross Sales]]-Amazon_Data_Set[[#This Row],[Discount Amount]])</f>
        <v>2282.87</v>
      </c>
    </row>
    <row r="101" spans="1:34">
      <c r="A101" t="s">
        <v>473</v>
      </c>
      <c r="B101" s="1">
        <v>46145</v>
      </c>
      <c r="C101" t="str">
        <f>TEXT(Amazon_Data_Set[[#This Row],[Order Date]],"mmm")</f>
        <v>May</v>
      </c>
      <c r="D101" t="s">
        <v>474</v>
      </c>
      <c r="E101" t="s">
        <v>194</v>
      </c>
      <c r="F101" t="s">
        <v>195</v>
      </c>
      <c r="G101" t="s">
        <v>111</v>
      </c>
      <c r="H101" t="s">
        <v>83</v>
      </c>
      <c r="I101" t="s">
        <v>188</v>
      </c>
      <c r="J101" t="s">
        <v>475</v>
      </c>
      <c r="K101" t="s">
        <v>476</v>
      </c>
      <c r="L101" t="s">
        <v>477</v>
      </c>
      <c r="M101" t="s">
        <v>43</v>
      </c>
      <c r="N101" t="s">
        <v>44</v>
      </c>
      <c r="O101" t="s">
        <v>130</v>
      </c>
      <c r="P101">
        <v>2</v>
      </c>
      <c r="Q101">
        <v>717.55</v>
      </c>
      <c r="R101" s="19">
        <v>0.3</v>
      </c>
      <c r="S101" s="21">
        <v>430.53</v>
      </c>
      <c r="T101">
        <v>1435.1</v>
      </c>
      <c r="U101" s="2">
        <v>1004.57</v>
      </c>
      <c r="V101">
        <v>48.05</v>
      </c>
      <c r="W101">
        <v>633.09</v>
      </c>
      <c r="X101" s="2">
        <v>323.43</v>
      </c>
      <c r="Y101">
        <v>0.32200000000000001</v>
      </c>
      <c r="Z101">
        <v>1</v>
      </c>
      <c r="AA101" t="s">
        <v>131</v>
      </c>
      <c r="AB101" t="s">
        <v>47</v>
      </c>
      <c r="AE101" s="2">
        <v>1069.97</v>
      </c>
      <c r="AF101">
        <v>0.93889999999999996</v>
      </c>
      <c r="AG101" t="s">
        <v>49</v>
      </c>
      <c r="AH101" s="23">
        <f>SUM(Amazon_Data_Set[[#This Row],[Gross Sales]]-Amazon_Data_Set[[#This Row],[Discount Amount]])</f>
        <v>1004.5699999999999</v>
      </c>
    </row>
    <row r="102" spans="1:34">
      <c r="A102" t="s">
        <v>478</v>
      </c>
      <c r="B102" s="1">
        <v>46173</v>
      </c>
      <c r="C102" t="str">
        <f>TEXT(Amazon_Data_Set[[#This Row],[Order Date]],"mmm")</f>
        <v>May</v>
      </c>
      <c r="D102" t="s">
        <v>479</v>
      </c>
      <c r="E102" t="s">
        <v>167</v>
      </c>
      <c r="F102" t="s">
        <v>168</v>
      </c>
      <c r="G102" t="s">
        <v>111</v>
      </c>
      <c r="H102" t="s">
        <v>90</v>
      </c>
      <c r="I102" t="s">
        <v>252</v>
      </c>
      <c r="J102" t="s">
        <v>253</v>
      </c>
      <c r="K102" t="s">
        <v>254</v>
      </c>
      <c r="L102" t="s">
        <v>480</v>
      </c>
      <c r="M102" t="s">
        <v>43</v>
      </c>
      <c r="N102" t="s">
        <v>70</v>
      </c>
      <c r="O102" t="s">
        <v>45</v>
      </c>
      <c r="P102">
        <v>2</v>
      </c>
      <c r="Q102">
        <v>117.53</v>
      </c>
      <c r="R102" s="19">
        <v>0.15</v>
      </c>
      <c r="S102" s="21">
        <v>35.26</v>
      </c>
      <c r="T102">
        <v>235.06</v>
      </c>
      <c r="U102" s="2">
        <v>199.8</v>
      </c>
      <c r="V102">
        <v>173.4</v>
      </c>
      <c r="W102">
        <v>102.05</v>
      </c>
      <c r="X102" s="2">
        <v>-75.650000000000006</v>
      </c>
      <c r="Y102">
        <v>-0.37859999999999999</v>
      </c>
      <c r="Z102">
        <v>7</v>
      </c>
      <c r="AA102" t="s">
        <v>61</v>
      </c>
      <c r="AB102" t="s">
        <v>48</v>
      </c>
      <c r="AC102" t="s">
        <v>197</v>
      </c>
      <c r="AD102">
        <v>5</v>
      </c>
      <c r="AE102" s="2">
        <v>183.26</v>
      </c>
      <c r="AF102">
        <v>1.0903</v>
      </c>
      <c r="AG102" t="s">
        <v>49</v>
      </c>
      <c r="AH102" s="23">
        <f>SUM(Amazon_Data_Set[[#This Row],[Gross Sales]]-Amazon_Data_Set[[#This Row],[Discount Amount]])</f>
        <v>199.8</v>
      </c>
    </row>
    <row r="103" spans="1:34">
      <c r="A103" t="s">
        <v>481</v>
      </c>
      <c r="B103" s="1">
        <v>46361</v>
      </c>
      <c r="C103" t="str">
        <f>TEXT(Amazon_Data_Set[[#This Row],[Order Date]],"mmm")</f>
        <v>Dec</v>
      </c>
      <c r="D103" t="s">
        <v>474</v>
      </c>
      <c r="E103" t="s">
        <v>167</v>
      </c>
      <c r="F103" t="s">
        <v>168</v>
      </c>
      <c r="G103" t="s">
        <v>111</v>
      </c>
      <c r="H103" t="s">
        <v>55</v>
      </c>
      <c r="I103" t="s">
        <v>120</v>
      </c>
      <c r="J103" t="s">
        <v>344</v>
      </c>
      <c r="K103" t="s">
        <v>345</v>
      </c>
      <c r="L103" t="s">
        <v>482</v>
      </c>
      <c r="M103" t="s">
        <v>106</v>
      </c>
      <c r="N103" t="s">
        <v>70</v>
      </c>
      <c r="O103" t="s">
        <v>45</v>
      </c>
      <c r="P103">
        <v>5</v>
      </c>
      <c r="Q103">
        <v>57669.38</v>
      </c>
      <c r="R103" s="19">
        <v>0.2</v>
      </c>
      <c r="S103" s="21">
        <v>57669.38</v>
      </c>
      <c r="T103">
        <v>288346.90000000002</v>
      </c>
      <c r="U103" s="2">
        <v>230677.52</v>
      </c>
      <c r="V103">
        <v>134.87</v>
      </c>
      <c r="W103">
        <v>150600.97</v>
      </c>
      <c r="X103" s="2">
        <v>79941.679999999993</v>
      </c>
      <c r="Y103">
        <v>0.34660000000000002</v>
      </c>
      <c r="Z103">
        <v>4</v>
      </c>
      <c r="AA103" t="s">
        <v>46</v>
      </c>
      <c r="AB103" t="s">
        <v>47</v>
      </c>
      <c r="AD103">
        <v>5</v>
      </c>
      <c r="AE103" s="2">
        <v>263894.18</v>
      </c>
      <c r="AF103">
        <v>0.87409999999999999</v>
      </c>
      <c r="AG103" t="s">
        <v>49</v>
      </c>
      <c r="AH103" s="23">
        <f>SUM(Amazon_Data_Set[[#This Row],[Gross Sales]]-Amazon_Data_Set[[#This Row],[Discount Amount]])</f>
        <v>230677.52000000002</v>
      </c>
    </row>
    <row r="104" spans="1:34">
      <c r="A104" t="s">
        <v>483</v>
      </c>
      <c r="B104" s="1">
        <v>46037</v>
      </c>
      <c r="C104" t="str">
        <f>TEXT(Amazon_Data_Set[[#This Row],[Order Date]],"mmm")</f>
        <v>Jan</v>
      </c>
      <c r="D104" t="s">
        <v>51</v>
      </c>
      <c r="E104" t="s">
        <v>235</v>
      </c>
      <c r="F104" t="s">
        <v>236</v>
      </c>
      <c r="G104" t="s">
        <v>82</v>
      </c>
      <c r="H104" t="s">
        <v>55</v>
      </c>
      <c r="I104" t="s">
        <v>120</v>
      </c>
      <c r="J104" t="s">
        <v>169</v>
      </c>
      <c r="K104" t="s">
        <v>170</v>
      </c>
      <c r="L104" t="s">
        <v>484</v>
      </c>
      <c r="M104" t="s">
        <v>43</v>
      </c>
      <c r="N104" t="s">
        <v>77</v>
      </c>
      <c r="O104" t="s">
        <v>130</v>
      </c>
      <c r="P104">
        <v>4</v>
      </c>
      <c r="Q104">
        <v>61667.9</v>
      </c>
      <c r="R104" s="19">
        <v>0.15</v>
      </c>
      <c r="S104" s="21">
        <v>37000.74</v>
      </c>
      <c r="T104">
        <v>246671.6</v>
      </c>
      <c r="U104" s="2">
        <v>209670.86</v>
      </c>
      <c r="V104">
        <v>226.29</v>
      </c>
      <c r="W104">
        <v>158955.04999999999</v>
      </c>
      <c r="X104" s="2">
        <v>50489.52</v>
      </c>
      <c r="Y104">
        <v>0.24079999999999999</v>
      </c>
      <c r="Z104">
        <v>8</v>
      </c>
      <c r="AA104" t="s">
        <v>131</v>
      </c>
      <c r="AB104" t="s">
        <v>47</v>
      </c>
      <c r="AE104" s="2">
        <v>256933.17</v>
      </c>
      <c r="AF104">
        <v>0.81610000000000005</v>
      </c>
      <c r="AG104" t="s">
        <v>49</v>
      </c>
      <c r="AH104" s="23">
        <f>SUM(Amazon_Data_Set[[#This Row],[Gross Sales]]-Amazon_Data_Set[[#This Row],[Discount Amount]])</f>
        <v>209670.86000000002</v>
      </c>
    </row>
    <row r="105" spans="1:34">
      <c r="A105" t="s">
        <v>485</v>
      </c>
      <c r="B105" s="1">
        <v>46054</v>
      </c>
      <c r="C105" t="str">
        <f>TEXT(Amazon_Data_Set[[#This Row],[Order Date]],"mmm")</f>
        <v>Feb</v>
      </c>
      <c r="D105" t="s">
        <v>486</v>
      </c>
      <c r="E105" t="s">
        <v>194</v>
      </c>
      <c r="F105" t="s">
        <v>195</v>
      </c>
      <c r="G105" t="s">
        <v>111</v>
      </c>
      <c r="H105" t="s">
        <v>38</v>
      </c>
      <c r="I105" t="s">
        <v>66</v>
      </c>
      <c r="J105" t="s">
        <v>318</v>
      </c>
      <c r="K105" t="s">
        <v>282</v>
      </c>
      <c r="L105" t="s">
        <v>487</v>
      </c>
      <c r="M105" t="s">
        <v>106</v>
      </c>
      <c r="N105" t="s">
        <v>95</v>
      </c>
      <c r="O105" t="s">
        <v>45</v>
      </c>
      <c r="P105">
        <v>3</v>
      </c>
      <c r="Q105">
        <v>4870.17</v>
      </c>
      <c r="R105" s="19">
        <v>0.25</v>
      </c>
      <c r="S105" s="21">
        <v>3652.63</v>
      </c>
      <c r="T105">
        <v>14610.51</v>
      </c>
      <c r="U105" s="2">
        <v>10957.88</v>
      </c>
      <c r="V105">
        <v>239.62</v>
      </c>
      <c r="W105">
        <v>6505.15</v>
      </c>
      <c r="X105" s="2">
        <v>4213.1099999999997</v>
      </c>
      <c r="Y105">
        <v>0.38450000000000001</v>
      </c>
      <c r="Z105">
        <v>7</v>
      </c>
      <c r="AA105" t="s">
        <v>61</v>
      </c>
      <c r="AB105" t="s">
        <v>47</v>
      </c>
      <c r="AD105">
        <v>4</v>
      </c>
      <c r="AE105" s="2">
        <v>10778.94</v>
      </c>
      <c r="AF105">
        <v>1.0165999999999999</v>
      </c>
      <c r="AG105" t="s">
        <v>49</v>
      </c>
      <c r="AH105" s="23">
        <f>SUM(Amazon_Data_Set[[#This Row],[Gross Sales]]-Amazon_Data_Set[[#This Row],[Discount Amount]])</f>
        <v>10957.880000000001</v>
      </c>
    </row>
    <row r="106" spans="1:34">
      <c r="A106" t="s">
        <v>488</v>
      </c>
      <c r="B106" s="1">
        <v>46257</v>
      </c>
      <c r="C106" t="str">
        <f>TEXT(Amazon_Data_Set[[#This Row],[Order Date]],"mmm")</f>
        <v>Aug</v>
      </c>
      <c r="D106" t="s">
        <v>89</v>
      </c>
      <c r="E106" t="s">
        <v>275</v>
      </c>
      <c r="F106" t="s">
        <v>276</v>
      </c>
      <c r="G106" t="s">
        <v>37</v>
      </c>
      <c r="H106" t="s">
        <v>83</v>
      </c>
      <c r="I106" t="s">
        <v>84</v>
      </c>
      <c r="J106" t="s">
        <v>85</v>
      </c>
      <c r="K106" t="s">
        <v>86</v>
      </c>
      <c r="L106" t="s">
        <v>489</v>
      </c>
      <c r="M106" t="s">
        <v>43</v>
      </c>
      <c r="N106" t="s">
        <v>60</v>
      </c>
      <c r="O106" t="s">
        <v>45</v>
      </c>
      <c r="P106">
        <v>2</v>
      </c>
      <c r="Q106">
        <v>151.05000000000001</v>
      </c>
      <c r="R106" s="19">
        <v>0.15</v>
      </c>
      <c r="S106" s="21">
        <v>45.32</v>
      </c>
      <c r="T106">
        <v>302.10000000000002</v>
      </c>
      <c r="U106" s="2">
        <v>256.77999999999997</v>
      </c>
      <c r="V106">
        <v>64.239999999999995</v>
      </c>
      <c r="W106">
        <v>130.56</v>
      </c>
      <c r="X106" s="2">
        <v>61.98</v>
      </c>
      <c r="Y106">
        <v>0.2414</v>
      </c>
      <c r="Z106">
        <v>2</v>
      </c>
      <c r="AA106" t="s">
        <v>46</v>
      </c>
      <c r="AB106" t="s">
        <v>47</v>
      </c>
      <c r="AD106">
        <v>5</v>
      </c>
      <c r="AE106" s="2">
        <v>239.94</v>
      </c>
      <c r="AF106">
        <v>1.0702</v>
      </c>
      <c r="AG106" t="s">
        <v>49</v>
      </c>
      <c r="AH106" s="23">
        <f>SUM(Amazon_Data_Set[[#This Row],[Gross Sales]]-Amazon_Data_Set[[#This Row],[Discount Amount]])</f>
        <v>256.78000000000003</v>
      </c>
    </row>
    <row r="107" spans="1:34">
      <c r="A107" t="s">
        <v>490</v>
      </c>
      <c r="B107" s="1">
        <v>46134</v>
      </c>
      <c r="C107" t="str">
        <f>TEXT(Amazon_Data_Set[[#This Row],[Order Date]],"mmm")</f>
        <v>Apr</v>
      </c>
      <c r="D107" t="s">
        <v>34</v>
      </c>
      <c r="E107" t="s">
        <v>109</v>
      </c>
      <c r="F107" t="s">
        <v>110</v>
      </c>
      <c r="G107" t="s">
        <v>111</v>
      </c>
      <c r="H107" t="s">
        <v>83</v>
      </c>
      <c r="I107" t="s">
        <v>84</v>
      </c>
      <c r="J107" t="s">
        <v>277</v>
      </c>
      <c r="K107" t="s">
        <v>86</v>
      </c>
      <c r="L107" t="s">
        <v>491</v>
      </c>
      <c r="M107" t="s">
        <v>43</v>
      </c>
      <c r="N107" t="s">
        <v>44</v>
      </c>
      <c r="O107" t="s">
        <v>45</v>
      </c>
      <c r="P107">
        <v>4</v>
      </c>
      <c r="Q107">
        <v>152.33000000000001</v>
      </c>
      <c r="R107" s="19">
        <v>0.15</v>
      </c>
      <c r="S107" s="21">
        <v>91.4</v>
      </c>
      <c r="T107">
        <v>609.32000000000005</v>
      </c>
      <c r="U107" s="2">
        <v>517.91999999999996</v>
      </c>
      <c r="V107">
        <v>65.540000000000006</v>
      </c>
      <c r="W107">
        <v>396.35</v>
      </c>
      <c r="X107" s="2">
        <v>56.03</v>
      </c>
      <c r="Y107">
        <v>0.1082</v>
      </c>
      <c r="Z107">
        <v>2</v>
      </c>
      <c r="AA107" t="s">
        <v>46</v>
      </c>
      <c r="AB107" t="s">
        <v>47</v>
      </c>
      <c r="AD107">
        <v>4</v>
      </c>
      <c r="AE107" s="2">
        <v>512.99</v>
      </c>
      <c r="AF107">
        <v>1.0096000000000001</v>
      </c>
      <c r="AG107" t="s">
        <v>49</v>
      </c>
      <c r="AH107" s="23">
        <f>SUM(Amazon_Data_Set[[#This Row],[Gross Sales]]-Amazon_Data_Set[[#This Row],[Discount Amount]])</f>
        <v>517.92000000000007</v>
      </c>
    </row>
    <row r="108" spans="1:34">
      <c r="A108" t="s">
        <v>492</v>
      </c>
      <c r="B108" s="1">
        <v>46181</v>
      </c>
      <c r="C108" t="str">
        <f>TEXT(Amazon_Data_Set[[#This Row],[Order Date]],"mmm")</f>
        <v>Jun</v>
      </c>
      <c r="D108" t="s">
        <v>269</v>
      </c>
      <c r="E108" t="s">
        <v>80</v>
      </c>
      <c r="F108" t="s">
        <v>81</v>
      </c>
      <c r="G108" t="s">
        <v>82</v>
      </c>
      <c r="H108" t="s">
        <v>83</v>
      </c>
      <c r="I108" t="s">
        <v>102</v>
      </c>
      <c r="J108" t="s">
        <v>103</v>
      </c>
      <c r="K108" t="s">
        <v>104</v>
      </c>
      <c r="L108" t="s">
        <v>493</v>
      </c>
      <c r="M108" t="s">
        <v>106</v>
      </c>
      <c r="N108" t="s">
        <v>70</v>
      </c>
      <c r="O108" t="s">
        <v>45</v>
      </c>
      <c r="P108">
        <v>1</v>
      </c>
      <c r="Q108">
        <v>217.8</v>
      </c>
      <c r="R108" s="19">
        <v>0.05</v>
      </c>
      <c r="S108" s="21">
        <v>10.89</v>
      </c>
      <c r="T108">
        <v>217.8</v>
      </c>
      <c r="U108" s="2">
        <v>206.91</v>
      </c>
      <c r="V108">
        <v>97.23</v>
      </c>
      <c r="W108">
        <v>158.18</v>
      </c>
      <c r="X108" s="2">
        <v>-48.5</v>
      </c>
      <c r="Y108">
        <v>-0.2344</v>
      </c>
      <c r="Z108">
        <v>8</v>
      </c>
      <c r="AA108" t="s">
        <v>61</v>
      </c>
      <c r="AB108" t="s">
        <v>47</v>
      </c>
      <c r="AD108">
        <v>4</v>
      </c>
      <c r="AE108" s="2">
        <v>208.33</v>
      </c>
      <c r="AF108">
        <v>0.99319999999999997</v>
      </c>
      <c r="AG108" t="s">
        <v>49</v>
      </c>
      <c r="AH108" s="23">
        <f>SUM(Amazon_Data_Set[[#This Row],[Gross Sales]]-Amazon_Data_Set[[#This Row],[Discount Amount]])</f>
        <v>206.91000000000003</v>
      </c>
    </row>
    <row r="109" spans="1:34">
      <c r="A109" t="s">
        <v>494</v>
      </c>
      <c r="B109" s="1">
        <v>46313</v>
      </c>
      <c r="C109" t="str">
        <f>TEXT(Amazon_Data_Set[[#This Row],[Order Date]],"mmm")</f>
        <v>Oct</v>
      </c>
      <c r="D109" t="s">
        <v>495</v>
      </c>
      <c r="E109" t="s">
        <v>64</v>
      </c>
      <c r="F109" t="s">
        <v>65</v>
      </c>
      <c r="G109" t="s">
        <v>54</v>
      </c>
      <c r="H109" t="s">
        <v>90</v>
      </c>
      <c r="I109" t="s">
        <v>91</v>
      </c>
      <c r="J109" t="s">
        <v>92</v>
      </c>
      <c r="K109" t="s">
        <v>93</v>
      </c>
      <c r="L109" t="s">
        <v>496</v>
      </c>
      <c r="M109" t="s">
        <v>43</v>
      </c>
      <c r="N109" t="s">
        <v>77</v>
      </c>
      <c r="O109" t="s">
        <v>45</v>
      </c>
      <c r="P109">
        <v>1</v>
      </c>
      <c r="Q109">
        <v>803.86</v>
      </c>
      <c r="R109" s="19">
        <v>0.1</v>
      </c>
      <c r="S109" s="21">
        <v>80.39</v>
      </c>
      <c r="T109">
        <v>803.86</v>
      </c>
      <c r="U109" s="2">
        <v>723.47</v>
      </c>
      <c r="V109">
        <v>202.55</v>
      </c>
      <c r="W109">
        <v>549.98</v>
      </c>
      <c r="X109" s="2">
        <v>-29.06</v>
      </c>
      <c r="Y109">
        <v>-4.02E-2</v>
      </c>
      <c r="Z109">
        <v>8</v>
      </c>
      <c r="AA109" t="s">
        <v>61</v>
      </c>
      <c r="AB109" t="s">
        <v>47</v>
      </c>
      <c r="AD109">
        <v>4</v>
      </c>
      <c r="AE109" s="2">
        <v>654.35</v>
      </c>
      <c r="AF109">
        <v>1.1055999999999999</v>
      </c>
      <c r="AG109" t="s">
        <v>49</v>
      </c>
      <c r="AH109" s="23">
        <f>SUM(Amazon_Data_Set[[#This Row],[Gross Sales]]-Amazon_Data_Set[[#This Row],[Discount Amount]])</f>
        <v>723.47</v>
      </c>
    </row>
    <row r="110" spans="1:34">
      <c r="A110" t="s">
        <v>497</v>
      </c>
      <c r="B110" s="1">
        <v>46038</v>
      </c>
      <c r="C110" t="str">
        <f>TEXT(Amazon_Data_Set[[#This Row],[Order Date]],"mmm")</f>
        <v>Jan</v>
      </c>
      <c r="D110" t="s">
        <v>498</v>
      </c>
      <c r="E110" t="s">
        <v>80</v>
      </c>
      <c r="F110" t="s">
        <v>81</v>
      </c>
      <c r="G110" t="s">
        <v>82</v>
      </c>
      <c r="H110" t="s">
        <v>83</v>
      </c>
      <c r="I110" t="s">
        <v>84</v>
      </c>
      <c r="J110" t="s">
        <v>85</v>
      </c>
      <c r="K110" t="s">
        <v>86</v>
      </c>
      <c r="L110" t="s">
        <v>499</v>
      </c>
      <c r="M110" t="s">
        <v>106</v>
      </c>
      <c r="N110" t="s">
        <v>44</v>
      </c>
      <c r="O110" t="s">
        <v>45</v>
      </c>
      <c r="P110">
        <v>3</v>
      </c>
      <c r="Q110">
        <v>2373.5100000000002</v>
      </c>
      <c r="R110" s="19">
        <v>0.15</v>
      </c>
      <c r="S110" s="21">
        <v>1068.08</v>
      </c>
      <c r="T110">
        <v>7120.53</v>
      </c>
      <c r="U110" s="2">
        <v>6052.45</v>
      </c>
      <c r="V110">
        <v>53.96</v>
      </c>
      <c r="W110">
        <v>4317.3100000000004</v>
      </c>
      <c r="X110" s="2">
        <v>1681.18</v>
      </c>
      <c r="Y110">
        <v>0.27779999999999999</v>
      </c>
      <c r="Z110">
        <v>5</v>
      </c>
      <c r="AA110" t="s">
        <v>61</v>
      </c>
      <c r="AB110" t="s">
        <v>47</v>
      </c>
      <c r="AD110">
        <v>4</v>
      </c>
      <c r="AE110" s="2">
        <v>5549.13</v>
      </c>
      <c r="AF110">
        <v>1.0907</v>
      </c>
      <c r="AG110" t="s">
        <v>49</v>
      </c>
      <c r="AH110" s="23">
        <f>SUM(Amazon_Data_Set[[#This Row],[Gross Sales]]-Amazon_Data_Set[[#This Row],[Discount Amount]])</f>
        <v>6052.45</v>
      </c>
    </row>
    <row r="111" spans="1:34">
      <c r="A111" t="s">
        <v>500</v>
      </c>
      <c r="B111" s="1">
        <v>46327</v>
      </c>
      <c r="C111" t="str">
        <f>TEXT(Amazon_Data_Set[[#This Row],[Order Date]],"mmm")</f>
        <v>Nov</v>
      </c>
      <c r="D111" t="s">
        <v>501</v>
      </c>
      <c r="E111" t="s">
        <v>52</v>
      </c>
      <c r="F111" t="s">
        <v>53</v>
      </c>
      <c r="G111" t="s">
        <v>54</v>
      </c>
      <c r="H111" t="s">
        <v>83</v>
      </c>
      <c r="I111" t="s">
        <v>102</v>
      </c>
      <c r="J111" t="s">
        <v>373</v>
      </c>
      <c r="K111" t="s">
        <v>374</v>
      </c>
      <c r="L111" t="s">
        <v>502</v>
      </c>
      <c r="M111" t="s">
        <v>106</v>
      </c>
      <c r="N111" t="s">
        <v>44</v>
      </c>
      <c r="O111" t="s">
        <v>45</v>
      </c>
      <c r="P111">
        <v>4</v>
      </c>
      <c r="Q111">
        <v>2390.98</v>
      </c>
      <c r="R111" s="19">
        <v>0</v>
      </c>
      <c r="S111" s="21">
        <v>0</v>
      </c>
      <c r="T111">
        <v>9563.92</v>
      </c>
      <c r="U111" s="2">
        <v>9563.92</v>
      </c>
      <c r="V111">
        <v>181.16</v>
      </c>
      <c r="W111">
        <v>5970.14</v>
      </c>
      <c r="X111" s="2">
        <v>3412.62</v>
      </c>
      <c r="Y111">
        <v>0.35680000000000001</v>
      </c>
      <c r="Z111">
        <v>5</v>
      </c>
      <c r="AA111" t="s">
        <v>61</v>
      </c>
      <c r="AB111" t="s">
        <v>47</v>
      </c>
      <c r="AD111">
        <v>5</v>
      </c>
      <c r="AE111" s="2">
        <v>9996</v>
      </c>
      <c r="AF111">
        <v>0.95679999999999998</v>
      </c>
      <c r="AG111" t="s">
        <v>49</v>
      </c>
      <c r="AH111" s="23">
        <f>SUM(Amazon_Data_Set[[#This Row],[Gross Sales]]-Amazon_Data_Set[[#This Row],[Discount Amount]])</f>
        <v>9563.92</v>
      </c>
    </row>
    <row r="112" spans="1:34">
      <c r="A112" t="s">
        <v>503</v>
      </c>
      <c r="B112" s="1">
        <v>46081</v>
      </c>
      <c r="C112" t="str">
        <f>TEXT(Amazon_Data_Set[[#This Row],[Order Date]],"mmm")</f>
        <v>Feb</v>
      </c>
      <c r="D112" t="s">
        <v>504</v>
      </c>
      <c r="E112" t="s">
        <v>235</v>
      </c>
      <c r="F112" t="s">
        <v>236</v>
      </c>
      <c r="G112" t="s">
        <v>82</v>
      </c>
      <c r="H112" t="s">
        <v>83</v>
      </c>
      <c r="I112" t="s">
        <v>84</v>
      </c>
      <c r="J112" t="s">
        <v>277</v>
      </c>
      <c r="K112" t="s">
        <v>86</v>
      </c>
      <c r="L112" t="s">
        <v>505</v>
      </c>
      <c r="M112" t="s">
        <v>43</v>
      </c>
      <c r="N112" t="s">
        <v>124</v>
      </c>
      <c r="O112" t="s">
        <v>130</v>
      </c>
      <c r="P112">
        <v>4</v>
      </c>
      <c r="Q112">
        <v>414.98</v>
      </c>
      <c r="R112" s="19">
        <v>0.15</v>
      </c>
      <c r="S112" s="21">
        <v>248.99</v>
      </c>
      <c r="T112">
        <v>1659.92</v>
      </c>
      <c r="U112" s="2">
        <v>1410.93</v>
      </c>
      <c r="V112">
        <v>143.25</v>
      </c>
      <c r="W112">
        <v>1034.22</v>
      </c>
      <c r="X112" s="2">
        <v>233.46</v>
      </c>
      <c r="Y112">
        <v>0.16550000000000001</v>
      </c>
      <c r="Z112">
        <v>5</v>
      </c>
      <c r="AA112" t="s">
        <v>131</v>
      </c>
      <c r="AB112" t="s">
        <v>47</v>
      </c>
      <c r="AE112" s="2">
        <v>1591.45</v>
      </c>
      <c r="AF112">
        <v>0.88660000000000005</v>
      </c>
      <c r="AG112" t="s">
        <v>49</v>
      </c>
      <c r="AH112" s="23">
        <f>SUM(Amazon_Data_Set[[#This Row],[Gross Sales]]-Amazon_Data_Set[[#This Row],[Discount Amount]])</f>
        <v>1410.93</v>
      </c>
    </row>
    <row r="113" spans="1:34">
      <c r="A113" t="s">
        <v>506</v>
      </c>
      <c r="B113" s="1">
        <v>46239</v>
      </c>
      <c r="C113" t="str">
        <f>TEXT(Amazon_Data_Set[[#This Row],[Order Date]],"mmm")</f>
        <v>Aug</v>
      </c>
      <c r="D113" t="s">
        <v>507</v>
      </c>
      <c r="E113" t="s">
        <v>52</v>
      </c>
      <c r="F113" t="s">
        <v>53</v>
      </c>
      <c r="G113" t="s">
        <v>54</v>
      </c>
      <c r="H113" t="s">
        <v>38</v>
      </c>
      <c r="I113" t="s">
        <v>161</v>
      </c>
      <c r="J113" t="s">
        <v>162</v>
      </c>
      <c r="K113" t="s">
        <v>163</v>
      </c>
      <c r="L113" t="s">
        <v>508</v>
      </c>
      <c r="M113" t="s">
        <v>106</v>
      </c>
      <c r="N113" t="s">
        <v>124</v>
      </c>
      <c r="O113" t="s">
        <v>130</v>
      </c>
      <c r="P113">
        <v>5</v>
      </c>
      <c r="Q113">
        <v>409.67</v>
      </c>
      <c r="R113" s="19">
        <v>0.3</v>
      </c>
      <c r="S113" s="21">
        <v>614.5</v>
      </c>
      <c r="T113">
        <v>2048.35</v>
      </c>
      <c r="U113" s="2">
        <v>1433.85</v>
      </c>
      <c r="V113">
        <v>39.020000000000003</v>
      </c>
      <c r="W113">
        <v>724.3</v>
      </c>
      <c r="X113" s="2">
        <v>670.53</v>
      </c>
      <c r="Y113">
        <v>0.46760000000000002</v>
      </c>
      <c r="Z113">
        <v>4</v>
      </c>
      <c r="AA113" t="s">
        <v>131</v>
      </c>
      <c r="AB113" t="s">
        <v>47</v>
      </c>
      <c r="AE113" s="2">
        <v>1562.64</v>
      </c>
      <c r="AF113">
        <v>0.91759999999999997</v>
      </c>
      <c r="AG113" t="s">
        <v>49</v>
      </c>
      <c r="AH113" s="23">
        <f>SUM(Amazon_Data_Set[[#This Row],[Gross Sales]]-Amazon_Data_Set[[#This Row],[Discount Amount]])</f>
        <v>1433.85</v>
      </c>
    </row>
    <row r="114" spans="1:34">
      <c r="A114" t="s">
        <v>509</v>
      </c>
      <c r="B114" s="1">
        <v>46080</v>
      </c>
      <c r="C114" t="str">
        <f>TEXT(Amazon_Data_Set[[#This Row],[Order Date]],"mmm")</f>
        <v>Feb</v>
      </c>
      <c r="D114" t="s">
        <v>510</v>
      </c>
      <c r="E114" t="s">
        <v>100</v>
      </c>
      <c r="F114" t="s">
        <v>179</v>
      </c>
      <c r="G114" t="s">
        <v>54</v>
      </c>
      <c r="H114" t="s">
        <v>142</v>
      </c>
      <c r="I114" t="s">
        <v>209</v>
      </c>
      <c r="J114" t="s">
        <v>511</v>
      </c>
      <c r="K114" t="s">
        <v>512</v>
      </c>
      <c r="L114" t="s">
        <v>513</v>
      </c>
      <c r="M114" t="s">
        <v>106</v>
      </c>
      <c r="N114" t="s">
        <v>124</v>
      </c>
      <c r="O114" t="s">
        <v>45</v>
      </c>
      <c r="P114">
        <v>4</v>
      </c>
      <c r="Q114">
        <v>3786.39</v>
      </c>
      <c r="R114" s="19">
        <v>0.2</v>
      </c>
      <c r="S114" s="21">
        <v>3029.11</v>
      </c>
      <c r="T114">
        <v>15145.56</v>
      </c>
      <c r="U114" s="2">
        <v>12116.45</v>
      </c>
      <c r="V114">
        <v>50.53</v>
      </c>
      <c r="W114">
        <v>5935.94</v>
      </c>
      <c r="X114" s="2">
        <v>6129.98</v>
      </c>
      <c r="Y114">
        <v>0.50590000000000002</v>
      </c>
      <c r="Z114">
        <v>3</v>
      </c>
      <c r="AA114" t="s">
        <v>46</v>
      </c>
      <c r="AB114" t="s">
        <v>47</v>
      </c>
      <c r="AD114">
        <v>5</v>
      </c>
      <c r="AE114" s="2">
        <v>14296.91</v>
      </c>
      <c r="AF114">
        <v>0.84750000000000003</v>
      </c>
      <c r="AG114" t="s">
        <v>49</v>
      </c>
      <c r="AH114" s="23">
        <f>SUM(Amazon_Data_Set[[#This Row],[Gross Sales]]-Amazon_Data_Set[[#This Row],[Discount Amount]])</f>
        <v>12116.449999999999</v>
      </c>
    </row>
    <row r="115" spans="1:34">
      <c r="A115" t="s">
        <v>514</v>
      </c>
      <c r="B115" s="1">
        <v>46029</v>
      </c>
      <c r="C115" t="str">
        <f>TEXT(Amazon_Data_Set[[#This Row],[Order Date]],"mmm")</f>
        <v>Jan</v>
      </c>
      <c r="D115" t="s">
        <v>515</v>
      </c>
      <c r="E115" t="s">
        <v>100</v>
      </c>
      <c r="F115" t="s">
        <v>101</v>
      </c>
      <c r="G115" t="s">
        <v>54</v>
      </c>
      <c r="H115" t="s">
        <v>38</v>
      </c>
      <c r="I115" t="s">
        <v>66</v>
      </c>
      <c r="J115" t="s">
        <v>67</v>
      </c>
      <c r="K115" t="s">
        <v>68</v>
      </c>
      <c r="L115" t="s">
        <v>516</v>
      </c>
      <c r="M115" t="s">
        <v>106</v>
      </c>
      <c r="N115" t="s">
        <v>77</v>
      </c>
      <c r="O115" t="s">
        <v>45</v>
      </c>
      <c r="P115">
        <v>1</v>
      </c>
      <c r="Q115">
        <v>2269.8000000000002</v>
      </c>
      <c r="R115" s="19">
        <v>0.1</v>
      </c>
      <c r="S115" s="21">
        <v>226.98</v>
      </c>
      <c r="T115">
        <v>2269.8000000000002</v>
      </c>
      <c r="U115" s="2">
        <v>2042.82</v>
      </c>
      <c r="V115">
        <v>14.96</v>
      </c>
      <c r="W115">
        <v>1210.19</v>
      </c>
      <c r="X115" s="2">
        <v>817.67</v>
      </c>
      <c r="Y115">
        <v>0.40029999999999999</v>
      </c>
      <c r="Z115">
        <v>8</v>
      </c>
      <c r="AA115" t="s">
        <v>61</v>
      </c>
      <c r="AB115" t="s">
        <v>47</v>
      </c>
      <c r="AD115">
        <v>4</v>
      </c>
      <c r="AE115" s="2">
        <v>1839.7</v>
      </c>
      <c r="AF115">
        <v>1.1104000000000001</v>
      </c>
      <c r="AG115" t="s">
        <v>49</v>
      </c>
      <c r="AH115" s="23">
        <f>SUM(Amazon_Data_Set[[#This Row],[Gross Sales]]-Amazon_Data_Set[[#This Row],[Discount Amount]])</f>
        <v>2042.8200000000002</v>
      </c>
    </row>
    <row r="116" spans="1:34">
      <c r="A116" t="s">
        <v>517</v>
      </c>
      <c r="B116" s="1">
        <v>46150</v>
      </c>
      <c r="C116" t="str">
        <f>TEXT(Amazon_Data_Set[[#This Row],[Order Date]],"mmm")</f>
        <v>May</v>
      </c>
      <c r="D116" t="s">
        <v>518</v>
      </c>
      <c r="E116" t="s">
        <v>109</v>
      </c>
      <c r="F116" t="s">
        <v>110</v>
      </c>
      <c r="G116" t="s">
        <v>111</v>
      </c>
      <c r="H116" t="s">
        <v>83</v>
      </c>
      <c r="I116" t="s">
        <v>102</v>
      </c>
      <c r="J116" t="s">
        <v>373</v>
      </c>
      <c r="K116" t="s">
        <v>374</v>
      </c>
      <c r="L116" t="s">
        <v>519</v>
      </c>
      <c r="M116" t="s">
        <v>43</v>
      </c>
      <c r="N116" t="s">
        <v>44</v>
      </c>
      <c r="O116" t="s">
        <v>45</v>
      </c>
      <c r="P116">
        <v>5</v>
      </c>
      <c r="Q116">
        <v>184.33</v>
      </c>
      <c r="R116" s="19">
        <v>0.15</v>
      </c>
      <c r="S116" s="21">
        <v>138.25</v>
      </c>
      <c r="T116">
        <v>921.65</v>
      </c>
      <c r="U116" s="2">
        <v>783.4</v>
      </c>
      <c r="V116">
        <v>218</v>
      </c>
      <c r="W116">
        <v>420.42</v>
      </c>
      <c r="X116" s="2">
        <v>144.97999999999999</v>
      </c>
      <c r="Y116">
        <v>0.18509999999999999</v>
      </c>
      <c r="Z116">
        <v>1</v>
      </c>
      <c r="AA116" t="s">
        <v>46</v>
      </c>
      <c r="AB116" t="s">
        <v>48</v>
      </c>
      <c r="AC116" t="s">
        <v>520</v>
      </c>
      <c r="AD116">
        <v>4</v>
      </c>
      <c r="AE116" s="2">
        <v>723.25</v>
      </c>
      <c r="AF116">
        <v>1.0831999999999999</v>
      </c>
      <c r="AG116" t="s">
        <v>49</v>
      </c>
      <c r="AH116" s="23">
        <f>SUM(Amazon_Data_Set[[#This Row],[Gross Sales]]-Amazon_Data_Set[[#This Row],[Discount Amount]])</f>
        <v>783.4</v>
      </c>
    </row>
    <row r="117" spans="1:34">
      <c r="A117" t="s">
        <v>521</v>
      </c>
      <c r="B117" s="1">
        <v>46142</v>
      </c>
      <c r="C117" t="str">
        <f>TEXT(Amazon_Data_Set[[#This Row],[Order Date]],"mmm")</f>
        <v>Apr</v>
      </c>
      <c r="D117" t="s">
        <v>325</v>
      </c>
      <c r="E117" t="s">
        <v>109</v>
      </c>
      <c r="F117" t="s">
        <v>154</v>
      </c>
      <c r="G117" t="s">
        <v>111</v>
      </c>
      <c r="H117" t="s">
        <v>142</v>
      </c>
      <c r="I117" t="s">
        <v>209</v>
      </c>
      <c r="J117" t="s">
        <v>511</v>
      </c>
      <c r="K117" t="s">
        <v>512</v>
      </c>
      <c r="L117" t="s">
        <v>522</v>
      </c>
      <c r="M117" t="s">
        <v>106</v>
      </c>
      <c r="N117" t="s">
        <v>95</v>
      </c>
      <c r="O117" t="s">
        <v>45</v>
      </c>
      <c r="P117">
        <v>1</v>
      </c>
      <c r="Q117">
        <v>402.57</v>
      </c>
      <c r="R117" s="19">
        <v>0.25</v>
      </c>
      <c r="S117" s="21">
        <v>100.64</v>
      </c>
      <c r="T117">
        <v>402.57</v>
      </c>
      <c r="U117" s="2">
        <v>301.93</v>
      </c>
      <c r="V117">
        <v>91</v>
      </c>
      <c r="W117">
        <v>182.7</v>
      </c>
      <c r="X117" s="2">
        <v>28.23</v>
      </c>
      <c r="Y117">
        <v>9.35E-2</v>
      </c>
      <c r="Z117">
        <v>7</v>
      </c>
      <c r="AA117" t="s">
        <v>61</v>
      </c>
      <c r="AB117" t="s">
        <v>47</v>
      </c>
      <c r="AD117">
        <v>4</v>
      </c>
      <c r="AE117" s="2">
        <v>325.88</v>
      </c>
      <c r="AF117">
        <v>0.92649999999999999</v>
      </c>
      <c r="AG117" t="s">
        <v>49</v>
      </c>
      <c r="AH117" s="23">
        <f>SUM(Amazon_Data_Set[[#This Row],[Gross Sales]]-Amazon_Data_Set[[#This Row],[Discount Amount]])</f>
        <v>301.93</v>
      </c>
    </row>
    <row r="118" spans="1:34">
      <c r="A118" t="s">
        <v>523</v>
      </c>
      <c r="B118" s="1">
        <v>46352</v>
      </c>
      <c r="C118" t="str">
        <f>TEXT(Amazon_Data_Set[[#This Row],[Order Date]],"mmm")</f>
        <v>Nov</v>
      </c>
      <c r="D118" t="s">
        <v>524</v>
      </c>
      <c r="E118" t="s">
        <v>109</v>
      </c>
      <c r="F118" t="s">
        <v>154</v>
      </c>
      <c r="G118" t="s">
        <v>111</v>
      </c>
      <c r="H118" t="s">
        <v>83</v>
      </c>
      <c r="I118" t="s">
        <v>102</v>
      </c>
      <c r="J118" t="s">
        <v>259</v>
      </c>
      <c r="K118" t="s">
        <v>260</v>
      </c>
      <c r="L118" t="s">
        <v>525</v>
      </c>
      <c r="M118" t="s">
        <v>43</v>
      </c>
      <c r="N118" t="s">
        <v>70</v>
      </c>
      <c r="O118" t="s">
        <v>45</v>
      </c>
      <c r="P118">
        <v>2</v>
      </c>
      <c r="Q118">
        <v>284.07</v>
      </c>
      <c r="R118" s="19">
        <v>0.05</v>
      </c>
      <c r="S118" s="21">
        <v>28.41</v>
      </c>
      <c r="T118">
        <v>568.14</v>
      </c>
      <c r="U118" s="2">
        <v>539.73</v>
      </c>
      <c r="V118">
        <v>134.25</v>
      </c>
      <c r="W118">
        <v>276.69</v>
      </c>
      <c r="X118" s="2">
        <v>128.79</v>
      </c>
      <c r="Y118">
        <v>0.23860000000000001</v>
      </c>
      <c r="Z118">
        <v>3</v>
      </c>
      <c r="AA118" t="s">
        <v>46</v>
      </c>
      <c r="AB118" t="s">
        <v>47</v>
      </c>
      <c r="AD118">
        <v>5</v>
      </c>
      <c r="AE118" s="2">
        <v>498.79</v>
      </c>
      <c r="AF118">
        <v>1.0821000000000001</v>
      </c>
      <c r="AG118" t="s">
        <v>49</v>
      </c>
      <c r="AH118" s="23">
        <f>SUM(Amazon_Data_Set[[#This Row],[Gross Sales]]-Amazon_Data_Set[[#This Row],[Discount Amount]])</f>
        <v>539.73</v>
      </c>
    </row>
    <row r="119" spans="1:34">
      <c r="A119" t="s">
        <v>526</v>
      </c>
      <c r="B119" s="1">
        <v>46101</v>
      </c>
      <c r="C119" t="str">
        <f>TEXT(Amazon_Data_Set[[#This Row],[Order Date]],"mmm")</f>
        <v>Mar</v>
      </c>
      <c r="D119" t="s">
        <v>527</v>
      </c>
      <c r="E119" t="s">
        <v>100</v>
      </c>
      <c r="F119" t="s">
        <v>101</v>
      </c>
      <c r="G119" t="s">
        <v>54</v>
      </c>
      <c r="H119" t="s">
        <v>90</v>
      </c>
      <c r="I119" t="s">
        <v>252</v>
      </c>
      <c r="J119" t="s">
        <v>528</v>
      </c>
      <c r="K119" t="s">
        <v>529</v>
      </c>
      <c r="L119" t="s">
        <v>530</v>
      </c>
      <c r="M119" t="s">
        <v>106</v>
      </c>
      <c r="N119" t="s">
        <v>70</v>
      </c>
      <c r="O119" t="s">
        <v>96</v>
      </c>
      <c r="P119">
        <v>3</v>
      </c>
      <c r="Q119">
        <v>489.33</v>
      </c>
      <c r="R119" s="19">
        <v>0.25</v>
      </c>
      <c r="S119" s="21">
        <v>367</v>
      </c>
      <c r="T119">
        <v>1467.99</v>
      </c>
      <c r="U119" s="2">
        <v>1100.99</v>
      </c>
      <c r="V119">
        <v>30.41</v>
      </c>
      <c r="W119">
        <v>730.44</v>
      </c>
      <c r="X119" s="2">
        <v>340.14</v>
      </c>
      <c r="Y119">
        <v>0.30890000000000001</v>
      </c>
      <c r="Z119">
        <v>0</v>
      </c>
      <c r="AA119" t="s">
        <v>97</v>
      </c>
      <c r="AB119" t="s">
        <v>47</v>
      </c>
      <c r="AE119" s="2">
        <v>1078.6400000000001</v>
      </c>
      <c r="AF119">
        <v>1.0206999999999999</v>
      </c>
      <c r="AG119" t="s">
        <v>347</v>
      </c>
      <c r="AH119" s="23">
        <f>SUM(Amazon_Data_Set[[#This Row],[Gross Sales]]-Amazon_Data_Set[[#This Row],[Discount Amount]])</f>
        <v>1100.99</v>
      </c>
    </row>
    <row r="120" spans="1:34">
      <c r="A120" t="s">
        <v>531</v>
      </c>
      <c r="B120" s="1">
        <v>46377</v>
      </c>
      <c r="C120" t="str">
        <f>TEXT(Amazon_Data_Set[[#This Row],[Order Date]],"mmm")</f>
        <v>Dec</v>
      </c>
      <c r="D120" t="s">
        <v>507</v>
      </c>
      <c r="E120" t="s">
        <v>194</v>
      </c>
      <c r="F120" t="s">
        <v>195</v>
      </c>
      <c r="G120" t="s">
        <v>111</v>
      </c>
      <c r="H120" t="s">
        <v>142</v>
      </c>
      <c r="I120" t="s">
        <v>209</v>
      </c>
      <c r="J120" t="s">
        <v>243</v>
      </c>
      <c r="K120" t="s">
        <v>145</v>
      </c>
      <c r="L120" t="s">
        <v>532</v>
      </c>
      <c r="M120" t="s">
        <v>43</v>
      </c>
      <c r="N120" t="s">
        <v>77</v>
      </c>
      <c r="O120" t="s">
        <v>45</v>
      </c>
      <c r="P120">
        <v>3</v>
      </c>
      <c r="Q120">
        <v>9854.39</v>
      </c>
      <c r="R120" s="19">
        <v>0.3</v>
      </c>
      <c r="S120" s="21">
        <v>8868.9500000000007</v>
      </c>
      <c r="T120">
        <v>29563.17</v>
      </c>
      <c r="U120" s="2">
        <v>20694.22</v>
      </c>
      <c r="V120">
        <v>45.86</v>
      </c>
      <c r="W120">
        <v>15356.81</v>
      </c>
      <c r="X120" s="2">
        <v>5291.55</v>
      </c>
      <c r="Y120">
        <v>0.25569999999999998</v>
      </c>
      <c r="Z120">
        <v>2</v>
      </c>
      <c r="AA120" t="s">
        <v>46</v>
      </c>
      <c r="AB120" t="s">
        <v>47</v>
      </c>
      <c r="AD120">
        <v>5</v>
      </c>
      <c r="AE120" s="2">
        <v>25505.42</v>
      </c>
      <c r="AF120">
        <v>0.81140000000000001</v>
      </c>
      <c r="AG120" t="s">
        <v>49</v>
      </c>
      <c r="AH120" s="23">
        <f>SUM(Amazon_Data_Set[[#This Row],[Gross Sales]]-Amazon_Data_Set[[#This Row],[Discount Amount]])</f>
        <v>20694.219999999998</v>
      </c>
    </row>
    <row r="121" spans="1:34">
      <c r="A121" t="s">
        <v>533</v>
      </c>
      <c r="B121" s="1">
        <v>46192</v>
      </c>
      <c r="C121" t="str">
        <f>TEXT(Amazon_Data_Set[[#This Row],[Order Date]],"mmm")</f>
        <v>Jun</v>
      </c>
      <c r="D121" t="s">
        <v>534</v>
      </c>
      <c r="E121" t="s">
        <v>235</v>
      </c>
      <c r="F121" t="s">
        <v>236</v>
      </c>
      <c r="G121" t="s">
        <v>82</v>
      </c>
      <c r="H121" t="s">
        <v>90</v>
      </c>
      <c r="I121" t="s">
        <v>252</v>
      </c>
      <c r="J121" t="s">
        <v>253</v>
      </c>
      <c r="K121" t="s">
        <v>254</v>
      </c>
      <c r="L121" t="s">
        <v>535</v>
      </c>
      <c r="M121" t="s">
        <v>43</v>
      </c>
      <c r="N121" t="s">
        <v>70</v>
      </c>
      <c r="O121" t="s">
        <v>45</v>
      </c>
      <c r="P121">
        <v>1</v>
      </c>
      <c r="Q121">
        <v>803.68</v>
      </c>
      <c r="R121" s="19">
        <v>0.1</v>
      </c>
      <c r="S121" s="21">
        <v>80.37</v>
      </c>
      <c r="T121">
        <v>803.68</v>
      </c>
      <c r="U121" s="2">
        <v>723.31</v>
      </c>
      <c r="V121">
        <v>186.86</v>
      </c>
      <c r="W121">
        <v>475.6</v>
      </c>
      <c r="X121" s="2">
        <v>60.85</v>
      </c>
      <c r="Y121">
        <v>8.4099999999999994E-2</v>
      </c>
      <c r="Z121">
        <v>4</v>
      </c>
      <c r="AA121" t="s">
        <v>46</v>
      </c>
      <c r="AB121" t="s">
        <v>47</v>
      </c>
      <c r="AD121">
        <v>5</v>
      </c>
      <c r="AE121" s="2">
        <v>885.32</v>
      </c>
      <c r="AF121">
        <v>0.81699999999999995</v>
      </c>
      <c r="AG121" t="s">
        <v>347</v>
      </c>
      <c r="AH121" s="23">
        <f>SUM(Amazon_Data_Set[[#This Row],[Gross Sales]]-Amazon_Data_Set[[#This Row],[Discount Amount]])</f>
        <v>723.31</v>
      </c>
    </row>
    <row r="122" spans="1:34">
      <c r="A122" t="s">
        <v>536</v>
      </c>
      <c r="B122" s="1">
        <v>46324</v>
      </c>
      <c r="C122" t="str">
        <f>TEXT(Amazon_Data_Set[[#This Row],[Order Date]],"mmm")</f>
        <v>Oct</v>
      </c>
      <c r="D122" t="s">
        <v>537</v>
      </c>
      <c r="E122" t="s">
        <v>109</v>
      </c>
      <c r="F122" t="s">
        <v>110</v>
      </c>
      <c r="G122" t="s">
        <v>111</v>
      </c>
      <c r="H122" t="s">
        <v>142</v>
      </c>
      <c r="I122" t="s">
        <v>209</v>
      </c>
      <c r="J122" t="s">
        <v>511</v>
      </c>
      <c r="K122" t="s">
        <v>512</v>
      </c>
      <c r="L122" t="s">
        <v>538</v>
      </c>
      <c r="M122" t="s">
        <v>43</v>
      </c>
      <c r="N122" t="s">
        <v>95</v>
      </c>
      <c r="O122" t="s">
        <v>45</v>
      </c>
      <c r="P122">
        <v>5</v>
      </c>
      <c r="Q122">
        <v>330.45</v>
      </c>
      <c r="R122" s="19">
        <v>0</v>
      </c>
      <c r="S122" s="21">
        <v>0</v>
      </c>
      <c r="T122">
        <v>1652.25</v>
      </c>
      <c r="U122" s="2">
        <v>1652.25</v>
      </c>
      <c r="V122">
        <v>86.06</v>
      </c>
      <c r="W122">
        <v>1229.97</v>
      </c>
      <c r="X122" s="2">
        <v>336.22</v>
      </c>
      <c r="Y122">
        <v>0.20349999999999999</v>
      </c>
      <c r="Z122">
        <v>1</v>
      </c>
      <c r="AA122" t="s">
        <v>46</v>
      </c>
      <c r="AB122" t="s">
        <v>48</v>
      </c>
      <c r="AC122" t="s">
        <v>520</v>
      </c>
      <c r="AD122">
        <v>5</v>
      </c>
      <c r="AE122" s="2">
        <v>1922.7</v>
      </c>
      <c r="AF122">
        <v>0.85929999999999995</v>
      </c>
      <c r="AG122" t="s">
        <v>49</v>
      </c>
      <c r="AH122" s="23">
        <f>SUM(Amazon_Data_Set[[#This Row],[Gross Sales]]-Amazon_Data_Set[[#This Row],[Discount Amount]])</f>
        <v>1652.25</v>
      </c>
    </row>
    <row r="123" spans="1:34">
      <c r="A123" t="s">
        <v>539</v>
      </c>
      <c r="B123" s="1">
        <v>46182</v>
      </c>
      <c r="C123" t="str">
        <f>TEXT(Amazon_Data_Set[[#This Row],[Order Date]],"mmm")</f>
        <v>Jun</v>
      </c>
      <c r="D123" t="s">
        <v>537</v>
      </c>
      <c r="E123" t="s">
        <v>140</v>
      </c>
      <c r="F123" t="s">
        <v>141</v>
      </c>
      <c r="G123" t="s">
        <v>54</v>
      </c>
      <c r="H123" t="s">
        <v>83</v>
      </c>
      <c r="I123" t="s">
        <v>188</v>
      </c>
      <c r="J123" t="s">
        <v>189</v>
      </c>
      <c r="K123" t="s">
        <v>190</v>
      </c>
      <c r="L123" t="s">
        <v>540</v>
      </c>
      <c r="M123" t="s">
        <v>43</v>
      </c>
      <c r="N123" t="s">
        <v>95</v>
      </c>
      <c r="O123" t="s">
        <v>45</v>
      </c>
      <c r="P123">
        <v>3</v>
      </c>
      <c r="Q123">
        <v>207.14</v>
      </c>
      <c r="R123" s="19">
        <v>0.3</v>
      </c>
      <c r="S123" s="21">
        <v>186.43</v>
      </c>
      <c r="T123">
        <v>621.41999999999996</v>
      </c>
      <c r="U123" s="2">
        <v>434.99</v>
      </c>
      <c r="V123">
        <v>208.86</v>
      </c>
      <c r="W123">
        <v>211.83</v>
      </c>
      <c r="X123" s="2">
        <v>14.3</v>
      </c>
      <c r="Y123">
        <v>3.2899999999999999E-2</v>
      </c>
      <c r="Z123">
        <v>4</v>
      </c>
      <c r="AA123" t="s">
        <v>46</v>
      </c>
      <c r="AB123" t="s">
        <v>47</v>
      </c>
      <c r="AD123">
        <v>4</v>
      </c>
      <c r="AE123" s="2">
        <v>537.35</v>
      </c>
      <c r="AF123">
        <v>0.8095</v>
      </c>
      <c r="AG123" t="s">
        <v>49</v>
      </c>
      <c r="AH123" s="23">
        <f>SUM(Amazon_Data_Set[[#This Row],[Gross Sales]]-Amazon_Data_Set[[#This Row],[Discount Amount]])</f>
        <v>434.98999999999995</v>
      </c>
    </row>
    <row r="124" spans="1:34">
      <c r="A124" t="s">
        <v>541</v>
      </c>
      <c r="B124" s="1">
        <v>46029</v>
      </c>
      <c r="C124" t="str">
        <f>TEXT(Amazon_Data_Set[[#This Row],[Order Date]],"mmm")</f>
        <v>Jan</v>
      </c>
      <c r="D124" t="s">
        <v>301</v>
      </c>
      <c r="E124" t="s">
        <v>100</v>
      </c>
      <c r="F124" t="s">
        <v>101</v>
      </c>
      <c r="G124" t="s">
        <v>54</v>
      </c>
      <c r="H124" t="s">
        <v>142</v>
      </c>
      <c r="I124" t="s">
        <v>143</v>
      </c>
      <c r="J124" t="s">
        <v>144</v>
      </c>
      <c r="K124" t="s">
        <v>145</v>
      </c>
      <c r="L124" t="s">
        <v>542</v>
      </c>
      <c r="M124" t="s">
        <v>43</v>
      </c>
      <c r="N124" t="s">
        <v>95</v>
      </c>
      <c r="O124" t="s">
        <v>45</v>
      </c>
      <c r="P124">
        <v>4</v>
      </c>
      <c r="Q124">
        <v>5003.62</v>
      </c>
      <c r="R124" s="19">
        <v>0</v>
      </c>
      <c r="S124" s="21">
        <v>0</v>
      </c>
      <c r="T124">
        <v>20014.48</v>
      </c>
      <c r="U124" s="2">
        <v>20014.48</v>
      </c>
      <c r="V124">
        <v>3.27</v>
      </c>
      <c r="W124">
        <v>12323.53</v>
      </c>
      <c r="X124" s="2">
        <v>7687.68</v>
      </c>
      <c r="Y124">
        <v>0.3841</v>
      </c>
      <c r="Z124">
        <v>2</v>
      </c>
      <c r="AA124" t="s">
        <v>46</v>
      </c>
      <c r="AB124" t="s">
        <v>47</v>
      </c>
      <c r="AD124">
        <v>4</v>
      </c>
      <c r="AE124" s="2">
        <v>19434.77</v>
      </c>
      <c r="AF124">
        <v>1.0298</v>
      </c>
      <c r="AG124" t="s">
        <v>49</v>
      </c>
      <c r="AH124" s="23">
        <f>SUM(Amazon_Data_Set[[#This Row],[Gross Sales]]-Amazon_Data_Set[[#This Row],[Discount Amount]])</f>
        <v>20014.48</v>
      </c>
    </row>
    <row r="125" spans="1:34">
      <c r="A125" t="s">
        <v>543</v>
      </c>
      <c r="B125" s="1">
        <v>46148</v>
      </c>
      <c r="C125" t="str">
        <f>TEXT(Amazon_Data_Set[[#This Row],[Order Date]],"mmm")</f>
        <v>May</v>
      </c>
      <c r="D125" t="s">
        <v>544</v>
      </c>
      <c r="E125" t="s">
        <v>100</v>
      </c>
      <c r="F125" t="s">
        <v>179</v>
      </c>
      <c r="G125" t="s">
        <v>54</v>
      </c>
      <c r="H125" t="s">
        <v>55</v>
      </c>
      <c r="I125" t="s">
        <v>73</v>
      </c>
      <c r="J125" t="s">
        <v>247</v>
      </c>
      <c r="K125" t="s">
        <v>248</v>
      </c>
      <c r="L125" t="s">
        <v>545</v>
      </c>
      <c r="M125" t="s">
        <v>43</v>
      </c>
      <c r="N125" t="s">
        <v>60</v>
      </c>
      <c r="O125" t="s">
        <v>45</v>
      </c>
      <c r="P125">
        <v>1</v>
      </c>
      <c r="Q125">
        <v>33588.61</v>
      </c>
      <c r="R125" s="19">
        <v>0.05</v>
      </c>
      <c r="S125" s="21">
        <v>1679.43</v>
      </c>
      <c r="T125">
        <v>33588.61</v>
      </c>
      <c r="U125" s="2">
        <v>31909.18</v>
      </c>
      <c r="V125">
        <v>106.82</v>
      </c>
      <c r="W125">
        <v>22342.400000000001</v>
      </c>
      <c r="X125" s="2">
        <v>9459.9599999999991</v>
      </c>
      <c r="Y125">
        <v>0.29649999999999999</v>
      </c>
      <c r="Z125">
        <v>2</v>
      </c>
      <c r="AA125" t="s">
        <v>46</v>
      </c>
      <c r="AB125" t="s">
        <v>47</v>
      </c>
      <c r="AD125">
        <v>5</v>
      </c>
      <c r="AE125" s="2">
        <v>35196.699999999997</v>
      </c>
      <c r="AF125">
        <v>0.90659999999999996</v>
      </c>
      <c r="AG125" t="s">
        <v>49</v>
      </c>
      <c r="AH125" s="23">
        <f>SUM(Amazon_Data_Set[[#This Row],[Gross Sales]]-Amazon_Data_Set[[#This Row],[Discount Amount]])</f>
        <v>31909.18</v>
      </c>
    </row>
    <row r="126" spans="1:34">
      <c r="A126" t="s">
        <v>546</v>
      </c>
      <c r="B126" s="1">
        <v>46345</v>
      </c>
      <c r="C126" t="str">
        <f>TEXT(Amazon_Data_Set[[#This Row],[Order Date]],"mmm")</f>
        <v>Nov</v>
      </c>
      <c r="D126" t="s">
        <v>547</v>
      </c>
      <c r="E126" t="s">
        <v>149</v>
      </c>
      <c r="F126" t="s">
        <v>150</v>
      </c>
      <c r="G126" t="s">
        <v>37</v>
      </c>
      <c r="H126" t="s">
        <v>83</v>
      </c>
      <c r="I126" t="s">
        <v>84</v>
      </c>
      <c r="J126" t="s">
        <v>277</v>
      </c>
      <c r="K126" t="s">
        <v>86</v>
      </c>
      <c r="L126" t="s">
        <v>548</v>
      </c>
      <c r="M126" t="s">
        <v>106</v>
      </c>
      <c r="N126" t="s">
        <v>124</v>
      </c>
      <c r="O126" t="s">
        <v>45</v>
      </c>
      <c r="P126">
        <v>3</v>
      </c>
      <c r="Q126">
        <v>1160.28</v>
      </c>
      <c r="R126" s="19">
        <v>0.3</v>
      </c>
      <c r="S126" s="21">
        <v>1044.25</v>
      </c>
      <c r="T126">
        <v>3480.84</v>
      </c>
      <c r="U126" s="2">
        <v>2436.59</v>
      </c>
      <c r="V126">
        <v>141.37</v>
      </c>
      <c r="W126">
        <v>1478.88</v>
      </c>
      <c r="X126" s="2">
        <v>816.34</v>
      </c>
      <c r="Y126">
        <v>0.33500000000000002</v>
      </c>
      <c r="Z126">
        <v>3</v>
      </c>
      <c r="AA126" t="s">
        <v>46</v>
      </c>
      <c r="AB126" t="s">
        <v>47</v>
      </c>
      <c r="AD126">
        <v>3</v>
      </c>
      <c r="AE126" s="2">
        <v>2868.45</v>
      </c>
      <c r="AF126">
        <v>0.84940000000000004</v>
      </c>
      <c r="AG126" t="s">
        <v>49</v>
      </c>
      <c r="AH126" s="23">
        <f>SUM(Amazon_Data_Set[[#This Row],[Gross Sales]]-Amazon_Data_Set[[#This Row],[Discount Amount]])</f>
        <v>2436.59</v>
      </c>
    </row>
    <row r="127" spans="1:34">
      <c r="A127" t="s">
        <v>549</v>
      </c>
      <c r="B127" s="1">
        <v>46042</v>
      </c>
      <c r="C127" t="str">
        <f>TEXT(Amazon_Data_Set[[#This Row],[Order Date]],"mmm")</f>
        <v>Jan</v>
      </c>
      <c r="D127" t="s">
        <v>550</v>
      </c>
      <c r="E127" t="s">
        <v>194</v>
      </c>
      <c r="F127" t="s">
        <v>195</v>
      </c>
      <c r="G127" t="s">
        <v>111</v>
      </c>
      <c r="H127" t="s">
        <v>142</v>
      </c>
      <c r="I127" t="s">
        <v>214</v>
      </c>
      <c r="J127" t="s">
        <v>308</v>
      </c>
      <c r="K127" t="s">
        <v>309</v>
      </c>
      <c r="L127" t="s">
        <v>551</v>
      </c>
      <c r="M127" t="s">
        <v>43</v>
      </c>
      <c r="N127" t="s">
        <v>44</v>
      </c>
      <c r="O127" t="s">
        <v>45</v>
      </c>
      <c r="P127">
        <v>2</v>
      </c>
      <c r="Q127">
        <v>1845.31</v>
      </c>
      <c r="R127" s="19">
        <v>0.3</v>
      </c>
      <c r="S127" s="21">
        <v>1107.19</v>
      </c>
      <c r="T127">
        <v>3690.62</v>
      </c>
      <c r="U127" s="2">
        <v>2583.4299999999998</v>
      </c>
      <c r="V127">
        <v>248.26</v>
      </c>
      <c r="W127">
        <v>1273.1300000000001</v>
      </c>
      <c r="X127" s="2">
        <v>1062.04</v>
      </c>
      <c r="Y127">
        <v>0.41110000000000002</v>
      </c>
      <c r="Z127">
        <v>8</v>
      </c>
      <c r="AA127" t="s">
        <v>61</v>
      </c>
      <c r="AB127" t="s">
        <v>47</v>
      </c>
      <c r="AD127">
        <v>5</v>
      </c>
      <c r="AE127" s="2">
        <v>2480.13</v>
      </c>
      <c r="AF127">
        <v>1.0417000000000001</v>
      </c>
      <c r="AG127" t="s">
        <v>347</v>
      </c>
      <c r="AH127" s="23">
        <f>SUM(Amazon_Data_Set[[#This Row],[Gross Sales]]-Amazon_Data_Set[[#This Row],[Discount Amount]])</f>
        <v>2583.4299999999998</v>
      </c>
    </row>
    <row r="128" spans="1:34">
      <c r="A128" t="s">
        <v>552</v>
      </c>
      <c r="B128" s="1">
        <v>46061</v>
      </c>
      <c r="C128" t="str">
        <f>TEXT(Amazon_Data_Set[[#This Row],[Order Date]],"mmm")</f>
        <v>Feb</v>
      </c>
      <c r="D128" t="s">
        <v>553</v>
      </c>
      <c r="E128" t="s">
        <v>100</v>
      </c>
      <c r="F128" t="s">
        <v>179</v>
      </c>
      <c r="G128" t="s">
        <v>54</v>
      </c>
      <c r="H128" t="s">
        <v>142</v>
      </c>
      <c r="I128" t="s">
        <v>143</v>
      </c>
      <c r="J128" t="s">
        <v>144</v>
      </c>
      <c r="K128" t="s">
        <v>145</v>
      </c>
      <c r="L128" t="s">
        <v>554</v>
      </c>
      <c r="M128" t="s">
        <v>106</v>
      </c>
      <c r="N128" t="s">
        <v>44</v>
      </c>
      <c r="O128" t="s">
        <v>96</v>
      </c>
      <c r="P128">
        <v>4</v>
      </c>
      <c r="Q128">
        <v>1891.18</v>
      </c>
      <c r="R128" s="19">
        <v>0.05</v>
      </c>
      <c r="S128" s="21">
        <v>378.24</v>
      </c>
      <c r="T128">
        <v>7564.72</v>
      </c>
      <c r="U128" s="2">
        <v>7186.48</v>
      </c>
      <c r="V128">
        <v>38.14</v>
      </c>
      <c r="W128">
        <v>5349.63</v>
      </c>
      <c r="X128" s="2">
        <v>1798.71</v>
      </c>
      <c r="Y128">
        <v>0.25030000000000002</v>
      </c>
      <c r="Z128">
        <v>0</v>
      </c>
      <c r="AA128" t="s">
        <v>97</v>
      </c>
      <c r="AB128" t="s">
        <v>47</v>
      </c>
      <c r="AE128" s="2">
        <v>6186.43</v>
      </c>
      <c r="AF128">
        <v>1.1617</v>
      </c>
      <c r="AG128" t="s">
        <v>49</v>
      </c>
      <c r="AH128" s="23">
        <f>SUM(Amazon_Data_Set[[#This Row],[Gross Sales]]-Amazon_Data_Set[[#This Row],[Discount Amount]])</f>
        <v>7186.4800000000005</v>
      </c>
    </row>
    <row r="129" spans="1:34">
      <c r="A129" t="s">
        <v>555</v>
      </c>
      <c r="B129" s="1">
        <v>46243</v>
      </c>
      <c r="C129" t="str">
        <f>TEXT(Amazon_Data_Set[[#This Row],[Order Date]],"mmm")</f>
        <v>Aug</v>
      </c>
      <c r="D129" t="s">
        <v>544</v>
      </c>
      <c r="E129" t="s">
        <v>167</v>
      </c>
      <c r="F129" t="s">
        <v>168</v>
      </c>
      <c r="G129" t="s">
        <v>111</v>
      </c>
      <c r="H129" t="s">
        <v>90</v>
      </c>
      <c r="I129" t="s">
        <v>112</v>
      </c>
      <c r="J129" t="s">
        <v>292</v>
      </c>
      <c r="K129" t="s">
        <v>293</v>
      </c>
      <c r="L129" t="s">
        <v>556</v>
      </c>
      <c r="M129" t="s">
        <v>43</v>
      </c>
      <c r="N129" t="s">
        <v>44</v>
      </c>
      <c r="O129" t="s">
        <v>96</v>
      </c>
      <c r="P129">
        <v>4</v>
      </c>
      <c r="Q129">
        <v>122.46</v>
      </c>
      <c r="R129" s="19">
        <v>0.1</v>
      </c>
      <c r="S129" s="21">
        <v>48.98</v>
      </c>
      <c r="T129">
        <v>489.84</v>
      </c>
      <c r="U129" s="2">
        <v>440.86</v>
      </c>
      <c r="V129">
        <v>13.11</v>
      </c>
      <c r="W129">
        <v>225.67</v>
      </c>
      <c r="X129" s="2">
        <v>202.08</v>
      </c>
      <c r="Y129">
        <v>0.45839999999999997</v>
      </c>
      <c r="Z129">
        <v>0</v>
      </c>
      <c r="AA129" t="s">
        <v>97</v>
      </c>
      <c r="AB129" t="s">
        <v>47</v>
      </c>
      <c r="AE129" s="2">
        <v>508.66</v>
      </c>
      <c r="AF129">
        <v>0.86670000000000003</v>
      </c>
      <c r="AG129" t="s">
        <v>49</v>
      </c>
      <c r="AH129" s="23">
        <f>SUM(Amazon_Data_Set[[#This Row],[Gross Sales]]-Amazon_Data_Set[[#This Row],[Discount Amount]])</f>
        <v>440.85999999999996</v>
      </c>
    </row>
    <row r="130" spans="1:34">
      <c r="A130" t="s">
        <v>557</v>
      </c>
      <c r="B130" s="1">
        <v>46248</v>
      </c>
      <c r="C130" t="str">
        <f>TEXT(Amazon_Data_Set[[#This Row],[Order Date]],"mmm")</f>
        <v>Aug</v>
      </c>
      <c r="D130" t="s">
        <v>558</v>
      </c>
      <c r="E130" t="s">
        <v>100</v>
      </c>
      <c r="F130" t="s">
        <v>179</v>
      </c>
      <c r="G130" t="s">
        <v>54</v>
      </c>
      <c r="H130" t="s">
        <v>38</v>
      </c>
      <c r="I130" t="s">
        <v>39</v>
      </c>
      <c r="J130" t="s">
        <v>40</v>
      </c>
      <c r="K130" t="s">
        <v>41</v>
      </c>
      <c r="L130" t="s">
        <v>559</v>
      </c>
      <c r="M130" t="s">
        <v>43</v>
      </c>
      <c r="N130" t="s">
        <v>124</v>
      </c>
      <c r="O130" t="s">
        <v>45</v>
      </c>
      <c r="P130">
        <v>4</v>
      </c>
      <c r="Q130">
        <v>2063.63</v>
      </c>
      <c r="R130" s="19">
        <v>0.25</v>
      </c>
      <c r="S130" s="21">
        <v>2063.63</v>
      </c>
      <c r="T130">
        <v>8254.52</v>
      </c>
      <c r="U130" s="2">
        <v>6190.89</v>
      </c>
      <c r="V130">
        <v>89.2</v>
      </c>
      <c r="W130">
        <v>3934.94</v>
      </c>
      <c r="X130" s="2">
        <v>2166.75</v>
      </c>
      <c r="Y130">
        <v>0.35</v>
      </c>
      <c r="Z130">
        <v>3</v>
      </c>
      <c r="AA130" t="s">
        <v>46</v>
      </c>
      <c r="AB130" t="s">
        <v>47</v>
      </c>
      <c r="AD130">
        <v>4</v>
      </c>
      <c r="AE130" s="2">
        <v>6081.05</v>
      </c>
      <c r="AF130">
        <v>1.0181</v>
      </c>
      <c r="AG130" t="s">
        <v>49</v>
      </c>
      <c r="AH130" s="23">
        <f>SUM(Amazon_Data_Set[[#This Row],[Gross Sales]]-Amazon_Data_Set[[#This Row],[Discount Amount]])</f>
        <v>6190.89</v>
      </c>
    </row>
    <row r="131" spans="1:34">
      <c r="A131" t="s">
        <v>560</v>
      </c>
      <c r="B131" s="1">
        <v>46152</v>
      </c>
      <c r="C131" t="str">
        <f>TEXT(Amazon_Data_Set[[#This Row],[Order Date]],"mmm")</f>
        <v>May</v>
      </c>
      <c r="D131" t="s">
        <v>561</v>
      </c>
      <c r="E131" t="s">
        <v>235</v>
      </c>
      <c r="F131" t="s">
        <v>236</v>
      </c>
      <c r="G131" t="s">
        <v>82</v>
      </c>
      <c r="H131" t="s">
        <v>38</v>
      </c>
      <c r="I131" t="s">
        <v>66</v>
      </c>
      <c r="J131" t="s">
        <v>318</v>
      </c>
      <c r="K131" t="s">
        <v>282</v>
      </c>
      <c r="L131" t="s">
        <v>562</v>
      </c>
      <c r="M131" t="s">
        <v>43</v>
      </c>
      <c r="N131" t="s">
        <v>60</v>
      </c>
      <c r="O131" t="s">
        <v>45</v>
      </c>
      <c r="P131">
        <v>2</v>
      </c>
      <c r="Q131">
        <v>2989.76</v>
      </c>
      <c r="R131" s="19">
        <v>0.25</v>
      </c>
      <c r="S131" s="21">
        <v>1494.88</v>
      </c>
      <c r="T131">
        <v>5979.52</v>
      </c>
      <c r="U131" s="2">
        <v>4484.6400000000003</v>
      </c>
      <c r="V131">
        <v>214.38</v>
      </c>
      <c r="W131">
        <v>2253.86</v>
      </c>
      <c r="X131" s="2">
        <v>2016.4</v>
      </c>
      <c r="Y131">
        <v>0.4496</v>
      </c>
      <c r="Z131">
        <v>8</v>
      </c>
      <c r="AA131" t="s">
        <v>61</v>
      </c>
      <c r="AB131" t="s">
        <v>47</v>
      </c>
      <c r="AD131">
        <v>5</v>
      </c>
      <c r="AE131" s="2">
        <v>3949.26</v>
      </c>
      <c r="AF131">
        <v>1.1355999999999999</v>
      </c>
      <c r="AG131" t="s">
        <v>347</v>
      </c>
      <c r="AH131" s="23">
        <f>SUM(Amazon_Data_Set[[#This Row],[Gross Sales]]-Amazon_Data_Set[[#This Row],[Discount Amount]])</f>
        <v>4484.6400000000003</v>
      </c>
    </row>
    <row r="132" spans="1:34">
      <c r="A132" t="s">
        <v>563</v>
      </c>
      <c r="B132" s="1">
        <v>46353</v>
      </c>
      <c r="C132" t="str">
        <f>TEXT(Amazon_Data_Set[[#This Row],[Order Date]],"mmm")</f>
        <v>Nov</v>
      </c>
      <c r="D132" t="s">
        <v>251</v>
      </c>
      <c r="E132" t="s">
        <v>109</v>
      </c>
      <c r="F132" t="s">
        <v>154</v>
      </c>
      <c r="G132" t="s">
        <v>111</v>
      </c>
      <c r="H132" t="s">
        <v>90</v>
      </c>
      <c r="I132" t="s">
        <v>112</v>
      </c>
      <c r="J132" t="s">
        <v>113</v>
      </c>
      <c r="K132" t="s">
        <v>114</v>
      </c>
      <c r="L132" t="s">
        <v>564</v>
      </c>
      <c r="M132" t="s">
        <v>106</v>
      </c>
      <c r="N132" t="s">
        <v>124</v>
      </c>
      <c r="O132" t="s">
        <v>45</v>
      </c>
      <c r="P132">
        <v>5</v>
      </c>
      <c r="Q132">
        <v>317.29000000000002</v>
      </c>
      <c r="R132" s="19">
        <v>0.1</v>
      </c>
      <c r="S132" s="21">
        <v>158.65</v>
      </c>
      <c r="T132">
        <v>1586.45</v>
      </c>
      <c r="U132" s="2">
        <v>1427.8</v>
      </c>
      <c r="V132">
        <v>230.92</v>
      </c>
      <c r="W132">
        <v>762.47</v>
      </c>
      <c r="X132" s="2">
        <v>434.41</v>
      </c>
      <c r="Y132">
        <v>0.30430000000000001</v>
      </c>
      <c r="Z132">
        <v>4</v>
      </c>
      <c r="AA132" t="s">
        <v>46</v>
      </c>
      <c r="AB132" t="s">
        <v>47</v>
      </c>
      <c r="AD132">
        <v>5</v>
      </c>
      <c r="AE132" s="2">
        <v>1271.04</v>
      </c>
      <c r="AF132">
        <v>1.1233</v>
      </c>
      <c r="AG132" t="s">
        <v>347</v>
      </c>
      <c r="AH132" s="23">
        <f>SUM(Amazon_Data_Set[[#This Row],[Gross Sales]]-Amazon_Data_Set[[#This Row],[Discount Amount]])</f>
        <v>1427.8</v>
      </c>
    </row>
    <row r="133" spans="1:34">
      <c r="A133" t="s">
        <v>565</v>
      </c>
      <c r="B133" s="1">
        <v>46069</v>
      </c>
      <c r="C133" t="str">
        <f>TEXT(Amazon_Data_Set[[#This Row],[Order Date]],"mmm")</f>
        <v>Feb</v>
      </c>
      <c r="D133" t="s">
        <v>566</v>
      </c>
      <c r="E133" t="s">
        <v>228</v>
      </c>
      <c r="F133" t="s">
        <v>229</v>
      </c>
      <c r="G133" t="s">
        <v>37</v>
      </c>
      <c r="H133" t="s">
        <v>83</v>
      </c>
      <c r="I133" t="s">
        <v>102</v>
      </c>
      <c r="J133" t="s">
        <v>103</v>
      </c>
      <c r="K133" t="s">
        <v>104</v>
      </c>
      <c r="L133" t="s">
        <v>567</v>
      </c>
      <c r="M133" t="s">
        <v>43</v>
      </c>
      <c r="N133" t="s">
        <v>44</v>
      </c>
      <c r="O133" t="s">
        <v>96</v>
      </c>
      <c r="P133">
        <v>3</v>
      </c>
      <c r="Q133">
        <v>1833.33</v>
      </c>
      <c r="R133" s="19">
        <v>0.1</v>
      </c>
      <c r="S133" s="21">
        <v>550</v>
      </c>
      <c r="T133">
        <v>5499.99</v>
      </c>
      <c r="U133" s="2">
        <v>4949.99</v>
      </c>
      <c r="V133">
        <v>174.27</v>
      </c>
      <c r="W133">
        <v>3413.63</v>
      </c>
      <c r="X133" s="2">
        <v>1362.09</v>
      </c>
      <c r="Y133">
        <v>0.2752</v>
      </c>
      <c r="Z133">
        <v>0</v>
      </c>
      <c r="AA133" t="s">
        <v>97</v>
      </c>
      <c r="AB133" t="s">
        <v>47</v>
      </c>
      <c r="AE133" s="2">
        <v>5819.69</v>
      </c>
      <c r="AF133">
        <v>0.85060000000000002</v>
      </c>
      <c r="AG133" t="s">
        <v>49</v>
      </c>
      <c r="AH133" s="23">
        <f>SUM(Amazon_Data_Set[[#This Row],[Gross Sales]]-Amazon_Data_Set[[#This Row],[Discount Amount]])</f>
        <v>4949.99</v>
      </c>
    </row>
    <row r="134" spans="1:34">
      <c r="A134" t="s">
        <v>568</v>
      </c>
      <c r="B134" s="1">
        <v>46100</v>
      </c>
      <c r="C134" t="str">
        <f>TEXT(Amazon_Data_Set[[#This Row],[Order Date]],"mmm")</f>
        <v>Mar</v>
      </c>
      <c r="D134" t="s">
        <v>569</v>
      </c>
      <c r="E134" t="s">
        <v>52</v>
      </c>
      <c r="F134" t="s">
        <v>53</v>
      </c>
      <c r="G134" t="s">
        <v>54</v>
      </c>
      <c r="H134" t="s">
        <v>142</v>
      </c>
      <c r="I134" t="s">
        <v>214</v>
      </c>
      <c r="J134" t="s">
        <v>308</v>
      </c>
      <c r="K134" t="s">
        <v>309</v>
      </c>
      <c r="L134" t="s">
        <v>570</v>
      </c>
      <c r="M134" t="s">
        <v>43</v>
      </c>
      <c r="N134" t="s">
        <v>124</v>
      </c>
      <c r="O134" t="s">
        <v>45</v>
      </c>
      <c r="P134">
        <v>5</v>
      </c>
      <c r="Q134">
        <v>1789.87</v>
      </c>
      <c r="R134" s="19">
        <v>0.25</v>
      </c>
      <c r="S134" s="21">
        <v>2237.34</v>
      </c>
      <c r="T134">
        <v>8949.35</v>
      </c>
      <c r="U134" s="2">
        <v>6712.01</v>
      </c>
      <c r="V134">
        <v>66.73</v>
      </c>
      <c r="W134">
        <v>3511.65</v>
      </c>
      <c r="X134" s="2">
        <v>3133.63</v>
      </c>
      <c r="Y134">
        <v>0.46689999999999998</v>
      </c>
      <c r="Z134">
        <v>7</v>
      </c>
      <c r="AA134" t="s">
        <v>61</v>
      </c>
      <c r="AB134" t="s">
        <v>47</v>
      </c>
      <c r="AD134">
        <v>5</v>
      </c>
      <c r="AE134" s="2">
        <v>6594.59</v>
      </c>
      <c r="AF134">
        <v>1.0178</v>
      </c>
      <c r="AG134" t="s">
        <v>49</v>
      </c>
      <c r="AH134" s="23">
        <f>SUM(Amazon_Data_Set[[#This Row],[Gross Sales]]-Amazon_Data_Set[[#This Row],[Discount Amount]])</f>
        <v>6712.01</v>
      </c>
    </row>
    <row r="135" spans="1:34">
      <c r="A135" t="s">
        <v>571</v>
      </c>
      <c r="B135" s="1">
        <v>46146</v>
      </c>
      <c r="C135" t="str">
        <f>TEXT(Amazon_Data_Set[[#This Row],[Order Date]],"mmm")</f>
        <v>May</v>
      </c>
      <c r="D135" t="s">
        <v>572</v>
      </c>
      <c r="E135" t="s">
        <v>275</v>
      </c>
      <c r="F135" t="s">
        <v>276</v>
      </c>
      <c r="G135" t="s">
        <v>37</v>
      </c>
      <c r="H135" t="s">
        <v>83</v>
      </c>
      <c r="I135" t="s">
        <v>84</v>
      </c>
      <c r="J135" t="s">
        <v>85</v>
      </c>
      <c r="K135" t="s">
        <v>86</v>
      </c>
      <c r="L135" t="s">
        <v>573</v>
      </c>
      <c r="M135" t="s">
        <v>43</v>
      </c>
      <c r="N135" t="s">
        <v>77</v>
      </c>
      <c r="O135" t="s">
        <v>45</v>
      </c>
      <c r="P135">
        <v>2</v>
      </c>
      <c r="Q135">
        <v>603.08000000000004</v>
      </c>
      <c r="R135" s="19">
        <v>0.3</v>
      </c>
      <c r="S135" s="21">
        <v>361.85</v>
      </c>
      <c r="T135">
        <v>1206.1600000000001</v>
      </c>
      <c r="U135" s="2">
        <v>844.31</v>
      </c>
      <c r="V135">
        <v>176.82</v>
      </c>
      <c r="W135">
        <v>543.08000000000004</v>
      </c>
      <c r="X135" s="2">
        <v>124.41</v>
      </c>
      <c r="Y135">
        <v>0.1474</v>
      </c>
      <c r="Z135">
        <v>1</v>
      </c>
      <c r="AA135" t="s">
        <v>46</v>
      </c>
      <c r="AB135" t="s">
        <v>47</v>
      </c>
      <c r="AD135">
        <v>3</v>
      </c>
      <c r="AE135" s="2">
        <v>798.53</v>
      </c>
      <c r="AF135">
        <v>1.0572999999999999</v>
      </c>
      <c r="AG135" t="s">
        <v>49</v>
      </c>
      <c r="AH135" s="23">
        <f>SUM(Amazon_Data_Set[[#This Row],[Gross Sales]]-Amazon_Data_Set[[#This Row],[Discount Amount]])</f>
        <v>844.31000000000006</v>
      </c>
    </row>
    <row r="136" spans="1:34">
      <c r="A136" t="s">
        <v>574</v>
      </c>
      <c r="B136" s="1">
        <v>46369</v>
      </c>
      <c r="C136" t="str">
        <f>TEXT(Amazon_Data_Set[[#This Row],[Order Date]],"mmm")</f>
        <v>Dec</v>
      </c>
      <c r="D136" t="s">
        <v>239</v>
      </c>
      <c r="E136" t="s">
        <v>100</v>
      </c>
      <c r="F136" t="s">
        <v>179</v>
      </c>
      <c r="G136" t="s">
        <v>54</v>
      </c>
      <c r="H136" t="s">
        <v>55</v>
      </c>
      <c r="I136" t="s">
        <v>120</v>
      </c>
      <c r="J136" t="s">
        <v>121</v>
      </c>
      <c r="K136" t="s">
        <v>122</v>
      </c>
      <c r="L136" t="s">
        <v>575</v>
      </c>
      <c r="M136" t="s">
        <v>106</v>
      </c>
      <c r="N136" t="s">
        <v>77</v>
      </c>
      <c r="O136" t="s">
        <v>45</v>
      </c>
      <c r="P136">
        <v>1</v>
      </c>
      <c r="Q136">
        <v>27518.240000000002</v>
      </c>
      <c r="R136" s="19">
        <v>0</v>
      </c>
      <c r="S136" s="21">
        <v>0</v>
      </c>
      <c r="T136">
        <v>27518.240000000002</v>
      </c>
      <c r="U136" s="2">
        <v>27518.240000000002</v>
      </c>
      <c r="V136">
        <v>194.03</v>
      </c>
      <c r="W136">
        <v>14072.35</v>
      </c>
      <c r="X136" s="2">
        <v>13251.86</v>
      </c>
      <c r="Y136">
        <v>0.48159999999999997</v>
      </c>
      <c r="Z136">
        <v>6</v>
      </c>
      <c r="AA136" t="s">
        <v>61</v>
      </c>
      <c r="AB136" t="s">
        <v>47</v>
      </c>
      <c r="AD136">
        <v>5</v>
      </c>
      <c r="AE136" s="2">
        <v>29655.85</v>
      </c>
      <c r="AF136">
        <v>0.92789999999999995</v>
      </c>
      <c r="AG136" t="s">
        <v>347</v>
      </c>
      <c r="AH136" s="23">
        <f>SUM(Amazon_Data_Set[[#This Row],[Gross Sales]]-Amazon_Data_Set[[#This Row],[Discount Amount]])</f>
        <v>27518.240000000002</v>
      </c>
    </row>
    <row r="137" spans="1:34">
      <c r="A137" t="s">
        <v>576</v>
      </c>
      <c r="B137" s="1">
        <v>46168</v>
      </c>
      <c r="C137" t="str">
        <f>TEXT(Amazon_Data_Set[[#This Row],[Order Date]],"mmm")</f>
        <v>May</v>
      </c>
      <c r="D137" t="s">
        <v>79</v>
      </c>
      <c r="E137" t="s">
        <v>100</v>
      </c>
      <c r="F137" t="s">
        <v>101</v>
      </c>
      <c r="G137" t="s">
        <v>54</v>
      </c>
      <c r="H137" t="s">
        <v>90</v>
      </c>
      <c r="I137" t="s">
        <v>252</v>
      </c>
      <c r="J137" t="s">
        <v>253</v>
      </c>
      <c r="K137" t="s">
        <v>254</v>
      </c>
      <c r="L137" t="s">
        <v>577</v>
      </c>
      <c r="M137" t="s">
        <v>106</v>
      </c>
      <c r="N137" t="s">
        <v>124</v>
      </c>
      <c r="O137" t="s">
        <v>130</v>
      </c>
      <c r="P137">
        <v>1</v>
      </c>
      <c r="Q137">
        <v>307.29000000000002</v>
      </c>
      <c r="R137" s="19">
        <v>0.15</v>
      </c>
      <c r="S137" s="21">
        <v>46.09</v>
      </c>
      <c r="T137">
        <v>307.29000000000002</v>
      </c>
      <c r="U137" s="2">
        <v>261.2</v>
      </c>
      <c r="V137">
        <v>73.81</v>
      </c>
      <c r="W137">
        <v>198.46</v>
      </c>
      <c r="X137" s="2">
        <v>-11.07</v>
      </c>
      <c r="Y137">
        <v>-4.24E-2</v>
      </c>
      <c r="Z137">
        <v>7</v>
      </c>
      <c r="AA137" t="s">
        <v>131</v>
      </c>
      <c r="AB137" t="s">
        <v>47</v>
      </c>
      <c r="AE137" s="2">
        <v>224.04</v>
      </c>
      <c r="AF137">
        <v>1.1658999999999999</v>
      </c>
      <c r="AG137" t="s">
        <v>49</v>
      </c>
      <c r="AH137" s="23">
        <f>SUM(Amazon_Data_Set[[#This Row],[Gross Sales]]-Amazon_Data_Set[[#This Row],[Discount Amount]])</f>
        <v>261.20000000000005</v>
      </c>
    </row>
    <row r="138" spans="1:34">
      <c r="A138" t="s">
        <v>578</v>
      </c>
      <c r="B138" s="1">
        <v>46207</v>
      </c>
      <c r="C138" t="str">
        <f>TEXT(Amazon_Data_Set[[#This Row],[Order Date]],"mmm")</f>
        <v>Jul</v>
      </c>
      <c r="D138" t="s">
        <v>349</v>
      </c>
      <c r="E138" t="s">
        <v>109</v>
      </c>
      <c r="F138" t="s">
        <v>110</v>
      </c>
      <c r="G138" t="s">
        <v>111</v>
      </c>
      <c r="H138" t="s">
        <v>142</v>
      </c>
      <c r="I138" t="s">
        <v>214</v>
      </c>
      <c r="J138" t="s">
        <v>215</v>
      </c>
      <c r="K138" t="s">
        <v>216</v>
      </c>
      <c r="L138" t="s">
        <v>579</v>
      </c>
      <c r="M138" t="s">
        <v>106</v>
      </c>
      <c r="N138" t="s">
        <v>77</v>
      </c>
      <c r="O138" t="s">
        <v>45</v>
      </c>
      <c r="P138">
        <v>1</v>
      </c>
      <c r="Q138">
        <v>648.84</v>
      </c>
      <c r="R138" s="19">
        <v>0.15</v>
      </c>
      <c r="S138" s="21">
        <v>97.33</v>
      </c>
      <c r="T138">
        <v>648.84</v>
      </c>
      <c r="U138" s="2">
        <v>551.51</v>
      </c>
      <c r="V138">
        <v>74.87</v>
      </c>
      <c r="W138">
        <v>368.7</v>
      </c>
      <c r="X138" s="2">
        <v>107.94</v>
      </c>
      <c r="Y138">
        <v>0.19570000000000001</v>
      </c>
      <c r="Z138">
        <v>2</v>
      </c>
      <c r="AA138" t="s">
        <v>46</v>
      </c>
      <c r="AB138" t="s">
        <v>47</v>
      </c>
      <c r="AD138">
        <v>5</v>
      </c>
      <c r="AE138" s="2">
        <v>471.44</v>
      </c>
      <c r="AF138">
        <v>1.1698</v>
      </c>
      <c r="AG138" t="s">
        <v>49</v>
      </c>
      <c r="AH138" s="23">
        <f>SUM(Amazon_Data_Set[[#This Row],[Gross Sales]]-Amazon_Data_Set[[#This Row],[Discount Amount]])</f>
        <v>551.51</v>
      </c>
    </row>
    <row r="139" spans="1:34">
      <c r="A139" t="s">
        <v>580</v>
      </c>
      <c r="B139" s="1">
        <v>46238</v>
      </c>
      <c r="C139" t="str">
        <f>TEXT(Amazon_Data_Set[[#This Row],[Order Date]],"mmm")</f>
        <v>Aug</v>
      </c>
      <c r="D139" t="s">
        <v>581</v>
      </c>
      <c r="E139" t="s">
        <v>235</v>
      </c>
      <c r="F139" t="s">
        <v>236</v>
      </c>
      <c r="G139" t="s">
        <v>82</v>
      </c>
      <c r="H139" t="s">
        <v>55</v>
      </c>
      <c r="I139" t="s">
        <v>56</v>
      </c>
      <c r="J139" t="s">
        <v>582</v>
      </c>
      <c r="K139" t="s">
        <v>583</v>
      </c>
      <c r="L139" t="s">
        <v>584</v>
      </c>
      <c r="M139" t="s">
        <v>43</v>
      </c>
      <c r="N139" t="s">
        <v>70</v>
      </c>
      <c r="O139" t="s">
        <v>130</v>
      </c>
      <c r="P139">
        <v>2</v>
      </c>
      <c r="Q139">
        <v>8562.23</v>
      </c>
      <c r="R139" s="19">
        <v>0.2</v>
      </c>
      <c r="S139" s="21">
        <v>3424.89</v>
      </c>
      <c r="T139">
        <v>17124.46</v>
      </c>
      <c r="U139" s="2">
        <v>13699.57</v>
      </c>
      <c r="V139">
        <v>119.44</v>
      </c>
      <c r="W139">
        <v>10106.08</v>
      </c>
      <c r="X139" s="2">
        <v>3474.05</v>
      </c>
      <c r="Y139">
        <v>0.25359999999999999</v>
      </c>
      <c r="Z139">
        <v>8</v>
      </c>
      <c r="AA139" t="s">
        <v>131</v>
      </c>
      <c r="AB139" t="s">
        <v>47</v>
      </c>
      <c r="AE139" s="2">
        <v>15153.26</v>
      </c>
      <c r="AF139">
        <v>0.90410000000000001</v>
      </c>
      <c r="AG139" t="s">
        <v>49</v>
      </c>
      <c r="AH139" s="23">
        <f>SUM(Amazon_Data_Set[[#This Row],[Gross Sales]]-Amazon_Data_Set[[#This Row],[Discount Amount]])</f>
        <v>13699.57</v>
      </c>
    </row>
    <row r="140" spans="1:34">
      <c r="A140" t="s">
        <v>585</v>
      </c>
      <c r="B140" s="1">
        <v>46236</v>
      </c>
      <c r="C140" t="str">
        <f>TEXT(Amazon_Data_Set[[#This Row],[Order Date]],"mmm")</f>
        <v>Aug</v>
      </c>
      <c r="D140" t="s">
        <v>586</v>
      </c>
      <c r="E140" t="s">
        <v>35</v>
      </c>
      <c r="F140" t="s">
        <v>36</v>
      </c>
      <c r="G140" t="s">
        <v>37</v>
      </c>
      <c r="H140" t="s">
        <v>83</v>
      </c>
      <c r="I140" t="s">
        <v>84</v>
      </c>
      <c r="J140" t="s">
        <v>85</v>
      </c>
      <c r="K140" t="s">
        <v>86</v>
      </c>
      <c r="L140" t="s">
        <v>587</v>
      </c>
      <c r="M140" t="s">
        <v>43</v>
      </c>
      <c r="N140" t="s">
        <v>77</v>
      </c>
      <c r="O140" t="s">
        <v>45</v>
      </c>
      <c r="P140">
        <v>5</v>
      </c>
      <c r="Q140">
        <v>663.09</v>
      </c>
      <c r="R140" s="19">
        <v>0</v>
      </c>
      <c r="S140" s="21">
        <v>0</v>
      </c>
      <c r="T140">
        <v>3315.45</v>
      </c>
      <c r="U140" s="2">
        <v>3315.45</v>
      </c>
      <c r="V140">
        <v>56.94</v>
      </c>
      <c r="W140">
        <v>2540.59</v>
      </c>
      <c r="X140" s="2">
        <v>717.92</v>
      </c>
      <c r="Y140">
        <v>0.2165</v>
      </c>
      <c r="Z140">
        <v>2</v>
      </c>
      <c r="AA140" t="s">
        <v>46</v>
      </c>
      <c r="AB140" t="s">
        <v>47</v>
      </c>
      <c r="AD140">
        <v>5</v>
      </c>
      <c r="AE140" s="2">
        <v>2940.28</v>
      </c>
      <c r="AF140">
        <v>1.1275999999999999</v>
      </c>
      <c r="AG140" t="s">
        <v>347</v>
      </c>
      <c r="AH140" s="23">
        <f>SUM(Amazon_Data_Set[[#This Row],[Gross Sales]]-Amazon_Data_Set[[#This Row],[Discount Amount]])</f>
        <v>3315.45</v>
      </c>
    </row>
    <row r="141" spans="1:34">
      <c r="A141" t="s">
        <v>588</v>
      </c>
      <c r="B141" s="1">
        <v>46065</v>
      </c>
      <c r="C141" t="str">
        <f>TEXT(Amazon_Data_Set[[#This Row],[Order Date]],"mmm")</f>
        <v>Feb</v>
      </c>
      <c r="D141" t="s">
        <v>589</v>
      </c>
      <c r="E141" t="s">
        <v>149</v>
      </c>
      <c r="F141" t="s">
        <v>150</v>
      </c>
      <c r="G141" t="s">
        <v>37</v>
      </c>
      <c r="H141" t="s">
        <v>38</v>
      </c>
      <c r="I141" t="s">
        <v>161</v>
      </c>
      <c r="J141" t="s">
        <v>223</v>
      </c>
      <c r="K141" t="s">
        <v>224</v>
      </c>
      <c r="L141" t="s">
        <v>590</v>
      </c>
      <c r="M141" t="s">
        <v>43</v>
      </c>
      <c r="N141" t="s">
        <v>124</v>
      </c>
      <c r="O141" t="s">
        <v>130</v>
      </c>
      <c r="P141">
        <v>1</v>
      </c>
      <c r="Q141">
        <v>601.46</v>
      </c>
      <c r="R141" s="19">
        <v>0.3</v>
      </c>
      <c r="S141" s="21">
        <v>180.44</v>
      </c>
      <c r="T141">
        <v>601.46</v>
      </c>
      <c r="U141" s="2">
        <v>421.02</v>
      </c>
      <c r="V141">
        <v>130.55000000000001</v>
      </c>
      <c r="W141">
        <v>243.4</v>
      </c>
      <c r="X141" s="2">
        <v>47.07</v>
      </c>
      <c r="Y141">
        <v>0.1118</v>
      </c>
      <c r="Z141">
        <v>2</v>
      </c>
      <c r="AA141" t="s">
        <v>131</v>
      </c>
      <c r="AB141" t="s">
        <v>47</v>
      </c>
      <c r="AE141" s="2">
        <v>498.63</v>
      </c>
      <c r="AF141">
        <v>0.84440000000000004</v>
      </c>
      <c r="AG141" t="s">
        <v>49</v>
      </c>
      <c r="AH141" s="23">
        <f>SUM(Amazon_Data_Set[[#This Row],[Gross Sales]]-Amazon_Data_Set[[#This Row],[Discount Amount]])</f>
        <v>421.02000000000004</v>
      </c>
    </row>
    <row r="142" spans="1:34">
      <c r="A142" t="s">
        <v>591</v>
      </c>
      <c r="B142" s="1">
        <v>46082</v>
      </c>
      <c r="C142" t="str">
        <f>TEXT(Amazon_Data_Set[[#This Row],[Order Date]],"mmm")</f>
        <v>Mar</v>
      </c>
      <c r="D142" t="s">
        <v>592</v>
      </c>
      <c r="E142" t="s">
        <v>149</v>
      </c>
      <c r="F142" t="s">
        <v>150</v>
      </c>
      <c r="G142" t="s">
        <v>37</v>
      </c>
      <c r="H142" t="s">
        <v>55</v>
      </c>
      <c r="I142" t="s">
        <v>56</v>
      </c>
      <c r="J142" t="s">
        <v>366</v>
      </c>
      <c r="K142" t="s">
        <v>367</v>
      </c>
      <c r="L142" t="s">
        <v>593</v>
      </c>
      <c r="M142" t="s">
        <v>106</v>
      </c>
      <c r="N142" t="s">
        <v>60</v>
      </c>
      <c r="O142" t="s">
        <v>45</v>
      </c>
      <c r="P142">
        <v>3</v>
      </c>
      <c r="Q142">
        <v>40044.03</v>
      </c>
      <c r="R142" s="19">
        <v>0</v>
      </c>
      <c r="S142" s="21">
        <v>0</v>
      </c>
      <c r="T142">
        <v>120132.09</v>
      </c>
      <c r="U142" s="2">
        <v>120132.09</v>
      </c>
      <c r="V142">
        <v>91.03</v>
      </c>
      <c r="W142">
        <v>93136.6</v>
      </c>
      <c r="X142" s="2">
        <v>26904.46</v>
      </c>
      <c r="Y142">
        <v>0.224</v>
      </c>
      <c r="Z142">
        <v>4</v>
      </c>
      <c r="AA142" t="s">
        <v>46</v>
      </c>
      <c r="AB142" t="s">
        <v>47</v>
      </c>
      <c r="AD142">
        <v>5</v>
      </c>
      <c r="AE142" s="2">
        <v>103633.38</v>
      </c>
      <c r="AF142">
        <v>1.1592</v>
      </c>
      <c r="AG142" t="s">
        <v>49</v>
      </c>
      <c r="AH142" s="23">
        <f>SUM(Amazon_Data_Set[[#This Row],[Gross Sales]]-Amazon_Data_Set[[#This Row],[Discount Amount]])</f>
        <v>120132.09</v>
      </c>
    </row>
    <row r="143" spans="1:34">
      <c r="A143" t="s">
        <v>594</v>
      </c>
      <c r="B143" s="1">
        <v>46111</v>
      </c>
      <c r="C143" t="str">
        <f>TEXT(Amazon_Data_Set[[#This Row],[Order Date]],"mmm")</f>
        <v>Mar</v>
      </c>
      <c r="D143" t="s">
        <v>595</v>
      </c>
      <c r="E143" t="s">
        <v>235</v>
      </c>
      <c r="F143" t="s">
        <v>236</v>
      </c>
      <c r="G143" t="s">
        <v>82</v>
      </c>
      <c r="H143" t="s">
        <v>90</v>
      </c>
      <c r="I143" t="s">
        <v>252</v>
      </c>
      <c r="J143" t="s">
        <v>253</v>
      </c>
      <c r="K143" t="s">
        <v>254</v>
      </c>
      <c r="L143" t="s">
        <v>596</v>
      </c>
      <c r="M143" t="s">
        <v>43</v>
      </c>
      <c r="N143" t="s">
        <v>70</v>
      </c>
      <c r="O143" t="s">
        <v>45</v>
      </c>
      <c r="P143">
        <v>2</v>
      </c>
      <c r="Q143">
        <v>1549.37</v>
      </c>
      <c r="R143" s="19">
        <v>0.15</v>
      </c>
      <c r="S143" s="21">
        <v>464.81</v>
      </c>
      <c r="T143">
        <v>3098.74</v>
      </c>
      <c r="U143" s="2">
        <v>2633.93</v>
      </c>
      <c r="V143">
        <v>195.64</v>
      </c>
      <c r="W143">
        <v>1934.25</v>
      </c>
      <c r="X143" s="2">
        <v>504.04</v>
      </c>
      <c r="Y143">
        <v>0.19139999999999999</v>
      </c>
      <c r="Z143">
        <v>7</v>
      </c>
      <c r="AA143" t="s">
        <v>61</v>
      </c>
      <c r="AB143" t="s">
        <v>47</v>
      </c>
      <c r="AD143">
        <v>5</v>
      </c>
      <c r="AE143" s="2">
        <v>2680.55</v>
      </c>
      <c r="AF143">
        <v>0.98260000000000003</v>
      </c>
      <c r="AG143" t="s">
        <v>347</v>
      </c>
      <c r="AH143" s="23">
        <f>SUM(Amazon_Data_Set[[#This Row],[Gross Sales]]-Amazon_Data_Set[[#This Row],[Discount Amount]])</f>
        <v>2633.93</v>
      </c>
    </row>
    <row r="144" spans="1:34">
      <c r="A144" t="s">
        <v>597</v>
      </c>
      <c r="B144" s="1">
        <v>46163</v>
      </c>
      <c r="C144" t="str">
        <f>TEXT(Amazon_Data_Set[[#This Row],[Order Date]],"mmm")</f>
        <v>May</v>
      </c>
      <c r="D144" t="s">
        <v>495</v>
      </c>
      <c r="E144" t="s">
        <v>64</v>
      </c>
      <c r="F144" t="s">
        <v>65</v>
      </c>
      <c r="G144" t="s">
        <v>54</v>
      </c>
      <c r="H144" t="s">
        <v>55</v>
      </c>
      <c r="I144" t="s">
        <v>56</v>
      </c>
      <c r="J144" t="s">
        <v>57</v>
      </c>
      <c r="K144" t="s">
        <v>58</v>
      </c>
      <c r="L144" t="s">
        <v>598</v>
      </c>
      <c r="M144" t="s">
        <v>106</v>
      </c>
      <c r="N144" t="s">
        <v>60</v>
      </c>
      <c r="O144" t="s">
        <v>45</v>
      </c>
      <c r="P144">
        <v>1</v>
      </c>
      <c r="Q144">
        <v>18751.39</v>
      </c>
      <c r="R144" s="19">
        <v>0.05</v>
      </c>
      <c r="S144" s="21">
        <v>937.57</v>
      </c>
      <c r="T144">
        <v>18751.39</v>
      </c>
      <c r="U144" s="2">
        <v>17813.82</v>
      </c>
      <c r="V144">
        <v>142.19</v>
      </c>
      <c r="W144">
        <v>13598.73</v>
      </c>
      <c r="X144" s="2">
        <v>4072.9</v>
      </c>
      <c r="Y144">
        <v>0.2286</v>
      </c>
      <c r="Z144">
        <v>2</v>
      </c>
      <c r="AA144" t="s">
        <v>46</v>
      </c>
      <c r="AB144" t="s">
        <v>47</v>
      </c>
      <c r="AD144">
        <v>3</v>
      </c>
      <c r="AE144" s="2">
        <v>21148.78</v>
      </c>
      <c r="AF144">
        <v>0.84230000000000005</v>
      </c>
      <c r="AG144" t="s">
        <v>49</v>
      </c>
      <c r="AH144" s="23">
        <f>SUM(Amazon_Data_Set[[#This Row],[Gross Sales]]-Amazon_Data_Set[[#This Row],[Discount Amount]])</f>
        <v>17813.82</v>
      </c>
    </row>
    <row r="145" spans="1:34">
      <c r="A145" t="s">
        <v>599</v>
      </c>
      <c r="B145" s="1">
        <v>46236</v>
      </c>
      <c r="C145" t="str">
        <f>TEXT(Amazon_Data_Set[[#This Row],[Order Date]],"mmm")</f>
        <v>Aug</v>
      </c>
      <c r="D145" t="s">
        <v>362</v>
      </c>
      <c r="E145" t="s">
        <v>109</v>
      </c>
      <c r="F145" t="s">
        <v>110</v>
      </c>
      <c r="G145" t="s">
        <v>111</v>
      </c>
      <c r="H145" t="s">
        <v>142</v>
      </c>
      <c r="I145" t="s">
        <v>143</v>
      </c>
      <c r="J145" t="s">
        <v>200</v>
      </c>
      <c r="K145" t="s">
        <v>201</v>
      </c>
      <c r="L145" t="s">
        <v>600</v>
      </c>
      <c r="M145" t="s">
        <v>106</v>
      </c>
      <c r="N145" t="s">
        <v>124</v>
      </c>
      <c r="O145" t="s">
        <v>45</v>
      </c>
      <c r="P145">
        <v>5</v>
      </c>
      <c r="Q145">
        <v>1985.53</v>
      </c>
      <c r="R145" s="19">
        <v>0.1</v>
      </c>
      <c r="S145" s="21">
        <v>992.76</v>
      </c>
      <c r="T145">
        <v>9927.65</v>
      </c>
      <c r="U145" s="2">
        <v>8934.89</v>
      </c>
      <c r="V145">
        <v>63.63</v>
      </c>
      <c r="W145">
        <v>4757.68</v>
      </c>
      <c r="X145" s="2">
        <v>4113.58</v>
      </c>
      <c r="Y145">
        <v>0.46039999999999998</v>
      </c>
      <c r="Z145">
        <v>1</v>
      </c>
      <c r="AA145" t="s">
        <v>46</v>
      </c>
      <c r="AB145" t="s">
        <v>47</v>
      </c>
      <c r="AD145">
        <v>4</v>
      </c>
      <c r="AE145" s="2">
        <v>7829.84</v>
      </c>
      <c r="AF145">
        <v>1.1411</v>
      </c>
      <c r="AG145" t="s">
        <v>49</v>
      </c>
      <c r="AH145" s="23">
        <f>SUM(Amazon_Data_Set[[#This Row],[Gross Sales]]-Amazon_Data_Set[[#This Row],[Discount Amount]])</f>
        <v>8934.89</v>
      </c>
    </row>
    <row r="146" spans="1:34">
      <c r="A146" t="s">
        <v>601</v>
      </c>
      <c r="B146" s="1">
        <v>46098</v>
      </c>
      <c r="C146" t="str">
        <f>TEXT(Amazon_Data_Set[[#This Row],[Order Date]],"mmm")</f>
        <v>Mar</v>
      </c>
      <c r="D146" t="s">
        <v>602</v>
      </c>
      <c r="E146" t="s">
        <v>118</v>
      </c>
      <c r="F146" t="s">
        <v>119</v>
      </c>
      <c r="G146" t="s">
        <v>82</v>
      </c>
      <c r="H146" t="s">
        <v>90</v>
      </c>
      <c r="I146" t="s">
        <v>252</v>
      </c>
      <c r="J146" t="s">
        <v>253</v>
      </c>
      <c r="K146" t="s">
        <v>254</v>
      </c>
      <c r="L146" t="s">
        <v>603</v>
      </c>
      <c r="M146" t="s">
        <v>106</v>
      </c>
      <c r="N146" t="s">
        <v>44</v>
      </c>
      <c r="O146" t="s">
        <v>96</v>
      </c>
      <c r="P146">
        <v>2</v>
      </c>
      <c r="Q146">
        <v>543.39</v>
      </c>
      <c r="R146" s="19">
        <v>0</v>
      </c>
      <c r="S146" s="21">
        <v>0</v>
      </c>
      <c r="T146">
        <v>1086.78</v>
      </c>
      <c r="U146" s="2">
        <v>1086.78</v>
      </c>
      <c r="V146">
        <v>21.3</v>
      </c>
      <c r="W146">
        <v>676.43</v>
      </c>
      <c r="X146" s="2">
        <v>389.05</v>
      </c>
      <c r="Y146">
        <v>0.35799999999999998</v>
      </c>
      <c r="Z146">
        <v>0</v>
      </c>
      <c r="AA146" t="s">
        <v>97</v>
      </c>
      <c r="AB146" t="s">
        <v>47</v>
      </c>
      <c r="AE146" s="2">
        <v>1279.4100000000001</v>
      </c>
      <c r="AF146">
        <v>0.84940000000000004</v>
      </c>
      <c r="AG146" t="s">
        <v>49</v>
      </c>
      <c r="AH146" s="23">
        <f>SUM(Amazon_Data_Set[[#This Row],[Gross Sales]]-Amazon_Data_Set[[#This Row],[Discount Amount]])</f>
        <v>1086.78</v>
      </c>
    </row>
    <row r="147" spans="1:34">
      <c r="A147" t="s">
        <v>604</v>
      </c>
      <c r="B147" s="1">
        <v>46342</v>
      </c>
      <c r="C147" t="str">
        <f>TEXT(Amazon_Data_Set[[#This Row],[Order Date]],"mmm")</f>
        <v>Nov</v>
      </c>
      <c r="D147" t="s">
        <v>605</v>
      </c>
      <c r="E147" t="s">
        <v>64</v>
      </c>
      <c r="F147" t="s">
        <v>65</v>
      </c>
      <c r="G147" t="s">
        <v>54</v>
      </c>
      <c r="H147" t="s">
        <v>55</v>
      </c>
      <c r="I147" t="s">
        <v>120</v>
      </c>
      <c r="J147" t="s">
        <v>127</v>
      </c>
      <c r="K147" t="s">
        <v>128</v>
      </c>
      <c r="L147" t="s">
        <v>606</v>
      </c>
      <c r="M147" t="s">
        <v>106</v>
      </c>
      <c r="N147" t="s">
        <v>77</v>
      </c>
      <c r="O147" t="s">
        <v>45</v>
      </c>
      <c r="P147">
        <v>4</v>
      </c>
      <c r="Q147">
        <v>3318.7</v>
      </c>
      <c r="R147" s="19">
        <v>0.15</v>
      </c>
      <c r="S147" s="21">
        <v>1991.22</v>
      </c>
      <c r="T147">
        <v>13274.8</v>
      </c>
      <c r="U147" s="2">
        <v>11283.58</v>
      </c>
      <c r="V147">
        <v>209.89</v>
      </c>
      <c r="W147">
        <v>8480.84</v>
      </c>
      <c r="X147" s="2">
        <v>2592.85</v>
      </c>
      <c r="Y147">
        <v>0.2298</v>
      </c>
      <c r="Z147">
        <v>6</v>
      </c>
      <c r="AA147" t="s">
        <v>61</v>
      </c>
      <c r="AB147" t="s">
        <v>47</v>
      </c>
      <c r="AD147">
        <v>5</v>
      </c>
      <c r="AE147" s="2">
        <v>9707.56</v>
      </c>
      <c r="AF147">
        <v>1.1623000000000001</v>
      </c>
      <c r="AG147" t="s">
        <v>49</v>
      </c>
      <c r="AH147" s="23">
        <f>SUM(Amazon_Data_Set[[#This Row],[Gross Sales]]-Amazon_Data_Set[[#This Row],[Discount Amount]])</f>
        <v>11283.58</v>
      </c>
    </row>
    <row r="148" spans="1:34">
      <c r="A148" t="s">
        <v>607</v>
      </c>
      <c r="B148" s="1">
        <v>46238</v>
      </c>
      <c r="C148" t="str">
        <f>TEXT(Amazon_Data_Set[[#This Row],[Order Date]],"mmm")</f>
        <v>Aug</v>
      </c>
      <c r="D148" t="s">
        <v>166</v>
      </c>
      <c r="E148" t="s">
        <v>35</v>
      </c>
      <c r="F148" t="s">
        <v>36</v>
      </c>
      <c r="G148" t="s">
        <v>37</v>
      </c>
      <c r="H148" t="s">
        <v>142</v>
      </c>
      <c r="I148" t="s">
        <v>214</v>
      </c>
      <c r="J148" t="s">
        <v>215</v>
      </c>
      <c r="K148" t="s">
        <v>216</v>
      </c>
      <c r="L148" t="s">
        <v>608</v>
      </c>
      <c r="M148" t="s">
        <v>43</v>
      </c>
      <c r="N148" t="s">
        <v>44</v>
      </c>
      <c r="O148" t="s">
        <v>45</v>
      </c>
      <c r="P148">
        <v>3</v>
      </c>
      <c r="Q148">
        <v>1645.3</v>
      </c>
      <c r="R148" s="19">
        <v>0.2</v>
      </c>
      <c r="S148" s="21">
        <v>987.18</v>
      </c>
      <c r="T148">
        <v>4935.8999999999996</v>
      </c>
      <c r="U148" s="2">
        <v>3948.72</v>
      </c>
      <c r="V148">
        <v>62.45</v>
      </c>
      <c r="W148">
        <v>2796.77</v>
      </c>
      <c r="X148" s="2">
        <v>1089.5</v>
      </c>
      <c r="Y148">
        <v>0.27589999999999998</v>
      </c>
      <c r="Z148">
        <v>1</v>
      </c>
      <c r="AA148" t="s">
        <v>46</v>
      </c>
      <c r="AB148" t="s">
        <v>47</v>
      </c>
      <c r="AD148">
        <v>5</v>
      </c>
      <c r="AE148" s="2">
        <v>4376.4799999999996</v>
      </c>
      <c r="AF148">
        <v>0.90229999999999999</v>
      </c>
      <c r="AG148" t="s">
        <v>49</v>
      </c>
      <c r="AH148" s="23">
        <f>SUM(Amazon_Data_Set[[#This Row],[Gross Sales]]-Amazon_Data_Set[[#This Row],[Discount Amount]])</f>
        <v>3948.72</v>
      </c>
    </row>
    <row r="149" spans="1:34">
      <c r="A149" t="s">
        <v>609</v>
      </c>
      <c r="B149" s="1">
        <v>46121</v>
      </c>
      <c r="C149" t="str">
        <f>TEXT(Amazon_Data_Set[[#This Row],[Order Date]],"mmm")</f>
        <v>Apr</v>
      </c>
      <c r="D149" t="s">
        <v>455</v>
      </c>
      <c r="E149" t="s">
        <v>109</v>
      </c>
      <c r="F149" t="s">
        <v>154</v>
      </c>
      <c r="G149" t="s">
        <v>111</v>
      </c>
      <c r="H149" t="s">
        <v>38</v>
      </c>
      <c r="I149" t="s">
        <v>39</v>
      </c>
      <c r="J149" t="s">
        <v>40</v>
      </c>
      <c r="K149" t="s">
        <v>41</v>
      </c>
      <c r="L149" t="s">
        <v>610</v>
      </c>
      <c r="M149" t="s">
        <v>106</v>
      </c>
      <c r="N149" t="s">
        <v>70</v>
      </c>
      <c r="O149" t="s">
        <v>130</v>
      </c>
      <c r="P149">
        <v>2</v>
      </c>
      <c r="Q149">
        <v>1759.47</v>
      </c>
      <c r="R149" s="19">
        <v>0.1</v>
      </c>
      <c r="S149" s="21">
        <v>351.89</v>
      </c>
      <c r="T149">
        <v>3518.94</v>
      </c>
      <c r="U149" s="2">
        <v>3167.05</v>
      </c>
      <c r="V149">
        <v>122.1</v>
      </c>
      <c r="W149">
        <v>1805.45</v>
      </c>
      <c r="X149" s="2">
        <v>1239.5</v>
      </c>
      <c r="Y149">
        <v>0.39140000000000003</v>
      </c>
      <c r="Z149">
        <v>6</v>
      </c>
      <c r="AA149" t="s">
        <v>131</v>
      </c>
      <c r="AB149" t="s">
        <v>47</v>
      </c>
      <c r="AE149" s="2">
        <v>2754.55</v>
      </c>
      <c r="AF149">
        <v>1.1497999999999999</v>
      </c>
      <c r="AG149" t="s">
        <v>49</v>
      </c>
      <c r="AH149" s="23">
        <f>SUM(Amazon_Data_Set[[#This Row],[Gross Sales]]-Amazon_Data_Set[[#This Row],[Discount Amount]])</f>
        <v>3167.05</v>
      </c>
    </row>
    <row r="150" spans="1:34">
      <c r="A150" t="s">
        <v>611</v>
      </c>
      <c r="B150" s="1">
        <v>46032</v>
      </c>
      <c r="C150" t="str">
        <f>TEXT(Amazon_Data_Set[[#This Row],[Order Date]],"mmm")</f>
        <v>Jan</v>
      </c>
      <c r="D150" t="s">
        <v>251</v>
      </c>
      <c r="E150" t="s">
        <v>149</v>
      </c>
      <c r="F150" t="s">
        <v>150</v>
      </c>
      <c r="G150" t="s">
        <v>37</v>
      </c>
      <c r="H150" t="s">
        <v>142</v>
      </c>
      <c r="I150" t="s">
        <v>209</v>
      </c>
      <c r="J150" t="s">
        <v>243</v>
      </c>
      <c r="K150" t="s">
        <v>145</v>
      </c>
      <c r="L150" t="s">
        <v>612</v>
      </c>
      <c r="M150" t="s">
        <v>106</v>
      </c>
      <c r="N150" t="s">
        <v>95</v>
      </c>
      <c r="O150" t="s">
        <v>130</v>
      </c>
      <c r="P150">
        <v>5</v>
      </c>
      <c r="Q150">
        <v>284.99</v>
      </c>
      <c r="R150" s="19">
        <v>0.1</v>
      </c>
      <c r="S150" s="21">
        <v>142.5</v>
      </c>
      <c r="T150">
        <v>1424.95</v>
      </c>
      <c r="U150" s="2">
        <v>1282.45</v>
      </c>
      <c r="V150">
        <v>85.6</v>
      </c>
      <c r="W150">
        <v>620.42999999999995</v>
      </c>
      <c r="X150" s="2">
        <v>576.41999999999996</v>
      </c>
      <c r="Y150">
        <v>0.44950000000000001</v>
      </c>
      <c r="Z150">
        <v>6</v>
      </c>
      <c r="AA150" t="s">
        <v>131</v>
      </c>
      <c r="AB150" t="s">
        <v>47</v>
      </c>
      <c r="AE150" s="2">
        <v>1258.08</v>
      </c>
      <c r="AF150">
        <v>1.0194000000000001</v>
      </c>
      <c r="AG150" t="s">
        <v>49</v>
      </c>
      <c r="AH150" s="23">
        <f>SUM(Amazon_Data_Set[[#This Row],[Gross Sales]]-Amazon_Data_Set[[#This Row],[Discount Amount]])</f>
        <v>1282.45</v>
      </c>
    </row>
    <row r="151" spans="1:34">
      <c r="A151" t="s">
        <v>613</v>
      </c>
      <c r="B151" s="1">
        <v>46144</v>
      </c>
      <c r="C151" t="str">
        <f>TEXT(Amazon_Data_Set[[#This Row],[Order Date]],"mmm")</f>
        <v>May</v>
      </c>
      <c r="D151" t="s">
        <v>614</v>
      </c>
      <c r="E151" t="s">
        <v>64</v>
      </c>
      <c r="F151" t="s">
        <v>65</v>
      </c>
      <c r="G151" t="s">
        <v>54</v>
      </c>
      <c r="H151" t="s">
        <v>142</v>
      </c>
      <c r="I151" t="s">
        <v>209</v>
      </c>
      <c r="J151" t="s">
        <v>511</v>
      </c>
      <c r="K151" t="s">
        <v>512</v>
      </c>
      <c r="L151" t="s">
        <v>615</v>
      </c>
      <c r="M151" t="s">
        <v>43</v>
      </c>
      <c r="N151" t="s">
        <v>60</v>
      </c>
      <c r="O151" t="s">
        <v>45</v>
      </c>
      <c r="P151">
        <v>3</v>
      </c>
      <c r="Q151">
        <v>9862.1299999999992</v>
      </c>
      <c r="R151" s="19">
        <v>0.15</v>
      </c>
      <c r="S151" s="21">
        <v>4437.96</v>
      </c>
      <c r="T151">
        <v>29586.39</v>
      </c>
      <c r="U151" s="2">
        <v>25148.43</v>
      </c>
      <c r="V151">
        <v>17.59</v>
      </c>
      <c r="W151">
        <v>13681.8</v>
      </c>
      <c r="X151" s="2">
        <v>11449.04</v>
      </c>
      <c r="Y151">
        <v>0.45529999999999998</v>
      </c>
      <c r="Z151">
        <v>1</v>
      </c>
      <c r="AA151" t="s">
        <v>46</v>
      </c>
      <c r="AB151" t="s">
        <v>47</v>
      </c>
      <c r="AD151">
        <v>4</v>
      </c>
      <c r="AE151" s="2">
        <v>25282.23</v>
      </c>
      <c r="AF151">
        <v>0.99470000000000003</v>
      </c>
      <c r="AG151" t="s">
        <v>49</v>
      </c>
      <c r="AH151" s="23">
        <f>SUM(Amazon_Data_Set[[#This Row],[Gross Sales]]-Amazon_Data_Set[[#This Row],[Discount Amount]])</f>
        <v>25148.43</v>
      </c>
    </row>
    <row r="152" spans="1:34">
      <c r="A152" t="s">
        <v>616</v>
      </c>
      <c r="B152" s="1">
        <v>46159</v>
      </c>
      <c r="C152" t="str">
        <f>TEXT(Amazon_Data_Set[[#This Row],[Order Date]],"mmm")</f>
        <v>May</v>
      </c>
      <c r="D152" t="s">
        <v>429</v>
      </c>
      <c r="E152" t="s">
        <v>64</v>
      </c>
      <c r="F152" t="s">
        <v>65</v>
      </c>
      <c r="G152" t="s">
        <v>54</v>
      </c>
      <c r="H152" t="s">
        <v>142</v>
      </c>
      <c r="I152" t="s">
        <v>214</v>
      </c>
      <c r="J152" t="s">
        <v>215</v>
      </c>
      <c r="K152" t="s">
        <v>216</v>
      </c>
      <c r="L152" t="s">
        <v>617</v>
      </c>
      <c r="M152" t="s">
        <v>43</v>
      </c>
      <c r="N152" t="s">
        <v>124</v>
      </c>
      <c r="O152" t="s">
        <v>45</v>
      </c>
      <c r="P152">
        <v>4</v>
      </c>
      <c r="Q152">
        <v>2206.44</v>
      </c>
      <c r="R152" s="19">
        <v>0.05</v>
      </c>
      <c r="S152" s="21">
        <v>441.29</v>
      </c>
      <c r="T152">
        <v>8825.76</v>
      </c>
      <c r="U152" s="2">
        <v>8384.4699999999993</v>
      </c>
      <c r="V152">
        <v>104.23</v>
      </c>
      <c r="W152">
        <v>4237.42</v>
      </c>
      <c r="X152" s="2">
        <v>4042.82</v>
      </c>
      <c r="Y152">
        <v>0.48220000000000002</v>
      </c>
      <c r="Z152">
        <v>4</v>
      </c>
      <c r="AA152" t="s">
        <v>46</v>
      </c>
      <c r="AB152" t="s">
        <v>47</v>
      </c>
      <c r="AD152">
        <v>3</v>
      </c>
      <c r="AE152" s="2">
        <v>9644.06</v>
      </c>
      <c r="AF152">
        <v>0.86939999999999995</v>
      </c>
      <c r="AG152" t="s">
        <v>49</v>
      </c>
      <c r="AH152" s="23">
        <f>SUM(Amazon_Data_Set[[#This Row],[Gross Sales]]-Amazon_Data_Set[[#This Row],[Discount Amount]])</f>
        <v>8384.4699999999993</v>
      </c>
    </row>
    <row r="153" spans="1:34">
      <c r="A153" t="s">
        <v>618</v>
      </c>
      <c r="B153" s="1">
        <v>46135</v>
      </c>
      <c r="C153" t="str">
        <f>TEXT(Amazon_Data_Set[[#This Row],[Order Date]],"mmm")</f>
        <v>Apr</v>
      </c>
      <c r="D153" t="s">
        <v>619</v>
      </c>
      <c r="E153" t="s">
        <v>109</v>
      </c>
      <c r="F153" t="s">
        <v>110</v>
      </c>
      <c r="G153" t="s">
        <v>111</v>
      </c>
      <c r="H153" t="s">
        <v>55</v>
      </c>
      <c r="I153" t="s">
        <v>73</v>
      </c>
      <c r="J153" t="s">
        <v>387</v>
      </c>
      <c r="K153" t="s">
        <v>388</v>
      </c>
      <c r="L153" t="s">
        <v>620</v>
      </c>
      <c r="M153" t="s">
        <v>43</v>
      </c>
      <c r="N153" t="s">
        <v>95</v>
      </c>
      <c r="O153" t="s">
        <v>130</v>
      </c>
      <c r="P153">
        <v>3</v>
      </c>
      <c r="Q153">
        <v>6142.89</v>
      </c>
      <c r="R153" s="19">
        <v>0.15</v>
      </c>
      <c r="S153" s="21">
        <v>2764.3</v>
      </c>
      <c r="T153">
        <v>18428.669999999998</v>
      </c>
      <c r="U153" s="2">
        <v>15664.37</v>
      </c>
      <c r="V153">
        <v>188.43</v>
      </c>
      <c r="W153">
        <v>10931.59</v>
      </c>
      <c r="X153" s="2">
        <v>4544.3500000000004</v>
      </c>
      <c r="Y153">
        <v>0.29010000000000002</v>
      </c>
      <c r="Z153">
        <v>8</v>
      </c>
      <c r="AA153" t="s">
        <v>131</v>
      </c>
      <c r="AB153" t="s">
        <v>47</v>
      </c>
      <c r="AE153" s="2">
        <v>13936.97</v>
      </c>
      <c r="AF153">
        <v>1.1238999999999999</v>
      </c>
      <c r="AG153" t="s">
        <v>347</v>
      </c>
      <c r="AH153" s="23">
        <f>SUM(Amazon_Data_Set[[#This Row],[Gross Sales]]-Amazon_Data_Set[[#This Row],[Discount Amount]])</f>
        <v>15664.369999999999</v>
      </c>
    </row>
    <row r="154" spans="1:34">
      <c r="A154" t="s">
        <v>621</v>
      </c>
      <c r="B154" s="1">
        <v>46382</v>
      </c>
      <c r="C154" t="str">
        <f>TEXT(Amazon_Data_Set[[#This Row],[Order Date]],"mmm")</f>
        <v>Dec</v>
      </c>
      <c r="D154" t="s">
        <v>550</v>
      </c>
      <c r="E154" t="s">
        <v>228</v>
      </c>
      <c r="F154" t="s">
        <v>229</v>
      </c>
      <c r="G154" t="s">
        <v>37</v>
      </c>
      <c r="H154" t="s">
        <v>142</v>
      </c>
      <c r="I154" t="s">
        <v>214</v>
      </c>
      <c r="J154" t="s">
        <v>350</v>
      </c>
      <c r="K154" t="s">
        <v>351</v>
      </c>
      <c r="L154" t="s">
        <v>622</v>
      </c>
      <c r="M154" t="s">
        <v>43</v>
      </c>
      <c r="N154" t="s">
        <v>124</v>
      </c>
      <c r="O154" t="s">
        <v>45</v>
      </c>
      <c r="P154">
        <v>2</v>
      </c>
      <c r="Q154">
        <v>3443.92</v>
      </c>
      <c r="R154" s="19">
        <v>0.2</v>
      </c>
      <c r="S154" s="21">
        <v>1377.57</v>
      </c>
      <c r="T154">
        <v>6887.84</v>
      </c>
      <c r="U154" s="2">
        <v>5510.27</v>
      </c>
      <c r="V154">
        <v>2.7</v>
      </c>
      <c r="W154">
        <v>4005.99</v>
      </c>
      <c r="X154" s="2">
        <v>1501.58</v>
      </c>
      <c r="Y154">
        <v>0.27250000000000002</v>
      </c>
      <c r="Z154">
        <v>3</v>
      </c>
      <c r="AA154" t="s">
        <v>46</v>
      </c>
      <c r="AB154" t="s">
        <v>47</v>
      </c>
      <c r="AD154">
        <v>3</v>
      </c>
      <c r="AE154" s="2">
        <v>5136.17</v>
      </c>
      <c r="AF154">
        <v>1.0728</v>
      </c>
      <c r="AG154" t="s">
        <v>49</v>
      </c>
      <c r="AH154" s="23">
        <f>SUM(Amazon_Data_Set[[#This Row],[Gross Sales]]-Amazon_Data_Set[[#This Row],[Discount Amount]])</f>
        <v>5510.27</v>
      </c>
    </row>
    <row r="155" spans="1:34">
      <c r="A155" t="s">
        <v>623</v>
      </c>
      <c r="B155" s="1">
        <v>46263</v>
      </c>
      <c r="C155" t="str">
        <f>TEXT(Amazon_Data_Set[[#This Row],[Order Date]],"mmm")</f>
        <v>Aug</v>
      </c>
      <c r="D155" t="s">
        <v>624</v>
      </c>
      <c r="E155" t="s">
        <v>109</v>
      </c>
      <c r="F155" t="s">
        <v>154</v>
      </c>
      <c r="G155" t="s">
        <v>111</v>
      </c>
      <c r="H155" t="s">
        <v>83</v>
      </c>
      <c r="I155" t="s">
        <v>84</v>
      </c>
      <c r="J155" t="s">
        <v>277</v>
      </c>
      <c r="K155" t="s">
        <v>86</v>
      </c>
      <c r="L155" t="s">
        <v>625</v>
      </c>
      <c r="M155" t="s">
        <v>106</v>
      </c>
      <c r="N155" t="s">
        <v>44</v>
      </c>
      <c r="O155" t="s">
        <v>96</v>
      </c>
      <c r="P155">
        <v>2</v>
      </c>
      <c r="Q155">
        <v>2334.89</v>
      </c>
      <c r="R155" s="19">
        <v>0.25</v>
      </c>
      <c r="S155" s="21">
        <v>1167.44</v>
      </c>
      <c r="T155">
        <v>4669.78</v>
      </c>
      <c r="U155" s="2">
        <v>3502.34</v>
      </c>
      <c r="V155">
        <v>139.32</v>
      </c>
      <c r="W155">
        <v>2157.4899999999998</v>
      </c>
      <c r="X155" s="2">
        <v>1205.53</v>
      </c>
      <c r="Y155">
        <v>0.34420000000000001</v>
      </c>
      <c r="Z155">
        <v>0</v>
      </c>
      <c r="AA155" t="s">
        <v>97</v>
      </c>
      <c r="AB155" t="s">
        <v>47</v>
      </c>
      <c r="AE155" s="2">
        <v>3527.65</v>
      </c>
      <c r="AF155">
        <v>0.99280000000000002</v>
      </c>
      <c r="AG155" t="s">
        <v>49</v>
      </c>
      <c r="AH155" s="23">
        <f>SUM(Amazon_Data_Set[[#This Row],[Gross Sales]]-Amazon_Data_Set[[#This Row],[Discount Amount]])</f>
        <v>3502.3399999999997</v>
      </c>
    </row>
    <row r="156" spans="1:34">
      <c r="A156" t="s">
        <v>626</v>
      </c>
      <c r="B156" s="1">
        <v>46278</v>
      </c>
      <c r="C156" t="str">
        <f>TEXT(Amazon_Data_Set[[#This Row],[Order Date]],"mmm")</f>
        <v>Sep</v>
      </c>
      <c r="D156" t="s">
        <v>627</v>
      </c>
      <c r="E156" t="s">
        <v>174</v>
      </c>
      <c r="F156" t="s">
        <v>175</v>
      </c>
      <c r="G156" t="s">
        <v>82</v>
      </c>
      <c r="H156" t="s">
        <v>55</v>
      </c>
      <c r="I156" t="s">
        <v>56</v>
      </c>
      <c r="J156" t="s">
        <v>448</v>
      </c>
      <c r="K156" t="s">
        <v>170</v>
      </c>
      <c r="L156" t="s">
        <v>628</v>
      </c>
      <c r="M156" t="s">
        <v>106</v>
      </c>
      <c r="N156" t="s">
        <v>77</v>
      </c>
      <c r="O156" t="s">
        <v>45</v>
      </c>
      <c r="P156">
        <v>3</v>
      </c>
      <c r="Q156">
        <v>8819.76</v>
      </c>
      <c r="R156" s="19">
        <v>0.05</v>
      </c>
      <c r="S156" s="21">
        <v>1322.96</v>
      </c>
      <c r="T156">
        <v>26459.279999999999</v>
      </c>
      <c r="U156" s="2">
        <v>25136.32</v>
      </c>
      <c r="V156">
        <v>126.89</v>
      </c>
      <c r="W156">
        <v>19490.060000000001</v>
      </c>
      <c r="X156" s="2">
        <v>5519.37</v>
      </c>
      <c r="Y156">
        <v>0.21959999999999999</v>
      </c>
      <c r="Z156">
        <v>7</v>
      </c>
      <c r="AA156" t="s">
        <v>61</v>
      </c>
      <c r="AB156" t="s">
        <v>47</v>
      </c>
      <c r="AD156">
        <v>4</v>
      </c>
      <c r="AE156" s="2">
        <v>25776.82</v>
      </c>
      <c r="AF156">
        <v>0.97519999999999996</v>
      </c>
      <c r="AG156" t="s">
        <v>49</v>
      </c>
      <c r="AH156" s="23">
        <f>SUM(Amazon_Data_Set[[#This Row],[Gross Sales]]-Amazon_Data_Set[[#This Row],[Discount Amount]])</f>
        <v>25136.32</v>
      </c>
    </row>
    <row r="157" spans="1:34">
      <c r="A157" t="s">
        <v>629</v>
      </c>
      <c r="B157" s="1">
        <v>46135</v>
      </c>
      <c r="C157" t="str">
        <f>TEXT(Amazon_Data_Set[[#This Row],[Order Date]],"mmm")</f>
        <v>Apr</v>
      </c>
      <c r="D157" t="s">
        <v>336</v>
      </c>
      <c r="E157" t="s">
        <v>35</v>
      </c>
      <c r="F157" t="s">
        <v>36</v>
      </c>
      <c r="G157" t="s">
        <v>37</v>
      </c>
      <c r="H157" t="s">
        <v>90</v>
      </c>
      <c r="I157" t="s">
        <v>91</v>
      </c>
      <c r="J157" t="s">
        <v>92</v>
      </c>
      <c r="K157" t="s">
        <v>93</v>
      </c>
      <c r="L157" t="s">
        <v>630</v>
      </c>
      <c r="M157" t="s">
        <v>43</v>
      </c>
      <c r="N157" t="s">
        <v>95</v>
      </c>
      <c r="O157" t="s">
        <v>45</v>
      </c>
      <c r="P157">
        <v>2</v>
      </c>
      <c r="Q157">
        <v>1228.46</v>
      </c>
      <c r="R157" s="19">
        <v>0.15</v>
      </c>
      <c r="S157" s="21">
        <v>368.54</v>
      </c>
      <c r="T157">
        <v>2456.92</v>
      </c>
      <c r="U157" s="2">
        <v>2088.38</v>
      </c>
      <c r="V157">
        <v>71.27</v>
      </c>
      <c r="W157">
        <v>1161.96</v>
      </c>
      <c r="X157" s="2">
        <v>855.15</v>
      </c>
      <c r="Y157">
        <v>0.40949999999999998</v>
      </c>
      <c r="Z157">
        <v>4</v>
      </c>
      <c r="AA157" t="s">
        <v>46</v>
      </c>
      <c r="AB157" t="s">
        <v>47</v>
      </c>
      <c r="AD157">
        <v>5</v>
      </c>
      <c r="AE157" s="2">
        <v>2376.65</v>
      </c>
      <c r="AF157">
        <v>0.87870000000000004</v>
      </c>
      <c r="AG157" t="s">
        <v>49</v>
      </c>
      <c r="AH157" s="23">
        <f>SUM(Amazon_Data_Set[[#This Row],[Gross Sales]]-Amazon_Data_Set[[#This Row],[Discount Amount]])</f>
        <v>2088.38</v>
      </c>
    </row>
    <row r="158" spans="1:34">
      <c r="A158" t="s">
        <v>631</v>
      </c>
      <c r="B158" s="1">
        <v>46355</v>
      </c>
      <c r="C158" t="str">
        <f>TEXT(Amazon_Data_Set[[#This Row],[Order Date]],"mmm")</f>
        <v>Nov</v>
      </c>
      <c r="D158" t="s">
        <v>632</v>
      </c>
      <c r="E158" t="s">
        <v>109</v>
      </c>
      <c r="F158" t="s">
        <v>110</v>
      </c>
      <c r="G158" t="s">
        <v>111</v>
      </c>
      <c r="H158" t="s">
        <v>83</v>
      </c>
      <c r="I158" t="s">
        <v>102</v>
      </c>
      <c r="J158" t="s">
        <v>103</v>
      </c>
      <c r="K158" t="s">
        <v>104</v>
      </c>
      <c r="L158" t="s">
        <v>633</v>
      </c>
      <c r="M158" t="s">
        <v>106</v>
      </c>
      <c r="N158" t="s">
        <v>44</v>
      </c>
      <c r="O158" t="s">
        <v>45</v>
      </c>
      <c r="P158">
        <v>1</v>
      </c>
      <c r="Q158">
        <v>1236.96</v>
      </c>
      <c r="R158" s="19">
        <v>0.1</v>
      </c>
      <c r="S158" s="21">
        <v>123.7</v>
      </c>
      <c r="T158">
        <v>1236.96</v>
      </c>
      <c r="U158" s="2">
        <v>1113.26</v>
      </c>
      <c r="V158">
        <v>97.01</v>
      </c>
      <c r="W158">
        <v>839.1</v>
      </c>
      <c r="X158" s="2">
        <v>177.15</v>
      </c>
      <c r="Y158">
        <v>0.15909999999999999</v>
      </c>
      <c r="Z158">
        <v>1</v>
      </c>
      <c r="AA158" t="s">
        <v>46</v>
      </c>
      <c r="AB158" t="s">
        <v>47</v>
      </c>
      <c r="AD158">
        <v>5</v>
      </c>
      <c r="AE158" s="2">
        <v>1258.1300000000001</v>
      </c>
      <c r="AF158">
        <v>0.88490000000000002</v>
      </c>
      <c r="AG158" t="s">
        <v>49</v>
      </c>
      <c r="AH158" s="23">
        <f>SUM(Amazon_Data_Set[[#This Row],[Gross Sales]]-Amazon_Data_Set[[#This Row],[Discount Amount]])</f>
        <v>1113.26</v>
      </c>
    </row>
    <row r="159" spans="1:34">
      <c r="A159" t="s">
        <v>634</v>
      </c>
      <c r="B159" s="1">
        <v>46352</v>
      </c>
      <c r="C159" t="str">
        <f>TEXT(Amazon_Data_Set[[#This Row],[Order Date]],"mmm")</f>
        <v>Nov</v>
      </c>
      <c r="D159" t="s">
        <v>635</v>
      </c>
      <c r="E159" t="s">
        <v>80</v>
      </c>
      <c r="F159" t="s">
        <v>81</v>
      </c>
      <c r="G159" t="s">
        <v>82</v>
      </c>
      <c r="H159" t="s">
        <v>142</v>
      </c>
      <c r="I159" t="s">
        <v>214</v>
      </c>
      <c r="J159" t="s">
        <v>308</v>
      </c>
      <c r="K159" t="s">
        <v>309</v>
      </c>
      <c r="L159" t="s">
        <v>636</v>
      </c>
      <c r="M159" t="s">
        <v>43</v>
      </c>
      <c r="N159" t="s">
        <v>95</v>
      </c>
      <c r="O159" t="s">
        <v>45</v>
      </c>
      <c r="P159">
        <v>2</v>
      </c>
      <c r="Q159">
        <v>2890.7</v>
      </c>
      <c r="R159" s="19">
        <v>0</v>
      </c>
      <c r="S159" s="21">
        <v>0</v>
      </c>
      <c r="T159">
        <v>5781.4</v>
      </c>
      <c r="U159" s="2">
        <v>5781.4</v>
      </c>
      <c r="V159">
        <v>130.46</v>
      </c>
      <c r="W159">
        <v>4373.9799999999996</v>
      </c>
      <c r="X159" s="2">
        <v>1276.96</v>
      </c>
      <c r="Y159">
        <v>0.22090000000000001</v>
      </c>
      <c r="Z159">
        <v>2</v>
      </c>
      <c r="AA159" t="s">
        <v>46</v>
      </c>
      <c r="AB159" t="s">
        <v>47</v>
      </c>
      <c r="AD159">
        <v>4</v>
      </c>
      <c r="AE159" s="2">
        <v>6003.01</v>
      </c>
      <c r="AF159">
        <v>0.96309999999999996</v>
      </c>
      <c r="AG159" t="s">
        <v>49</v>
      </c>
      <c r="AH159" s="23">
        <f>SUM(Amazon_Data_Set[[#This Row],[Gross Sales]]-Amazon_Data_Set[[#This Row],[Discount Amount]])</f>
        <v>5781.4</v>
      </c>
    </row>
    <row r="160" spans="1:34">
      <c r="A160" t="s">
        <v>637</v>
      </c>
      <c r="B160" s="1">
        <v>46040</v>
      </c>
      <c r="C160" t="str">
        <f>TEXT(Amazon_Data_Set[[#This Row],[Order Date]],"mmm")</f>
        <v>Jan</v>
      </c>
      <c r="D160" t="s">
        <v>638</v>
      </c>
      <c r="E160" t="s">
        <v>109</v>
      </c>
      <c r="F160" t="s">
        <v>154</v>
      </c>
      <c r="G160" t="s">
        <v>111</v>
      </c>
      <c r="H160" t="s">
        <v>90</v>
      </c>
      <c r="I160" t="s">
        <v>91</v>
      </c>
      <c r="J160" t="s">
        <v>92</v>
      </c>
      <c r="K160" t="s">
        <v>93</v>
      </c>
      <c r="L160" t="s">
        <v>639</v>
      </c>
      <c r="M160" t="s">
        <v>106</v>
      </c>
      <c r="N160" t="s">
        <v>44</v>
      </c>
      <c r="O160" t="s">
        <v>45</v>
      </c>
      <c r="P160">
        <v>5</v>
      </c>
      <c r="Q160">
        <v>1683.99</v>
      </c>
      <c r="R160" s="19">
        <v>0.2</v>
      </c>
      <c r="S160" s="21">
        <v>1683.99</v>
      </c>
      <c r="T160">
        <v>8419.9500000000007</v>
      </c>
      <c r="U160" s="2">
        <v>6735.96</v>
      </c>
      <c r="V160">
        <v>21.76</v>
      </c>
      <c r="W160">
        <v>4281.1400000000003</v>
      </c>
      <c r="X160" s="2">
        <v>2433.06</v>
      </c>
      <c r="Y160">
        <v>0.36120000000000002</v>
      </c>
      <c r="Z160">
        <v>4</v>
      </c>
      <c r="AA160" t="s">
        <v>46</v>
      </c>
      <c r="AB160" t="s">
        <v>47</v>
      </c>
      <c r="AD160">
        <v>4</v>
      </c>
      <c r="AE160" s="2">
        <v>8319.34</v>
      </c>
      <c r="AF160">
        <v>0.80969999999999998</v>
      </c>
      <c r="AG160" t="s">
        <v>49</v>
      </c>
      <c r="AH160" s="23">
        <f>SUM(Amazon_Data_Set[[#This Row],[Gross Sales]]-Amazon_Data_Set[[#This Row],[Discount Amount]])</f>
        <v>6735.9600000000009</v>
      </c>
    </row>
    <row r="161" spans="1:34">
      <c r="A161" t="s">
        <v>640</v>
      </c>
      <c r="B161" s="1">
        <v>46214</v>
      </c>
      <c r="C161" t="str">
        <f>TEXT(Amazon_Data_Set[[#This Row],[Order Date]],"mmm")</f>
        <v>Jul</v>
      </c>
      <c r="D161" t="s">
        <v>178</v>
      </c>
      <c r="E161" t="s">
        <v>194</v>
      </c>
      <c r="F161" t="s">
        <v>195</v>
      </c>
      <c r="G161" t="s">
        <v>111</v>
      </c>
      <c r="H161" t="s">
        <v>90</v>
      </c>
      <c r="I161" t="s">
        <v>252</v>
      </c>
      <c r="J161" t="s">
        <v>270</v>
      </c>
      <c r="K161" t="s">
        <v>271</v>
      </c>
      <c r="L161" t="s">
        <v>641</v>
      </c>
      <c r="M161" t="s">
        <v>106</v>
      </c>
      <c r="N161" t="s">
        <v>77</v>
      </c>
      <c r="O161" t="s">
        <v>45</v>
      </c>
      <c r="P161">
        <v>3</v>
      </c>
      <c r="Q161">
        <v>1181.3800000000001</v>
      </c>
      <c r="R161" s="19">
        <v>0.25</v>
      </c>
      <c r="S161" s="21">
        <v>886.03</v>
      </c>
      <c r="T161">
        <v>3544.14</v>
      </c>
      <c r="U161" s="2">
        <v>2658.11</v>
      </c>
      <c r="V161">
        <v>55.63</v>
      </c>
      <c r="W161">
        <v>1719.64</v>
      </c>
      <c r="X161" s="2">
        <v>882.84</v>
      </c>
      <c r="Y161">
        <v>0.33210000000000001</v>
      </c>
      <c r="Z161">
        <v>8</v>
      </c>
      <c r="AA161" t="s">
        <v>61</v>
      </c>
      <c r="AB161" t="s">
        <v>47</v>
      </c>
      <c r="AD161">
        <v>5</v>
      </c>
      <c r="AE161" s="2">
        <v>2527.79</v>
      </c>
      <c r="AF161">
        <v>1.0516000000000001</v>
      </c>
      <c r="AG161" t="s">
        <v>49</v>
      </c>
      <c r="AH161" s="23">
        <f>SUM(Amazon_Data_Set[[#This Row],[Gross Sales]]-Amazon_Data_Set[[#This Row],[Discount Amount]])</f>
        <v>2658.1099999999997</v>
      </c>
    </row>
    <row r="162" spans="1:34">
      <c r="A162" t="s">
        <v>642</v>
      </c>
      <c r="B162" s="1">
        <v>46370</v>
      </c>
      <c r="C162" t="str">
        <f>TEXT(Amazon_Data_Set[[#This Row],[Order Date]],"mmm")</f>
        <v>Dec</v>
      </c>
      <c r="D162" t="s">
        <v>643</v>
      </c>
      <c r="E162" t="s">
        <v>118</v>
      </c>
      <c r="F162" t="s">
        <v>119</v>
      </c>
      <c r="G162" t="s">
        <v>82</v>
      </c>
      <c r="H162" t="s">
        <v>55</v>
      </c>
      <c r="I162" t="s">
        <v>73</v>
      </c>
      <c r="J162" t="s">
        <v>74</v>
      </c>
      <c r="K162" t="s">
        <v>75</v>
      </c>
      <c r="L162" t="s">
        <v>644</v>
      </c>
      <c r="M162" t="s">
        <v>43</v>
      </c>
      <c r="N162" t="s">
        <v>44</v>
      </c>
      <c r="O162" t="s">
        <v>45</v>
      </c>
      <c r="P162">
        <v>2</v>
      </c>
      <c r="Q162">
        <v>28018.240000000002</v>
      </c>
      <c r="R162" s="19">
        <v>0.15</v>
      </c>
      <c r="S162" s="21">
        <v>8405.4699999999993</v>
      </c>
      <c r="T162">
        <v>56036.480000000003</v>
      </c>
      <c r="U162" s="2">
        <v>47631.01</v>
      </c>
      <c r="V162">
        <v>36.299999999999997</v>
      </c>
      <c r="W162">
        <v>28399.48</v>
      </c>
      <c r="X162" s="2">
        <v>19195.23</v>
      </c>
      <c r="Y162">
        <v>0.40300000000000002</v>
      </c>
      <c r="Z162">
        <v>4</v>
      </c>
      <c r="AA162" t="s">
        <v>46</v>
      </c>
      <c r="AB162" t="s">
        <v>47</v>
      </c>
      <c r="AD162">
        <v>4</v>
      </c>
      <c r="AE162" s="2">
        <v>47542.9</v>
      </c>
      <c r="AF162">
        <v>1.0019</v>
      </c>
      <c r="AG162" t="s">
        <v>49</v>
      </c>
      <c r="AH162" s="23">
        <f>SUM(Amazon_Data_Set[[#This Row],[Gross Sales]]-Amazon_Data_Set[[#This Row],[Discount Amount]])</f>
        <v>47631.01</v>
      </c>
    </row>
    <row r="163" spans="1:34">
      <c r="A163" t="s">
        <v>645</v>
      </c>
      <c r="B163" s="1">
        <v>46240</v>
      </c>
      <c r="C163" t="str">
        <f>TEXT(Amazon_Data_Set[[#This Row],[Order Date]],"mmm")</f>
        <v>Aug</v>
      </c>
      <c r="D163" t="s">
        <v>595</v>
      </c>
      <c r="E163" t="s">
        <v>100</v>
      </c>
      <c r="F163" t="s">
        <v>179</v>
      </c>
      <c r="G163" t="s">
        <v>54</v>
      </c>
      <c r="H163" t="s">
        <v>90</v>
      </c>
      <c r="I163" t="s">
        <v>252</v>
      </c>
      <c r="J163" t="s">
        <v>270</v>
      </c>
      <c r="K163" t="s">
        <v>271</v>
      </c>
      <c r="L163" t="s">
        <v>646</v>
      </c>
      <c r="M163" t="s">
        <v>43</v>
      </c>
      <c r="N163" t="s">
        <v>95</v>
      </c>
      <c r="O163" t="s">
        <v>45</v>
      </c>
      <c r="P163">
        <v>3</v>
      </c>
      <c r="Q163">
        <v>672.63</v>
      </c>
      <c r="R163" s="19">
        <v>0.2</v>
      </c>
      <c r="S163" s="21">
        <v>403.58</v>
      </c>
      <c r="T163">
        <v>2017.89</v>
      </c>
      <c r="U163" s="2">
        <v>1614.31</v>
      </c>
      <c r="V163">
        <v>28.91</v>
      </c>
      <c r="W163">
        <v>1190.23</v>
      </c>
      <c r="X163" s="2">
        <v>395.17</v>
      </c>
      <c r="Y163">
        <v>0.24479999999999999</v>
      </c>
      <c r="Z163">
        <v>5</v>
      </c>
      <c r="AA163" t="s">
        <v>61</v>
      </c>
      <c r="AB163" t="s">
        <v>47</v>
      </c>
      <c r="AD163">
        <v>5</v>
      </c>
      <c r="AE163" s="2">
        <v>1702.91</v>
      </c>
      <c r="AF163">
        <v>0.94799999999999995</v>
      </c>
      <c r="AG163" t="s">
        <v>49</v>
      </c>
      <c r="AH163" s="23">
        <f>SUM(Amazon_Data_Set[[#This Row],[Gross Sales]]-Amazon_Data_Set[[#This Row],[Discount Amount]])</f>
        <v>1614.3100000000002</v>
      </c>
    </row>
    <row r="164" spans="1:34">
      <c r="A164" t="s">
        <v>647</v>
      </c>
      <c r="B164" s="1">
        <v>46119</v>
      </c>
      <c r="C164" t="str">
        <f>TEXT(Amazon_Data_Set[[#This Row],[Order Date]],"mmm")</f>
        <v>Apr</v>
      </c>
      <c r="D164" t="s">
        <v>648</v>
      </c>
      <c r="E164" t="s">
        <v>118</v>
      </c>
      <c r="F164" t="s">
        <v>119</v>
      </c>
      <c r="G164" t="s">
        <v>82</v>
      </c>
      <c r="H164" t="s">
        <v>38</v>
      </c>
      <c r="I164" t="s">
        <v>39</v>
      </c>
      <c r="J164" t="s">
        <v>155</v>
      </c>
      <c r="K164" t="s">
        <v>156</v>
      </c>
      <c r="L164" t="s">
        <v>649</v>
      </c>
      <c r="M164" t="s">
        <v>43</v>
      </c>
      <c r="N164" t="s">
        <v>124</v>
      </c>
      <c r="O164" t="s">
        <v>96</v>
      </c>
      <c r="P164">
        <v>2</v>
      </c>
      <c r="Q164">
        <v>489.8</v>
      </c>
      <c r="R164" s="19">
        <v>0.05</v>
      </c>
      <c r="S164" s="21">
        <v>48.98</v>
      </c>
      <c r="T164">
        <v>979.6</v>
      </c>
      <c r="U164" s="2">
        <v>930.62</v>
      </c>
      <c r="V164">
        <v>242.77</v>
      </c>
      <c r="W164">
        <v>456.27</v>
      </c>
      <c r="X164" s="2">
        <v>231.58</v>
      </c>
      <c r="Y164">
        <v>0.24879999999999999</v>
      </c>
      <c r="Z164">
        <v>0</v>
      </c>
      <c r="AA164" t="s">
        <v>97</v>
      </c>
      <c r="AB164" t="s">
        <v>47</v>
      </c>
      <c r="AE164" s="2">
        <v>848.37</v>
      </c>
      <c r="AF164">
        <v>1.097</v>
      </c>
      <c r="AG164" t="s">
        <v>49</v>
      </c>
      <c r="AH164" s="23">
        <f>SUM(Amazon_Data_Set[[#This Row],[Gross Sales]]-Amazon_Data_Set[[#This Row],[Discount Amount]])</f>
        <v>930.62</v>
      </c>
    </row>
    <row r="165" spans="1:34">
      <c r="A165" t="s">
        <v>650</v>
      </c>
      <c r="B165" s="1">
        <v>46108</v>
      </c>
      <c r="C165" t="str">
        <f>TEXT(Amazon_Data_Set[[#This Row],[Order Date]],"mmm")</f>
        <v>Mar</v>
      </c>
      <c r="D165" t="s">
        <v>651</v>
      </c>
      <c r="E165" t="s">
        <v>100</v>
      </c>
      <c r="F165" t="s">
        <v>101</v>
      </c>
      <c r="G165" t="s">
        <v>54</v>
      </c>
      <c r="H165" t="s">
        <v>38</v>
      </c>
      <c r="I165" t="s">
        <v>161</v>
      </c>
      <c r="J165" t="s">
        <v>297</v>
      </c>
      <c r="K165" t="s">
        <v>298</v>
      </c>
      <c r="L165" t="s">
        <v>652</v>
      </c>
      <c r="M165" t="s">
        <v>106</v>
      </c>
      <c r="N165" t="s">
        <v>44</v>
      </c>
      <c r="O165" t="s">
        <v>96</v>
      </c>
      <c r="P165">
        <v>5</v>
      </c>
      <c r="Q165">
        <v>1102</v>
      </c>
      <c r="R165" s="19">
        <v>0.3</v>
      </c>
      <c r="S165" s="21">
        <v>1653</v>
      </c>
      <c r="T165">
        <v>5510</v>
      </c>
      <c r="U165" s="2">
        <v>3857</v>
      </c>
      <c r="V165">
        <v>62</v>
      </c>
      <c r="W165">
        <v>2651.91</v>
      </c>
      <c r="X165" s="2">
        <v>1143.0899999999999</v>
      </c>
      <c r="Y165">
        <v>0.2964</v>
      </c>
      <c r="Z165">
        <v>0</v>
      </c>
      <c r="AA165" t="s">
        <v>97</v>
      </c>
      <c r="AB165" t="s">
        <v>47</v>
      </c>
      <c r="AE165" s="2">
        <v>4618.07</v>
      </c>
      <c r="AF165">
        <v>0.83520000000000005</v>
      </c>
      <c r="AG165" t="s">
        <v>347</v>
      </c>
      <c r="AH165" s="23">
        <f>SUM(Amazon_Data_Set[[#This Row],[Gross Sales]]-Amazon_Data_Set[[#This Row],[Discount Amount]])</f>
        <v>3857</v>
      </c>
    </row>
    <row r="166" spans="1:34">
      <c r="A166" t="s">
        <v>653</v>
      </c>
      <c r="B166" s="1">
        <v>46368</v>
      </c>
      <c r="C166" t="str">
        <f>TEXT(Amazon_Data_Set[[#This Row],[Order Date]],"mmm")</f>
        <v>Dec</v>
      </c>
      <c r="D166" t="s">
        <v>654</v>
      </c>
      <c r="E166" t="s">
        <v>80</v>
      </c>
      <c r="F166" t="s">
        <v>81</v>
      </c>
      <c r="G166" t="s">
        <v>82</v>
      </c>
      <c r="H166" t="s">
        <v>142</v>
      </c>
      <c r="I166" t="s">
        <v>143</v>
      </c>
      <c r="J166" t="s">
        <v>144</v>
      </c>
      <c r="K166" t="s">
        <v>145</v>
      </c>
      <c r="L166" t="s">
        <v>655</v>
      </c>
      <c r="M166" t="s">
        <v>106</v>
      </c>
      <c r="N166" t="s">
        <v>60</v>
      </c>
      <c r="O166" t="s">
        <v>45</v>
      </c>
      <c r="P166">
        <v>3</v>
      </c>
      <c r="Q166">
        <v>254.44</v>
      </c>
      <c r="R166" s="19">
        <v>0.25</v>
      </c>
      <c r="S166" s="21">
        <v>190.83</v>
      </c>
      <c r="T166">
        <v>763.32</v>
      </c>
      <c r="U166" s="2">
        <v>572.49</v>
      </c>
      <c r="V166">
        <v>17</v>
      </c>
      <c r="W166">
        <v>366.03</v>
      </c>
      <c r="X166" s="2">
        <v>189.46</v>
      </c>
      <c r="Y166">
        <v>0.33090000000000003</v>
      </c>
      <c r="Z166">
        <v>6</v>
      </c>
      <c r="AA166" t="s">
        <v>61</v>
      </c>
      <c r="AB166" t="s">
        <v>47</v>
      </c>
      <c r="AD166">
        <v>3</v>
      </c>
      <c r="AE166" s="2">
        <v>647.91</v>
      </c>
      <c r="AF166">
        <v>0.88360000000000005</v>
      </c>
      <c r="AG166" t="s">
        <v>49</v>
      </c>
      <c r="AH166" s="23">
        <f>SUM(Amazon_Data_Set[[#This Row],[Gross Sales]]-Amazon_Data_Set[[#This Row],[Discount Amount]])</f>
        <v>572.49</v>
      </c>
    </row>
    <row r="167" spans="1:34">
      <c r="A167" t="s">
        <v>656</v>
      </c>
      <c r="B167" s="1">
        <v>46209</v>
      </c>
      <c r="C167" t="str">
        <f>TEXT(Amazon_Data_Set[[#This Row],[Order Date]],"mmm")</f>
        <v>Jul</v>
      </c>
      <c r="D167" t="s">
        <v>654</v>
      </c>
      <c r="E167" t="s">
        <v>100</v>
      </c>
      <c r="F167" t="s">
        <v>179</v>
      </c>
      <c r="G167" t="s">
        <v>54</v>
      </c>
      <c r="H167" t="s">
        <v>142</v>
      </c>
      <c r="I167" t="s">
        <v>209</v>
      </c>
      <c r="J167" t="s">
        <v>511</v>
      </c>
      <c r="K167" t="s">
        <v>512</v>
      </c>
      <c r="L167" t="s">
        <v>657</v>
      </c>
      <c r="M167" t="s">
        <v>43</v>
      </c>
      <c r="N167" t="s">
        <v>95</v>
      </c>
      <c r="O167" t="s">
        <v>45</v>
      </c>
      <c r="P167">
        <v>1</v>
      </c>
      <c r="Q167">
        <v>1198.46</v>
      </c>
      <c r="R167" s="19">
        <v>0</v>
      </c>
      <c r="S167" s="21">
        <v>0</v>
      </c>
      <c r="T167">
        <v>1198.46</v>
      </c>
      <c r="U167" s="2">
        <v>1198.46</v>
      </c>
      <c r="V167">
        <v>54.41</v>
      </c>
      <c r="W167">
        <v>883.33</v>
      </c>
      <c r="X167" s="2">
        <v>260.72000000000003</v>
      </c>
      <c r="Y167">
        <v>0.2175</v>
      </c>
      <c r="Z167">
        <v>5</v>
      </c>
      <c r="AA167" t="s">
        <v>61</v>
      </c>
      <c r="AB167" t="s">
        <v>47</v>
      </c>
      <c r="AD167">
        <v>4</v>
      </c>
      <c r="AE167" s="2">
        <v>1252</v>
      </c>
      <c r="AF167">
        <v>0.95720000000000005</v>
      </c>
      <c r="AG167" t="s">
        <v>49</v>
      </c>
      <c r="AH167" s="23">
        <f>SUM(Amazon_Data_Set[[#This Row],[Gross Sales]]-Amazon_Data_Set[[#This Row],[Discount Amount]])</f>
        <v>1198.46</v>
      </c>
    </row>
    <row r="168" spans="1:34">
      <c r="A168" t="s">
        <v>658</v>
      </c>
      <c r="B168" s="1">
        <v>46211</v>
      </c>
      <c r="C168" t="str">
        <f>TEXT(Amazon_Data_Set[[#This Row],[Order Date]],"mmm")</f>
        <v>Jul</v>
      </c>
      <c r="D168" t="s">
        <v>581</v>
      </c>
      <c r="E168" t="s">
        <v>149</v>
      </c>
      <c r="F168" t="s">
        <v>150</v>
      </c>
      <c r="G168" t="s">
        <v>37</v>
      </c>
      <c r="H168" t="s">
        <v>90</v>
      </c>
      <c r="I168" t="s">
        <v>91</v>
      </c>
      <c r="J168" t="s">
        <v>92</v>
      </c>
      <c r="K168" t="s">
        <v>93</v>
      </c>
      <c r="L168" t="s">
        <v>659</v>
      </c>
      <c r="M168" t="s">
        <v>106</v>
      </c>
      <c r="N168" t="s">
        <v>44</v>
      </c>
      <c r="O168" t="s">
        <v>96</v>
      </c>
      <c r="P168">
        <v>1</v>
      </c>
      <c r="Q168">
        <v>135.53</v>
      </c>
      <c r="R168" s="19">
        <v>0.2</v>
      </c>
      <c r="S168" s="21">
        <v>27.11</v>
      </c>
      <c r="T168">
        <v>135.53</v>
      </c>
      <c r="U168" s="2">
        <v>108.42</v>
      </c>
      <c r="V168">
        <v>163.9</v>
      </c>
      <c r="W168">
        <v>56.89</v>
      </c>
      <c r="X168" s="2">
        <v>-112.37</v>
      </c>
      <c r="Y168">
        <v>-1.0364</v>
      </c>
      <c r="Z168">
        <v>0</v>
      </c>
      <c r="AA168" t="s">
        <v>97</v>
      </c>
      <c r="AB168" t="s">
        <v>47</v>
      </c>
      <c r="AE168" s="2">
        <v>95.9</v>
      </c>
      <c r="AF168">
        <v>1.1306</v>
      </c>
      <c r="AG168" t="s">
        <v>49</v>
      </c>
      <c r="AH168" s="23">
        <f>SUM(Amazon_Data_Set[[#This Row],[Gross Sales]]-Amazon_Data_Set[[#This Row],[Discount Amount]])</f>
        <v>108.42</v>
      </c>
    </row>
    <row r="169" spans="1:34">
      <c r="A169" t="s">
        <v>660</v>
      </c>
      <c r="B169" s="1">
        <v>46071</v>
      </c>
      <c r="C169" t="str">
        <f>TEXT(Amazon_Data_Set[[#This Row],[Order Date]],"mmm")</f>
        <v>Feb</v>
      </c>
      <c r="D169" t="s">
        <v>148</v>
      </c>
      <c r="E169" t="s">
        <v>228</v>
      </c>
      <c r="F169" t="s">
        <v>229</v>
      </c>
      <c r="G169" t="s">
        <v>37</v>
      </c>
      <c r="H169" t="s">
        <v>83</v>
      </c>
      <c r="I169" t="s">
        <v>84</v>
      </c>
      <c r="J169" t="s">
        <v>332</v>
      </c>
      <c r="K169" t="s">
        <v>333</v>
      </c>
      <c r="L169" t="s">
        <v>661</v>
      </c>
      <c r="M169" t="s">
        <v>43</v>
      </c>
      <c r="N169" t="s">
        <v>44</v>
      </c>
      <c r="O169" t="s">
        <v>45</v>
      </c>
      <c r="P169">
        <v>4</v>
      </c>
      <c r="Q169">
        <v>836.06</v>
      </c>
      <c r="R169" s="19">
        <v>0.05</v>
      </c>
      <c r="S169" s="21">
        <v>167.21</v>
      </c>
      <c r="T169">
        <v>3344.24</v>
      </c>
      <c r="U169" s="2">
        <v>3177.03</v>
      </c>
      <c r="V169">
        <v>92.03</v>
      </c>
      <c r="W169">
        <v>1800.47</v>
      </c>
      <c r="X169" s="2">
        <v>1284.53</v>
      </c>
      <c r="Y169">
        <v>0.40429999999999999</v>
      </c>
      <c r="Z169">
        <v>4</v>
      </c>
      <c r="AA169" t="s">
        <v>46</v>
      </c>
      <c r="AB169" t="s">
        <v>47</v>
      </c>
      <c r="AD169">
        <v>4</v>
      </c>
      <c r="AE169" s="2">
        <v>2725.37</v>
      </c>
      <c r="AF169">
        <v>1.1657</v>
      </c>
      <c r="AG169" t="s">
        <v>347</v>
      </c>
      <c r="AH169" s="23">
        <f>SUM(Amazon_Data_Set[[#This Row],[Gross Sales]]-Amazon_Data_Set[[#This Row],[Discount Amount]])</f>
        <v>3177.0299999999997</v>
      </c>
    </row>
    <row r="170" spans="1:34">
      <c r="A170" t="s">
        <v>662</v>
      </c>
      <c r="B170" s="1">
        <v>46123</v>
      </c>
      <c r="C170" t="str">
        <f>TEXT(Amazon_Data_Set[[#This Row],[Order Date]],"mmm")</f>
        <v>Apr</v>
      </c>
      <c r="D170" t="s">
        <v>663</v>
      </c>
      <c r="E170" t="s">
        <v>174</v>
      </c>
      <c r="F170" t="s">
        <v>175</v>
      </c>
      <c r="G170" t="s">
        <v>82</v>
      </c>
      <c r="H170" t="s">
        <v>55</v>
      </c>
      <c r="I170" t="s">
        <v>120</v>
      </c>
      <c r="J170" t="s">
        <v>344</v>
      </c>
      <c r="K170" t="s">
        <v>345</v>
      </c>
      <c r="L170" t="s">
        <v>664</v>
      </c>
      <c r="M170" t="s">
        <v>43</v>
      </c>
      <c r="N170" t="s">
        <v>44</v>
      </c>
      <c r="O170" t="s">
        <v>45</v>
      </c>
      <c r="P170">
        <v>3</v>
      </c>
      <c r="Q170">
        <v>51276.06</v>
      </c>
      <c r="R170" s="19">
        <v>0</v>
      </c>
      <c r="S170" s="21">
        <v>0</v>
      </c>
      <c r="T170">
        <v>153828.18</v>
      </c>
      <c r="U170" s="2">
        <v>153828.18</v>
      </c>
      <c r="V170">
        <v>124.77</v>
      </c>
      <c r="W170">
        <v>77274.98</v>
      </c>
      <c r="X170" s="2">
        <v>76428.429999999993</v>
      </c>
      <c r="Y170">
        <v>0.49680000000000002</v>
      </c>
      <c r="Z170">
        <v>8</v>
      </c>
      <c r="AA170" t="s">
        <v>61</v>
      </c>
      <c r="AB170" t="s">
        <v>47</v>
      </c>
      <c r="AD170">
        <v>5</v>
      </c>
      <c r="AE170" s="2">
        <v>179632.58</v>
      </c>
      <c r="AF170">
        <v>0.85629999999999995</v>
      </c>
      <c r="AG170" t="s">
        <v>347</v>
      </c>
      <c r="AH170" s="23">
        <f>SUM(Amazon_Data_Set[[#This Row],[Gross Sales]]-Amazon_Data_Set[[#This Row],[Discount Amount]])</f>
        <v>153828.18</v>
      </c>
    </row>
    <row r="171" spans="1:34">
      <c r="A171" t="s">
        <v>665</v>
      </c>
      <c r="B171" s="1">
        <v>46361</v>
      </c>
      <c r="C171" t="str">
        <f>TEXT(Amazon_Data_Set[[#This Row],[Order Date]],"mmm")</f>
        <v>Dec</v>
      </c>
      <c r="D171" t="s">
        <v>666</v>
      </c>
      <c r="E171" t="s">
        <v>174</v>
      </c>
      <c r="F171" t="s">
        <v>175</v>
      </c>
      <c r="G171" t="s">
        <v>82</v>
      </c>
      <c r="H171" t="s">
        <v>55</v>
      </c>
      <c r="I171" t="s">
        <v>120</v>
      </c>
      <c r="J171" t="s">
        <v>127</v>
      </c>
      <c r="K171" t="s">
        <v>128</v>
      </c>
      <c r="L171" t="s">
        <v>667</v>
      </c>
      <c r="M171" t="s">
        <v>43</v>
      </c>
      <c r="N171" t="s">
        <v>70</v>
      </c>
      <c r="O171" t="s">
        <v>45</v>
      </c>
      <c r="P171">
        <v>4</v>
      </c>
      <c r="Q171">
        <v>873.9</v>
      </c>
      <c r="R171" s="19">
        <v>0.1</v>
      </c>
      <c r="S171" s="21">
        <v>349.56</v>
      </c>
      <c r="T171">
        <v>3495.6</v>
      </c>
      <c r="U171" s="2">
        <v>3146.04</v>
      </c>
      <c r="V171">
        <v>146.13</v>
      </c>
      <c r="W171">
        <v>2445.87</v>
      </c>
      <c r="X171" s="2">
        <v>554.04</v>
      </c>
      <c r="Y171">
        <v>0.17610000000000001</v>
      </c>
      <c r="Z171">
        <v>5</v>
      </c>
      <c r="AA171" t="s">
        <v>61</v>
      </c>
      <c r="AB171" t="s">
        <v>47</v>
      </c>
      <c r="AD171">
        <v>5</v>
      </c>
      <c r="AE171" s="2">
        <v>3837.31</v>
      </c>
      <c r="AF171">
        <v>0.81989999999999996</v>
      </c>
      <c r="AG171" t="s">
        <v>49</v>
      </c>
      <c r="AH171" s="23">
        <f>SUM(Amazon_Data_Set[[#This Row],[Gross Sales]]-Amazon_Data_Set[[#This Row],[Discount Amount]])</f>
        <v>3146.04</v>
      </c>
    </row>
    <row r="172" spans="1:34">
      <c r="A172" t="s">
        <v>668</v>
      </c>
      <c r="B172" s="1">
        <v>46103</v>
      </c>
      <c r="C172" t="str">
        <f>TEXT(Amazon_Data_Set[[#This Row],[Order Date]],"mmm")</f>
        <v>Mar</v>
      </c>
      <c r="D172" t="s">
        <v>669</v>
      </c>
      <c r="E172" t="s">
        <v>174</v>
      </c>
      <c r="F172" t="s">
        <v>175</v>
      </c>
      <c r="G172" t="s">
        <v>82</v>
      </c>
      <c r="H172" t="s">
        <v>142</v>
      </c>
      <c r="I172" t="s">
        <v>209</v>
      </c>
      <c r="J172" t="s">
        <v>210</v>
      </c>
      <c r="K172" t="s">
        <v>201</v>
      </c>
      <c r="L172" t="s">
        <v>670</v>
      </c>
      <c r="M172" t="s">
        <v>106</v>
      </c>
      <c r="N172" t="s">
        <v>44</v>
      </c>
      <c r="O172" t="s">
        <v>45</v>
      </c>
      <c r="P172">
        <v>2</v>
      </c>
      <c r="Q172">
        <v>1297.71</v>
      </c>
      <c r="R172" s="19">
        <v>0</v>
      </c>
      <c r="S172" s="21">
        <v>0</v>
      </c>
      <c r="T172">
        <v>2595.42</v>
      </c>
      <c r="U172" s="2">
        <v>2595.42</v>
      </c>
      <c r="V172">
        <v>92.66</v>
      </c>
      <c r="W172">
        <v>1627.71</v>
      </c>
      <c r="X172" s="2">
        <v>875.05</v>
      </c>
      <c r="Y172">
        <v>0.3372</v>
      </c>
      <c r="Z172">
        <v>1</v>
      </c>
      <c r="AA172" t="s">
        <v>46</v>
      </c>
      <c r="AB172" t="s">
        <v>47</v>
      </c>
      <c r="AD172">
        <v>5</v>
      </c>
      <c r="AE172" s="2">
        <v>2599.9699999999998</v>
      </c>
      <c r="AF172">
        <v>0.99819999999999998</v>
      </c>
      <c r="AG172" t="s">
        <v>49</v>
      </c>
      <c r="AH172" s="23">
        <f>SUM(Amazon_Data_Set[[#This Row],[Gross Sales]]-Amazon_Data_Set[[#This Row],[Discount Amount]])</f>
        <v>2595.42</v>
      </c>
    </row>
    <row r="173" spans="1:34">
      <c r="A173" t="s">
        <v>671</v>
      </c>
      <c r="B173" s="1">
        <v>46343</v>
      </c>
      <c r="C173" t="str">
        <f>TEXT(Amazon_Data_Set[[#This Row],[Order Date]],"mmm")</f>
        <v>Nov</v>
      </c>
      <c r="D173" t="s">
        <v>304</v>
      </c>
      <c r="E173" t="s">
        <v>174</v>
      </c>
      <c r="F173" t="s">
        <v>175</v>
      </c>
      <c r="G173" t="s">
        <v>82</v>
      </c>
      <c r="H173" t="s">
        <v>83</v>
      </c>
      <c r="I173" t="s">
        <v>102</v>
      </c>
      <c r="J173" t="s">
        <v>259</v>
      </c>
      <c r="K173" t="s">
        <v>260</v>
      </c>
      <c r="L173" t="s">
        <v>672</v>
      </c>
      <c r="M173" t="s">
        <v>106</v>
      </c>
      <c r="N173" t="s">
        <v>77</v>
      </c>
      <c r="O173" t="s">
        <v>45</v>
      </c>
      <c r="P173">
        <v>4</v>
      </c>
      <c r="Q173">
        <v>891.57</v>
      </c>
      <c r="R173" s="19">
        <v>0.1</v>
      </c>
      <c r="S173" s="21">
        <v>356.63</v>
      </c>
      <c r="T173">
        <v>3566.28</v>
      </c>
      <c r="U173" s="2">
        <v>3209.65</v>
      </c>
      <c r="V173">
        <v>36.700000000000003</v>
      </c>
      <c r="W173">
        <v>2350.79</v>
      </c>
      <c r="X173" s="2">
        <v>822.16</v>
      </c>
      <c r="Y173">
        <v>0.25619999999999998</v>
      </c>
      <c r="Z173">
        <v>6</v>
      </c>
      <c r="AA173" t="s">
        <v>61</v>
      </c>
      <c r="AB173" t="s">
        <v>47</v>
      </c>
      <c r="AD173">
        <v>5</v>
      </c>
      <c r="AE173" s="2">
        <v>3712.33</v>
      </c>
      <c r="AF173">
        <v>0.86460000000000004</v>
      </c>
      <c r="AG173" t="s">
        <v>49</v>
      </c>
      <c r="AH173" s="23">
        <f>SUM(Amazon_Data_Set[[#This Row],[Gross Sales]]-Amazon_Data_Set[[#This Row],[Discount Amount]])</f>
        <v>3209.65</v>
      </c>
    </row>
    <row r="174" spans="1:34">
      <c r="A174" t="s">
        <v>673</v>
      </c>
      <c r="B174" s="1">
        <v>46384</v>
      </c>
      <c r="C174" t="str">
        <f>TEXT(Amazon_Data_Set[[#This Row],[Order Date]],"mmm")</f>
        <v>Dec</v>
      </c>
      <c r="D174" t="s">
        <v>674</v>
      </c>
      <c r="E174" t="s">
        <v>228</v>
      </c>
      <c r="F174" t="s">
        <v>229</v>
      </c>
      <c r="G174" t="s">
        <v>37</v>
      </c>
      <c r="H174" t="s">
        <v>38</v>
      </c>
      <c r="I174" t="s">
        <v>161</v>
      </c>
      <c r="J174" t="s">
        <v>162</v>
      </c>
      <c r="K174" t="s">
        <v>163</v>
      </c>
      <c r="L174" t="s">
        <v>675</v>
      </c>
      <c r="M174" t="s">
        <v>43</v>
      </c>
      <c r="N174" t="s">
        <v>77</v>
      </c>
      <c r="O174" t="s">
        <v>45</v>
      </c>
      <c r="P174">
        <v>1</v>
      </c>
      <c r="Q174">
        <v>464.14</v>
      </c>
      <c r="R174" s="19">
        <v>0.2</v>
      </c>
      <c r="S174" s="21">
        <v>92.83</v>
      </c>
      <c r="T174">
        <v>464.14</v>
      </c>
      <c r="U174" s="2">
        <v>371.31</v>
      </c>
      <c r="V174">
        <v>82.96</v>
      </c>
      <c r="W174">
        <v>272.52999999999997</v>
      </c>
      <c r="X174" s="2">
        <v>15.82</v>
      </c>
      <c r="Y174">
        <v>4.2599999999999999E-2</v>
      </c>
      <c r="Z174">
        <v>3</v>
      </c>
      <c r="AA174" t="s">
        <v>46</v>
      </c>
      <c r="AB174" t="s">
        <v>47</v>
      </c>
      <c r="AD174">
        <v>4</v>
      </c>
      <c r="AE174" s="2">
        <v>462.19</v>
      </c>
      <c r="AF174">
        <v>0.8034</v>
      </c>
      <c r="AG174" t="s">
        <v>49</v>
      </c>
      <c r="AH174" s="23">
        <f>SUM(Amazon_Data_Set[[#This Row],[Gross Sales]]-Amazon_Data_Set[[#This Row],[Discount Amount]])</f>
        <v>371.31</v>
      </c>
    </row>
    <row r="175" spans="1:34">
      <c r="A175" t="s">
        <v>676</v>
      </c>
      <c r="B175" s="1">
        <v>46257</v>
      </c>
      <c r="C175" t="str">
        <f>TEXT(Amazon_Data_Set[[#This Row],[Order Date]],"mmm")</f>
        <v>Aug</v>
      </c>
      <c r="D175" t="s">
        <v>566</v>
      </c>
      <c r="E175" t="s">
        <v>109</v>
      </c>
      <c r="F175" t="s">
        <v>154</v>
      </c>
      <c r="G175" t="s">
        <v>111</v>
      </c>
      <c r="H175" t="s">
        <v>142</v>
      </c>
      <c r="I175" t="s">
        <v>214</v>
      </c>
      <c r="J175" t="s">
        <v>308</v>
      </c>
      <c r="K175" t="s">
        <v>309</v>
      </c>
      <c r="L175" t="s">
        <v>677</v>
      </c>
      <c r="M175" t="s">
        <v>106</v>
      </c>
      <c r="N175" t="s">
        <v>70</v>
      </c>
      <c r="O175" t="s">
        <v>45</v>
      </c>
      <c r="P175">
        <v>4</v>
      </c>
      <c r="Q175">
        <v>563.73</v>
      </c>
      <c r="R175" s="19">
        <v>0.3</v>
      </c>
      <c r="S175" s="21">
        <v>676.48</v>
      </c>
      <c r="T175">
        <v>2254.92</v>
      </c>
      <c r="U175" s="2">
        <v>1578.44</v>
      </c>
      <c r="V175">
        <v>129.26</v>
      </c>
      <c r="W175">
        <v>1166.97</v>
      </c>
      <c r="X175" s="2">
        <v>282.20999999999998</v>
      </c>
      <c r="Y175">
        <v>0.17879999999999999</v>
      </c>
      <c r="Z175">
        <v>2</v>
      </c>
      <c r="AA175" t="s">
        <v>46</v>
      </c>
      <c r="AB175" t="s">
        <v>47</v>
      </c>
      <c r="AD175">
        <v>5</v>
      </c>
      <c r="AE175" s="2">
        <v>1837.43</v>
      </c>
      <c r="AF175">
        <v>0.85899999999999999</v>
      </c>
      <c r="AG175" t="s">
        <v>49</v>
      </c>
      <c r="AH175" s="23">
        <f>SUM(Amazon_Data_Set[[#This Row],[Gross Sales]]-Amazon_Data_Set[[#This Row],[Discount Amount]])</f>
        <v>1578.44</v>
      </c>
    </row>
    <row r="176" spans="1:34">
      <c r="A176" t="s">
        <v>678</v>
      </c>
      <c r="B176" s="1">
        <v>46297</v>
      </c>
      <c r="C176" t="str">
        <f>TEXT(Amazon_Data_Set[[#This Row],[Order Date]],"mmm")</f>
        <v>Oct</v>
      </c>
      <c r="D176" t="s">
        <v>534</v>
      </c>
      <c r="E176" t="s">
        <v>174</v>
      </c>
      <c r="F176" t="s">
        <v>175</v>
      </c>
      <c r="G176" t="s">
        <v>82</v>
      </c>
      <c r="H176" t="s">
        <v>142</v>
      </c>
      <c r="I176" t="s">
        <v>143</v>
      </c>
      <c r="J176" t="s">
        <v>183</v>
      </c>
      <c r="K176" t="s">
        <v>184</v>
      </c>
      <c r="L176" t="s">
        <v>679</v>
      </c>
      <c r="M176" t="s">
        <v>43</v>
      </c>
      <c r="N176" t="s">
        <v>60</v>
      </c>
      <c r="O176" t="s">
        <v>45</v>
      </c>
      <c r="P176">
        <v>3</v>
      </c>
      <c r="Q176">
        <v>8588.33</v>
      </c>
      <c r="R176" s="19">
        <v>0</v>
      </c>
      <c r="S176" s="21">
        <v>0</v>
      </c>
      <c r="T176">
        <v>25764.99</v>
      </c>
      <c r="U176" s="2">
        <v>25764.99</v>
      </c>
      <c r="V176">
        <v>12.64</v>
      </c>
      <c r="W176">
        <v>16455.2</v>
      </c>
      <c r="X176" s="2">
        <v>9297.15</v>
      </c>
      <c r="Y176">
        <v>0.36080000000000001</v>
      </c>
      <c r="Z176">
        <v>8</v>
      </c>
      <c r="AA176" t="s">
        <v>61</v>
      </c>
      <c r="AB176" t="s">
        <v>47</v>
      </c>
      <c r="AD176">
        <v>5</v>
      </c>
      <c r="AE176" s="2">
        <v>27650.15</v>
      </c>
      <c r="AF176">
        <v>0.93179999999999996</v>
      </c>
      <c r="AG176" t="s">
        <v>49</v>
      </c>
      <c r="AH176" s="23">
        <f>SUM(Amazon_Data_Set[[#This Row],[Gross Sales]]-Amazon_Data_Set[[#This Row],[Discount Amount]])</f>
        <v>25764.99</v>
      </c>
    </row>
    <row r="177" spans="1:34">
      <c r="A177" t="s">
        <v>680</v>
      </c>
      <c r="B177" s="1">
        <v>46069</v>
      </c>
      <c r="C177" t="str">
        <f>TEXT(Amazon_Data_Set[[#This Row],[Order Date]],"mmm")</f>
        <v>Feb</v>
      </c>
      <c r="D177" t="s">
        <v>681</v>
      </c>
      <c r="E177" t="s">
        <v>275</v>
      </c>
      <c r="F177" t="s">
        <v>276</v>
      </c>
      <c r="G177" t="s">
        <v>37</v>
      </c>
      <c r="H177" t="s">
        <v>55</v>
      </c>
      <c r="I177" t="s">
        <v>73</v>
      </c>
      <c r="J177" t="s">
        <v>230</v>
      </c>
      <c r="K177" t="s">
        <v>231</v>
      </c>
      <c r="L177" t="s">
        <v>682</v>
      </c>
      <c r="M177" t="s">
        <v>106</v>
      </c>
      <c r="N177" t="s">
        <v>77</v>
      </c>
      <c r="O177" t="s">
        <v>45</v>
      </c>
      <c r="P177">
        <v>1</v>
      </c>
      <c r="Q177">
        <v>11515.44</v>
      </c>
      <c r="R177" s="19">
        <v>0.3</v>
      </c>
      <c r="S177" s="21">
        <v>3454.63</v>
      </c>
      <c r="T177">
        <v>11515.44</v>
      </c>
      <c r="U177" s="2">
        <v>8060.81</v>
      </c>
      <c r="V177">
        <v>27.22</v>
      </c>
      <c r="W177">
        <v>5160</v>
      </c>
      <c r="X177" s="2">
        <v>2873.59</v>
      </c>
      <c r="Y177">
        <v>0.35649999999999998</v>
      </c>
      <c r="Z177">
        <v>7</v>
      </c>
      <c r="AA177" t="s">
        <v>61</v>
      </c>
      <c r="AB177" t="s">
        <v>47</v>
      </c>
      <c r="AD177">
        <v>3</v>
      </c>
      <c r="AE177" s="2">
        <v>8236.59</v>
      </c>
      <c r="AF177">
        <v>0.97870000000000001</v>
      </c>
      <c r="AG177" t="s">
        <v>49</v>
      </c>
      <c r="AH177" s="23">
        <f>SUM(Amazon_Data_Set[[#This Row],[Gross Sales]]-Amazon_Data_Set[[#This Row],[Discount Amount]])</f>
        <v>8060.81</v>
      </c>
    </row>
    <row r="178" spans="1:34">
      <c r="A178" t="s">
        <v>683</v>
      </c>
      <c r="B178" s="1">
        <v>46046</v>
      </c>
      <c r="C178" t="str">
        <f>TEXT(Amazon_Data_Set[[#This Row],[Order Date]],"mmm")</f>
        <v>Jan</v>
      </c>
      <c r="D178" t="s">
        <v>455</v>
      </c>
      <c r="E178" t="s">
        <v>109</v>
      </c>
      <c r="F178" t="s">
        <v>110</v>
      </c>
      <c r="G178" t="s">
        <v>111</v>
      </c>
      <c r="H178" t="s">
        <v>38</v>
      </c>
      <c r="I178" t="s">
        <v>66</v>
      </c>
      <c r="J178" t="s">
        <v>67</v>
      </c>
      <c r="K178" t="s">
        <v>68</v>
      </c>
      <c r="L178" t="s">
        <v>684</v>
      </c>
      <c r="M178" t="s">
        <v>106</v>
      </c>
      <c r="N178" t="s">
        <v>95</v>
      </c>
      <c r="O178" t="s">
        <v>45</v>
      </c>
      <c r="P178">
        <v>3</v>
      </c>
      <c r="Q178">
        <v>3302.75</v>
      </c>
      <c r="R178" s="19">
        <v>0</v>
      </c>
      <c r="S178" s="21">
        <v>0</v>
      </c>
      <c r="T178">
        <v>9908.25</v>
      </c>
      <c r="U178" s="2">
        <v>9908.25</v>
      </c>
      <c r="V178">
        <v>129.41999999999999</v>
      </c>
      <c r="W178">
        <v>7683.63</v>
      </c>
      <c r="X178" s="2">
        <v>2095.1999999999998</v>
      </c>
      <c r="Y178">
        <v>0.21149999999999999</v>
      </c>
      <c r="Z178">
        <v>5</v>
      </c>
      <c r="AA178" t="s">
        <v>61</v>
      </c>
      <c r="AB178" t="s">
        <v>48</v>
      </c>
      <c r="AC178" t="s">
        <v>137</v>
      </c>
      <c r="AD178">
        <v>3</v>
      </c>
      <c r="AE178" s="2">
        <v>10610.29</v>
      </c>
      <c r="AF178">
        <v>0.93379999999999996</v>
      </c>
      <c r="AG178" t="s">
        <v>49</v>
      </c>
      <c r="AH178" s="23">
        <f>SUM(Amazon_Data_Set[[#This Row],[Gross Sales]]-Amazon_Data_Set[[#This Row],[Discount Amount]])</f>
        <v>9908.25</v>
      </c>
    </row>
    <row r="179" spans="1:34">
      <c r="A179" t="s">
        <v>685</v>
      </c>
      <c r="B179" s="1">
        <v>46130</v>
      </c>
      <c r="C179" t="str">
        <f>TEXT(Amazon_Data_Set[[#This Row],[Order Date]],"mmm")</f>
        <v>Apr</v>
      </c>
      <c r="D179" t="s">
        <v>592</v>
      </c>
      <c r="E179" t="s">
        <v>109</v>
      </c>
      <c r="F179" t="s">
        <v>110</v>
      </c>
      <c r="G179" t="s">
        <v>111</v>
      </c>
      <c r="H179" t="s">
        <v>38</v>
      </c>
      <c r="I179" t="s">
        <v>66</v>
      </c>
      <c r="J179" t="s">
        <v>337</v>
      </c>
      <c r="K179" t="s">
        <v>224</v>
      </c>
      <c r="L179" t="s">
        <v>686</v>
      </c>
      <c r="M179" t="s">
        <v>106</v>
      </c>
      <c r="N179" t="s">
        <v>44</v>
      </c>
      <c r="O179" t="s">
        <v>45</v>
      </c>
      <c r="P179">
        <v>4</v>
      </c>
      <c r="Q179">
        <v>4455.6499999999996</v>
      </c>
      <c r="R179" s="19">
        <v>0</v>
      </c>
      <c r="S179" s="21">
        <v>0</v>
      </c>
      <c r="T179">
        <v>17822.599999999999</v>
      </c>
      <c r="U179" s="2">
        <v>17822.599999999999</v>
      </c>
      <c r="V179">
        <v>48.5</v>
      </c>
      <c r="W179">
        <v>8620.42</v>
      </c>
      <c r="X179" s="2">
        <v>9153.68</v>
      </c>
      <c r="Y179">
        <v>0.51359999999999995</v>
      </c>
      <c r="Z179">
        <v>8</v>
      </c>
      <c r="AA179" t="s">
        <v>61</v>
      </c>
      <c r="AB179" t="s">
        <v>47</v>
      </c>
      <c r="AD179">
        <v>4</v>
      </c>
      <c r="AE179" s="2">
        <v>18772.900000000001</v>
      </c>
      <c r="AF179">
        <v>0.94940000000000002</v>
      </c>
      <c r="AG179" t="s">
        <v>49</v>
      </c>
      <c r="AH179" s="23">
        <f>SUM(Amazon_Data_Set[[#This Row],[Gross Sales]]-Amazon_Data_Set[[#This Row],[Discount Amount]])</f>
        <v>17822.599999999999</v>
      </c>
    </row>
    <row r="180" spans="1:34">
      <c r="A180" t="s">
        <v>687</v>
      </c>
      <c r="B180" s="1">
        <v>46151</v>
      </c>
      <c r="C180" t="str">
        <f>TEXT(Amazon_Data_Set[[#This Row],[Order Date]],"mmm")</f>
        <v>May</v>
      </c>
      <c r="D180" t="s">
        <v>199</v>
      </c>
      <c r="E180" t="s">
        <v>64</v>
      </c>
      <c r="F180" t="s">
        <v>65</v>
      </c>
      <c r="G180" t="s">
        <v>54</v>
      </c>
      <c r="H180" t="s">
        <v>55</v>
      </c>
      <c r="I180" t="s">
        <v>73</v>
      </c>
      <c r="J180" t="s">
        <v>230</v>
      </c>
      <c r="K180" t="s">
        <v>231</v>
      </c>
      <c r="L180" t="s">
        <v>688</v>
      </c>
      <c r="M180" t="s">
        <v>106</v>
      </c>
      <c r="N180" t="s">
        <v>70</v>
      </c>
      <c r="O180" t="s">
        <v>45</v>
      </c>
      <c r="P180">
        <v>3</v>
      </c>
      <c r="Q180">
        <v>26166.98</v>
      </c>
      <c r="R180" s="19">
        <v>0.3</v>
      </c>
      <c r="S180" s="21">
        <v>23550.28</v>
      </c>
      <c r="T180">
        <v>78500.94</v>
      </c>
      <c r="U180" s="2">
        <v>54950.66</v>
      </c>
      <c r="V180">
        <v>229.85</v>
      </c>
      <c r="W180">
        <v>38820.39</v>
      </c>
      <c r="X180" s="2">
        <v>15900.42</v>
      </c>
      <c r="Y180">
        <v>0.28939999999999999</v>
      </c>
      <c r="Z180">
        <v>6</v>
      </c>
      <c r="AA180" t="s">
        <v>61</v>
      </c>
      <c r="AB180" t="s">
        <v>47</v>
      </c>
      <c r="AD180">
        <v>5</v>
      </c>
      <c r="AE180" s="2">
        <v>66707.47</v>
      </c>
      <c r="AF180">
        <v>0.82379999999999998</v>
      </c>
      <c r="AG180" t="s">
        <v>49</v>
      </c>
      <c r="AH180" s="23">
        <f>SUM(Amazon_Data_Set[[#This Row],[Gross Sales]]-Amazon_Data_Set[[#This Row],[Discount Amount]])</f>
        <v>54950.66</v>
      </c>
    </row>
    <row r="181" spans="1:34">
      <c r="A181" t="s">
        <v>689</v>
      </c>
      <c r="B181" s="1">
        <v>46126</v>
      </c>
      <c r="C181" t="str">
        <f>TEXT(Amazon_Data_Set[[#This Row],[Order Date]],"mmm")</f>
        <v>Apr</v>
      </c>
      <c r="D181" t="s">
        <v>654</v>
      </c>
      <c r="E181" t="s">
        <v>118</v>
      </c>
      <c r="F181" t="s">
        <v>119</v>
      </c>
      <c r="G181" t="s">
        <v>82</v>
      </c>
      <c r="H181" t="s">
        <v>83</v>
      </c>
      <c r="I181" t="s">
        <v>188</v>
      </c>
      <c r="J181" t="s">
        <v>690</v>
      </c>
      <c r="K181" t="s">
        <v>691</v>
      </c>
      <c r="L181" t="s">
        <v>692</v>
      </c>
      <c r="M181" t="s">
        <v>43</v>
      </c>
      <c r="N181" t="s">
        <v>77</v>
      </c>
      <c r="O181" t="s">
        <v>45</v>
      </c>
      <c r="P181">
        <v>2</v>
      </c>
      <c r="Q181">
        <v>764.96</v>
      </c>
      <c r="R181" s="19">
        <v>0.25</v>
      </c>
      <c r="S181" s="21">
        <v>382.48</v>
      </c>
      <c r="T181">
        <v>1529.92</v>
      </c>
      <c r="U181" s="2">
        <v>1147.44</v>
      </c>
      <c r="V181">
        <v>120.38</v>
      </c>
      <c r="W181">
        <v>741.63</v>
      </c>
      <c r="X181" s="2">
        <v>285.43</v>
      </c>
      <c r="Y181">
        <v>0.24879999999999999</v>
      </c>
      <c r="Z181">
        <v>5</v>
      </c>
      <c r="AA181" t="s">
        <v>61</v>
      </c>
      <c r="AB181" t="s">
        <v>47</v>
      </c>
      <c r="AD181">
        <v>5</v>
      </c>
      <c r="AE181" s="2">
        <v>1177.8699999999999</v>
      </c>
      <c r="AF181">
        <v>0.97419999999999995</v>
      </c>
      <c r="AG181" t="s">
        <v>49</v>
      </c>
      <c r="AH181" s="23">
        <f>SUM(Amazon_Data_Set[[#This Row],[Gross Sales]]-Amazon_Data_Set[[#This Row],[Discount Amount]])</f>
        <v>1147.44</v>
      </c>
    </row>
    <row r="182" spans="1:34">
      <c r="A182" t="s">
        <v>693</v>
      </c>
      <c r="B182" s="1">
        <v>46256</v>
      </c>
      <c r="C182" t="str">
        <f>TEXT(Amazon_Data_Set[[#This Row],[Order Date]],"mmm")</f>
        <v>Aug</v>
      </c>
      <c r="D182" t="s">
        <v>227</v>
      </c>
      <c r="E182" t="s">
        <v>118</v>
      </c>
      <c r="F182" t="s">
        <v>119</v>
      </c>
      <c r="G182" t="s">
        <v>82</v>
      </c>
      <c r="H182" t="s">
        <v>38</v>
      </c>
      <c r="I182" t="s">
        <v>161</v>
      </c>
      <c r="J182" t="s">
        <v>223</v>
      </c>
      <c r="K182" t="s">
        <v>224</v>
      </c>
      <c r="L182" t="s">
        <v>694</v>
      </c>
      <c r="M182" t="s">
        <v>43</v>
      </c>
      <c r="N182" t="s">
        <v>124</v>
      </c>
      <c r="O182" t="s">
        <v>45</v>
      </c>
      <c r="P182">
        <v>5</v>
      </c>
      <c r="Q182">
        <v>2435.69</v>
      </c>
      <c r="R182" s="19">
        <v>0.2</v>
      </c>
      <c r="S182" s="21">
        <v>2435.69</v>
      </c>
      <c r="T182">
        <v>12178.45</v>
      </c>
      <c r="U182" s="2">
        <v>9742.76</v>
      </c>
      <c r="V182">
        <v>53.9</v>
      </c>
      <c r="W182">
        <v>5434.08</v>
      </c>
      <c r="X182" s="2">
        <v>4254.78</v>
      </c>
      <c r="Y182">
        <v>0.43669999999999998</v>
      </c>
      <c r="Z182">
        <v>8</v>
      </c>
      <c r="AA182" t="s">
        <v>61</v>
      </c>
      <c r="AB182" t="s">
        <v>47</v>
      </c>
      <c r="AD182">
        <v>3</v>
      </c>
      <c r="AE182" s="2">
        <v>10757.23</v>
      </c>
      <c r="AF182">
        <v>0.90569999999999995</v>
      </c>
      <c r="AG182" t="s">
        <v>49</v>
      </c>
      <c r="AH182" s="23">
        <f>SUM(Amazon_Data_Set[[#This Row],[Gross Sales]]-Amazon_Data_Set[[#This Row],[Discount Amount]])</f>
        <v>9742.76</v>
      </c>
    </row>
    <row r="183" spans="1:34">
      <c r="A183" t="s">
        <v>695</v>
      </c>
      <c r="B183" s="1">
        <v>46049</v>
      </c>
      <c r="C183" t="str">
        <f>TEXT(Amazon_Data_Set[[#This Row],[Order Date]],"mmm")</f>
        <v>Jan</v>
      </c>
      <c r="D183" t="s">
        <v>696</v>
      </c>
      <c r="E183" t="s">
        <v>275</v>
      </c>
      <c r="F183" t="s">
        <v>276</v>
      </c>
      <c r="G183" t="s">
        <v>37</v>
      </c>
      <c r="H183" t="s">
        <v>142</v>
      </c>
      <c r="I183" t="s">
        <v>214</v>
      </c>
      <c r="J183" t="s">
        <v>350</v>
      </c>
      <c r="K183" t="s">
        <v>351</v>
      </c>
      <c r="L183" t="s">
        <v>697</v>
      </c>
      <c r="M183" t="s">
        <v>106</v>
      </c>
      <c r="N183" t="s">
        <v>77</v>
      </c>
      <c r="O183" t="s">
        <v>96</v>
      </c>
      <c r="P183">
        <v>5</v>
      </c>
      <c r="Q183">
        <v>1121.03</v>
      </c>
      <c r="R183" s="19">
        <v>0.05</v>
      </c>
      <c r="S183" s="21">
        <v>280.26</v>
      </c>
      <c r="T183">
        <v>5605.15</v>
      </c>
      <c r="U183" s="2">
        <v>5324.89</v>
      </c>
      <c r="V183">
        <v>3.91</v>
      </c>
      <c r="W183">
        <v>2577.0100000000002</v>
      </c>
      <c r="X183" s="2">
        <v>2743.97</v>
      </c>
      <c r="Y183">
        <v>0.51529999999999998</v>
      </c>
      <c r="Z183">
        <v>0</v>
      </c>
      <c r="AA183" t="s">
        <v>97</v>
      </c>
      <c r="AB183" t="s">
        <v>47</v>
      </c>
      <c r="AE183" s="2">
        <v>6278.88</v>
      </c>
      <c r="AF183">
        <v>0.84809999999999997</v>
      </c>
      <c r="AG183" t="s">
        <v>49</v>
      </c>
      <c r="AH183" s="23">
        <f>SUM(Amazon_Data_Set[[#This Row],[Gross Sales]]-Amazon_Data_Set[[#This Row],[Discount Amount]])</f>
        <v>5324.8899999999994</v>
      </c>
    </row>
    <row r="184" spans="1:34">
      <c r="A184" t="s">
        <v>698</v>
      </c>
      <c r="B184" s="1">
        <v>46088</v>
      </c>
      <c r="C184" t="str">
        <f>TEXT(Amazon_Data_Set[[#This Row],[Order Date]],"mmm")</f>
        <v>Mar</v>
      </c>
      <c r="D184" t="s">
        <v>386</v>
      </c>
      <c r="E184" t="s">
        <v>64</v>
      </c>
      <c r="F184" t="s">
        <v>65</v>
      </c>
      <c r="G184" t="s">
        <v>54</v>
      </c>
      <c r="H184" t="s">
        <v>90</v>
      </c>
      <c r="I184" t="s">
        <v>112</v>
      </c>
      <c r="J184" t="s">
        <v>134</v>
      </c>
      <c r="K184" t="s">
        <v>135</v>
      </c>
      <c r="L184" t="s">
        <v>699</v>
      </c>
      <c r="M184" t="s">
        <v>106</v>
      </c>
      <c r="N184" t="s">
        <v>70</v>
      </c>
      <c r="O184" t="s">
        <v>45</v>
      </c>
      <c r="P184">
        <v>2</v>
      </c>
      <c r="Q184">
        <v>120.55</v>
      </c>
      <c r="R184" s="19">
        <v>0.2</v>
      </c>
      <c r="S184" s="21">
        <v>48.22</v>
      </c>
      <c r="T184">
        <v>241.1</v>
      </c>
      <c r="U184" s="2">
        <v>192.88</v>
      </c>
      <c r="V184">
        <v>37.03</v>
      </c>
      <c r="W184">
        <v>115.67</v>
      </c>
      <c r="X184" s="2">
        <v>40.18</v>
      </c>
      <c r="Y184">
        <v>0.20830000000000001</v>
      </c>
      <c r="Z184">
        <v>6</v>
      </c>
      <c r="AA184" t="s">
        <v>61</v>
      </c>
      <c r="AB184" t="s">
        <v>47</v>
      </c>
      <c r="AD184">
        <v>5</v>
      </c>
      <c r="AE184" s="2">
        <v>172.19</v>
      </c>
      <c r="AF184">
        <v>1.1202000000000001</v>
      </c>
      <c r="AG184" t="s">
        <v>49</v>
      </c>
      <c r="AH184" s="23">
        <f>SUM(Amazon_Data_Set[[#This Row],[Gross Sales]]-Amazon_Data_Set[[#This Row],[Discount Amount]])</f>
        <v>192.88</v>
      </c>
    </row>
    <row r="185" spans="1:34">
      <c r="A185" t="s">
        <v>700</v>
      </c>
      <c r="B185" s="1">
        <v>46041</v>
      </c>
      <c r="C185" t="str">
        <f>TEXT(Amazon_Data_Set[[#This Row],[Order Date]],"mmm")</f>
        <v>Jan</v>
      </c>
      <c r="D185" t="s">
        <v>595</v>
      </c>
      <c r="E185" t="s">
        <v>235</v>
      </c>
      <c r="F185" t="s">
        <v>236</v>
      </c>
      <c r="G185" t="s">
        <v>82</v>
      </c>
      <c r="H185" t="s">
        <v>83</v>
      </c>
      <c r="I185" t="s">
        <v>188</v>
      </c>
      <c r="J185" t="s">
        <v>690</v>
      </c>
      <c r="K185" t="s">
        <v>691</v>
      </c>
      <c r="L185" t="s">
        <v>701</v>
      </c>
      <c r="M185" t="s">
        <v>43</v>
      </c>
      <c r="N185" t="s">
        <v>70</v>
      </c>
      <c r="O185" t="s">
        <v>130</v>
      </c>
      <c r="P185">
        <v>4</v>
      </c>
      <c r="Q185">
        <v>1318.94</v>
      </c>
      <c r="R185" s="19">
        <v>0.05</v>
      </c>
      <c r="S185" s="21">
        <v>263.79000000000002</v>
      </c>
      <c r="T185">
        <v>5275.76</v>
      </c>
      <c r="U185" s="2">
        <v>5011.97</v>
      </c>
      <c r="V185">
        <v>198.37</v>
      </c>
      <c r="W185">
        <v>3449.13</v>
      </c>
      <c r="X185" s="2">
        <v>1364.47</v>
      </c>
      <c r="Y185">
        <v>0.2722</v>
      </c>
      <c r="Z185">
        <v>1</v>
      </c>
      <c r="AA185" t="s">
        <v>131</v>
      </c>
      <c r="AB185" t="s">
        <v>47</v>
      </c>
      <c r="AE185" s="2">
        <v>5108.9799999999996</v>
      </c>
      <c r="AF185">
        <v>0.98099999999999998</v>
      </c>
      <c r="AG185" t="s">
        <v>49</v>
      </c>
      <c r="AH185" s="23">
        <f>SUM(Amazon_Data_Set[[#This Row],[Gross Sales]]-Amazon_Data_Set[[#This Row],[Discount Amount]])</f>
        <v>5011.97</v>
      </c>
    </row>
    <row r="186" spans="1:34">
      <c r="A186" t="s">
        <v>702</v>
      </c>
      <c r="B186" s="1">
        <v>46072</v>
      </c>
      <c r="C186" t="str">
        <f>TEXT(Amazon_Data_Set[[#This Row],[Order Date]],"mmm")</f>
        <v>Feb</v>
      </c>
      <c r="D186" t="s">
        <v>703</v>
      </c>
      <c r="E186" t="s">
        <v>52</v>
      </c>
      <c r="F186" t="s">
        <v>53</v>
      </c>
      <c r="G186" t="s">
        <v>54</v>
      </c>
      <c r="H186" t="s">
        <v>142</v>
      </c>
      <c r="I186" t="s">
        <v>143</v>
      </c>
      <c r="J186" t="s">
        <v>144</v>
      </c>
      <c r="K186" t="s">
        <v>145</v>
      </c>
      <c r="L186" t="s">
        <v>704</v>
      </c>
      <c r="M186" t="s">
        <v>43</v>
      </c>
      <c r="N186" t="s">
        <v>70</v>
      </c>
      <c r="O186" t="s">
        <v>45</v>
      </c>
      <c r="P186">
        <v>2</v>
      </c>
      <c r="Q186">
        <v>9190.16</v>
      </c>
      <c r="R186" s="19">
        <v>0.25</v>
      </c>
      <c r="S186" s="21">
        <v>4595.08</v>
      </c>
      <c r="T186">
        <v>18380.32</v>
      </c>
      <c r="U186" s="2">
        <v>13785.24</v>
      </c>
      <c r="V186">
        <v>38.89</v>
      </c>
      <c r="W186">
        <v>9616.84</v>
      </c>
      <c r="X186" s="2">
        <v>4129.51</v>
      </c>
      <c r="Y186">
        <v>0.29959999999999998</v>
      </c>
      <c r="Z186">
        <v>7</v>
      </c>
      <c r="AA186" t="s">
        <v>61</v>
      </c>
      <c r="AB186" t="s">
        <v>47</v>
      </c>
      <c r="AD186">
        <v>4</v>
      </c>
      <c r="AE186" s="2">
        <v>14701.17</v>
      </c>
      <c r="AF186">
        <v>0.93769999999999998</v>
      </c>
      <c r="AG186" t="s">
        <v>49</v>
      </c>
      <c r="AH186" s="23">
        <f>SUM(Amazon_Data_Set[[#This Row],[Gross Sales]]-Amazon_Data_Set[[#This Row],[Discount Amount]])</f>
        <v>13785.24</v>
      </c>
    </row>
    <row r="187" spans="1:34">
      <c r="A187" t="s">
        <v>705</v>
      </c>
      <c r="B187" s="1">
        <v>46264</v>
      </c>
      <c r="C187" t="str">
        <f>TEXT(Amazon_Data_Set[[#This Row],[Order Date]],"mmm")</f>
        <v>Aug</v>
      </c>
      <c r="D187" t="s">
        <v>706</v>
      </c>
      <c r="E187" t="s">
        <v>194</v>
      </c>
      <c r="F187" t="s">
        <v>195</v>
      </c>
      <c r="G187" t="s">
        <v>111</v>
      </c>
      <c r="H187" t="s">
        <v>38</v>
      </c>
      <c r="I187" t="s">
        <v>66</v>
      </c>
      <c r="J187" t="s">
        <v>318</v>
      </c>
      <c r="K187" t="s">
        <v>282</v>
      </c>
      <c r="L187" t="s">
        <v>707</v>
      </c>
      <c r="M187" t="s">
        <v>43</v>
      </c>
      <c r="N187" t="s">
        <v>44</v>
      </c>
      <c r="O187" t="s">
        <v>45</v>
      </c>
      <c r="P187">
        <v>2</v>
      </c>
      <c r="Q187">
        <v>363.25</v>
      </c>
      <c r="R187" s="19">
        <v>0.1</v>
      </c>
      <c r="S187" s="21">
        <v>72.650000000000006</v>
      </c>
      <c r="T187">
        <v>726.5</v>
      </c>
      <c r="U187" s="2">
        <v>653.85</v>
      </c>
      <c r="V187">
        <v>62.96</v>
      </c>
      <c r="W187">
        <v>481.96</v>
      </c>
      <c r="X187" s="2">
        <v>108.93</v>
      </c>
      <c r="Y187">
        <v>0.1666</v>
      </c>
      <c r="Z187">
        <v>2</v>
      </c>
      <c r="AA187" t="s">
        <v>46</v>
      </c>
      <c r="AB187" t="s">
        <v>47</v>
      </c>
      <c r="AD187">
        <v>3</v>
      </c>
      <c r="AE187" s="2">
        <v>600.37</v>
      </c>
      <c r="AF187">
        <v>1.0891</v>
      </c>
      <c r="AG187" t="s">
        <v>49</v>
      </c>
      <c r="AH187" s="23">
        <f>SUM(Amazon_Data_Set[[#This Row],[Gross Sales]]-Amazon_Data_Set[[#This Row],[Discount Amount]])</f>
        <v>653.85</v>
      </c>
    </row>
    <row r="188" spans="1:34">
      <c r="A188" t="s">
        <v>708</v>
      </c>
      <c r="B188" s="1">
        <v>46097</v>
      </c>
      <c r="C188" t="str">
        <f>TEXT(Amazon_Data_Set[[#This Row],[Order Date]],"mmm")</f>
        <v>Mar</v>
      </c>
      <c r="D188" t="s">
        <v>383</v>
      </c>
      <c r="E188" t="s">
        <v>64</v>
      </c>
      <c r="F188" t="s">
        <v>65</v>
      </c>
      <c r="G188" t="s">
        <v>54</v>
      </c>
      <c r="H188" t="s">
        <v>55</v>
      </c>
      <c r="I188" t="s">
        <v>56</v>
      </c>
      <c r="J188" t="s">
        <v>366</v>
      </c>
      <c r="K188" t="s">
        <v>367</v>
      </c>
      <c r="L188" t="s">
        <v>709</v>
      </c>
      <c r="M188" t="s">
        <v>106</v>
      </c>
      <c r="N188" t="s">
        <v>77</v>
      </c>
      <c r="O188" t="s">
        <v>45</v>
      </c>
      <c r="P188">
        <v>2</v>
      </c>
      <c r="Q188">
        <v>38999.040000000001</v>
      </c>
      <c r="R188" s="19">
        <v>0.05</v>
      </c>
      <c r="S188" s="21">
        <v>3899.9</v>
      </c>
      <c r="T188">
        <v>77998.080000000002</v>
      </c>
      <c r="U188" s="2">
        <v>74098.179999999993</v>
      </c>
      <c r="V188">
        <v>58.13</v>
      </c>
      <c r="W188">
        <v>49448.91</v>
      </c>
      <c r="X188" s="2">
        <v>24591.14</v>
      </c>
      <c r="Y188">
        <v>0.33189999999999997</v>
      </c>
      <c r="Z188">
        <v>8</v>
      </c>
      <c r="AA188" t="s">
        <v>61</v>
      </c>
      <c r="AB188" t="s">
        <v>48</v>
      </c>
      <c r="AC188" t="s">
        <v>197</v>
      </c>
      <c r="AD188">
        <v>4</v>
      </c>
      <c r="AE188" s="2">
        <v>86333.54</v>
      </c>
      <c r="AF188">
        <v>0.85829999999999995</v>
      </c>
      <c r="AG188" t="s">
        <v>49</v>
      </c>
      <c r="AH188" s="23">
        <f>SUM(Amazon_Data_Set[[#This Row],[Gross Sales]]-Amazon_Data_Set[[#This Row],[Discount Amount]])</f>
        <v>74098.180000000008</v>
      </c>
    </row>
    <row r="189" spans="1:34">
      <c r="A189" t="s">
        <v>710</v>
      </c>
      <c r="B189" s="1">
        <v>46164</v>
      </c>
      <c r="C189" t="str">
        <f>TEXT(Amazon_Data_Set[[#This Row],[Order Date]],"mmm")</f>
        <v>May</v>
      </c>
      <c r="D189" t="s">
        <v>711</v>
      </c>
      <c r="E189" t="s">
        <v>100</v>
      </c>
      <c r="F189" t="s">
        <v>101</v>
      </c>
      <c r="G189" t="s">
        <v>54</v>
      </c>
      <c r="H189" t="s">
        <v>90</v>
      </c>
      <c r="I189" t="s">
        <v>112</v>
      </c>
      <c r="J189" t="s">
        <v>292</v>
      </c>
      <c r="K189" t="s">
        <v>293</v>
      </c>
      <c r="L189" t="s">
        <v>712</v>
      </c>
      <c r="M189" t="s">
        <v>106</v>
      </c>
      <c r="N189" t="s">
        <v>70</v>
      </c>
      <c r="O189" t="s">
        <v>130</v>
      </c>
      <c r="P189">
        <v>2</v>
      </c>
      <c r="Q189">
        <v>989.15</v>
      </c>
      <c r="R189" s="19">
        <v>0.1</v>
      </c>
      <c r="S189" s="21">
        <v>197.83</v>
      </c>
      <c r="T189">
        <v>1978.3</v>
      </c>
      <c r="U189" s="2">
        <v>1780.47</v>
      </c>
      <c r="V189">
        <v>183.59</v>
      </c>
      <c r="W189">
        <v>1242.6199999999999</v>
      </c>
      <c r="X189" s="2">
        <v>354.26</v>
      </c>
      <c r="Y189">
        <v>0.19900000000000001</v>
      </c>
      <c r="Z189">
        <v>8</v>
      </c>
      <c r="AA189" t="s">
        <v>131</v>
      </c>
      <c r="AB189" t="s">
        <v>47</v>
      </c>
      <c r="AE189" s="2">
        <v>2188.19</v>
      </c>
      <c r="AF189">
        <v>0.81369999999999998</v>
      </c>
      <c r="AG189" t="s">
        <v>49</v>
      </c>
      <c r="AH189" s="23">
        <f>SUM(Amazon_Data_Set[[#This Row],[Gross Sales]]-Amazon_Data_Set[[#This Row],[Discount Amount]])</f>
        <v>1780.47</v>
      </c>
    </row>
    <row r="190" spans="1:34">
      <c r="A190" t="s">
        <v>713</v>
      </c>
      <c r="B190" s="1">
        <v>46260</v>
      </c>
      <c r="C190" t="str">
        <f>TEXT(Amazon_Data_Set[[#This Row],[Order Date]],"mmm")</f>
        <v>Aug</v>
      </c>
      <c r="D190" t="s">
        <v>714</v>
      </c>
      <c r="E190" t="s">
        <v>167</v>
      </c>
      <c r="F190" t="s">
        <v>168</v>
      </c>
      <c r="G190" t="s">
        <v>111</v>
      </c>
      <c r="H190" t="s">
        <v>90</v>
      </c>
      <c r="I190" t="s">
        <v>252</v>
      </c>
      <c r="J190" t="s">
        <v>270</v>
      </c>
      <c r="K190" t="s">
        <v>271</v>
      </c>
      <c r="L190" t="s">
        <v>715</v>
      </c>
      <c r="M190" t="s">
        <v>43</v>
      </c>
      <c r="N190" t="s">
        <v>44</v>
      </c>
      <c r="O190" t="s">
        <v>130</v>
      </c>
      <c r="P190">
        <v>3</v>
      </c>
      <c r="Q190">
        <v>779.67</v>
      </c>
      <c r="R190" s="19">
        <v>0.2</v>
      </c>
      <c r="S190" s="21">
        <v>467.8</v>
      </c>
      <c r="T190">
        <v>2339.0100000000002</v>
      </c>
      <c r="U190" s="2">
        <v>1871.21</v>
      </c>
      <c r="V190">
        <v>108</v>
      </c>
      <c r="W190">
        <v>1151.0899999999999</v>
      </c>
      <c r="X190" s="2">
        <v>612.12</v>
      </c>
      <c r="Y190">
        <v>0.3271</v>
      </c>
      <c r="Z190">
        <v>6</v>
      </c>
      <c r="AA190" t="s">
        <v>131</v>
      </c>
      <c r="AB190" t="s">
        <v>47</v>
      </c>
      <c r="AE190" s="2">
        <v>1707.16</v>
      </c>
      <c r="AF190">
        <v>1.0961000000000001</v>
      </c>
      <c r="AG190" t="s">
        <v>49</v>
      </c>
      <c r="AH190" s="23">
        <f>SUM(Amazon_Data_Set[[#This Row],[Gross Sales]]-Amazon_Data_Set[[#This Row],[Discount Amount]])</f>
        <v>1871.2100000000003</v>
      </c>
    </row>
    <row r="191" spans="1:34">
      <c r="A191" t="s">
        <v>716</v>
      </c>
      <c r="B191" s="1">
        <v>46359</v>
      </c>
      <c r="C191" t="str">
        <f>TEXT(Amazon_Data_Set[[#This Row],[Order Date]],"mmm")</f>
        <v>Dec</v>
      </c>
      <c r="D191" t="s">
        <v>288</v>
      </c>
      <c r="E191" t="s">
        <v>167</v>
      </c>
      <c r="F191" t="s">
        <v>168</v>
      </c>
      <c r="G191" t="s">
        <v>111</v>
      </c>
      <c r="H191" t="s">
        <v>55</v>
      </c>
      <c r="I191" t="s">
        <v>73</v>
      </c>
      <c r="J191" t="s">
        <v>230</v>
      </c>
      <c r="K191" t="s">
        <v>231</v>
      </c>
      <c r="L191" t="s">
        <v>717</v>
      </c>
      <c r="M191" t="s">
        <v>106</v>
      </c>
      <c r="N191" t="s">
        <v>70</v>
      </c>
      <c r="O191" t="s">
        <v>45</v>
      </c>
      <c r="P191">
        <v>2</v>
      </c>
      <c r="Q191">
        <v>38476.74</v>
      </c>
      <c r="R191" s="19">
        <v>0.1</v>
      </c>
      <c r="S191" s="21">
        <v>7695.35</v>
      </c>
      <c r="T191">
        <v>76953.48</v>
      </c>
      <c r="U191" s="2">
        <v>69258.13</v>
      </c>
      <c r="V191">
        <v>45.81</v>
      </c>
      <c r="W191">
        <v>52237.07</v>
      </c>
      <c r="X191" s="2">
        <v>16975.25</v>
      </c>
      <c r="Y191">
        <v>0.24510000000000001</v>
      </c>
      <c r="Z191">
        <v>2</v>
      </c>
      <c r="AA191" t="s">
        <v>46</v>
      </c>
      <c r="AB191" t="s">
        <v>47</v>
      </c>
      <c r="AD191">
        <v>4</v>
      </c>
      <c r="AE191" s="2">
        <v>65855.19</v>
      </c>
      <c r="AF191">
        <v>1.0517000000000001</v>
      </c>
      <c r="AG191" t="s">
        <v>49</v>
      </c>
      <c r="AH191" s="23">
        <f>SUM(Amazon_Data_Set[[#This Row],[Gross Sales]]-Amazon_Data_Set[[#This Row],[Discount Amount]])</f>
        <v>69258.12999999999</v>
      </c>
    </row>
    <row r="192" spans="1:34">
      <c r="A192" t="s">
        <v>718</v>
      </c>
      <c r="B192" s="1">
        <v>46029</v>
      </c>
      <c r="C192" t="str">
        <f>TEXT(Amazon_Data_Set[[#This Row],[Order Date]],"mmm")</f>
        <v>Jan</v>
      </c>
      <c r="D192" t="s">
        <v>205</v>
      </c>
      <c r="E192" t="s">
        <v>35</v>
      </c>
      <c r="F192" t="s">
        <v>36</v>
      </c>
      <c r="G192" t="s">
        <v>37</v>
      </c>
      <c r="H192" t="s">
        <v>90</v>
      </c>
      <c r="I192" t="s">
        <v>252</v>
      </c>
      <c r="J192" t="s">
        <v>270</v>
      </c>
      <c r="K192" t="s">
        <v>271</v>
      </c>
      <c r="L192" t="s">
        <v>719</v>
      </c>
      <c r="M192" t="s">
        <v>43</v>
      </c>
      <c r="N192" t="s">
        <v>70</v>
      </c>
      <c r="O192" t="s">
        <v>130</v>
      </c>
      <c r="P192">
        <v>3</v>
      </c>
      <c r="Q192">
        <v>1084.68</v>
      </c>
      <c r="R192" s="19">
        <v>0.05</v>
      </c>
      <c r="S192" s="21">
        <v>162.69999999999999</v>
      </c>
      <c r="T192">
        <v>3254.04</v>
      </c>
      <c r="U192" s="2">
        <v>3091.34</v>
      </c>
      <c r="V192">
        <v>124.14</v>
      </c>
      <c r="W192">
        <v>1783.04</v>
      </c>
      <c r="X192" s="2">
        <v>1184.1600000000001</v>
      </c>
      <c r="Y192">
        <v>0.3831</v>
      </c>
      <c r="Z192">
        <v>2</v>
      </c>
      <c r="AA192" t="s">
        <v>131</v>
      </c>
      <c r="AB192" t="s">
        <v>47</v>
      </c>
      <c r="AE192" s="2">
        <v>3568.47</v>
      </c>
      <c r="AF192">
        <v>0.86629999999999996</v>
      </c>
      <c r="AG192" t="s">
        <v>49</v>
      </c>
      <c r="AH192" s="23">
        <f>SUM(Amazon_Data_Set[[#This Row],[Gross Sales]]-Amazon_Data_Set[[#This Row],[Discount Amount]])</f>
        <v>3091.34</v>
      </c>
    </row>
    <row r="193" spans="1:34">
      <c r="A193" t="s">
        <v>720</v>
      </c>
      <c r="B193" s="1">
        <v>46316</v>
      </c>
      <c r="C193" t="str">
        <f>TEXT(Amazon_Data_Set[[#This Row],[Order Date]],"mmm")</f>
        <v>Oct</v>
      </c>
      <c r="D193" t="s">
        <v>721</v>
      </c>
      <c r="E193" t="s">
        <v>275</v>
      </c>
      <c r="F193" t="s">
        <v>276</v>
      </c>
      <c r="G193" t="s">
        <v>37</v>
      </c>
      <c r="H193" t="s">
        <v>142</v>
      </c>
      <c r="I193" t="s">
        <v>209</v>
      </c>
      <c r="J193" t="s">
        <v>210</v>
      </c>
      <c r="K193" t="s">
        <v>201</v>
      </c>
      <c r="L193" t="s">
        <v>722</v>
      </c>
      <c r="M193" t="s">
        <v>106</v>
      </c>
      <c r="N193" t="s">
        <v>124</v>
      </c>
      <c r="O193" t="s">
        <v>96</v>
      </c>
      <c r="P193">
        <v>2</v>
      </c>
      <c r="Q193">
        <v>1975.38</v>
      </c>
      <c r="R193" s="19">
        <v>0</v>
      </c>
      <c r="S193" s="21">
        <v>0</v>
      </c>
      <c r="T193">
        <v>3950.76</v>
      </c>
      <c r="U193" s="2">
        <v>3950.76</v>
      </c>
      <c r="V193">
        <v>214.47</v>
      </c>
      <c r="W193">
        <v>2689.77</v>
      </c>
      <c r="X193" s="2">
        <v>1046.52</v>
      </c>
      <c r="Y193">
        <v>0.26490000000000002</v>
      </c>
      <c r="Z193">
        <v>0</v>
      </c>
      <c r="AA193" t="s">
        <v>97</v>
      </c>
      <c r="AB193" t="s">
        <v>47</v>
      </c>
      <c r="AE193" s="2">
        <v>4860.6000000000004</v>
      </c>
      <c r="AF193">
        <v>0.81279999999999997</v>
      </c>
      <c r="AG193" t="s">
        <v>49</v>
      </c>
      <c r="AH193" s="23">
        <f>SUM(Amazon_Data_Set[[#This Row],[Gross Sales]]-Amazon_Data_Set[[#This Row],[Discount Amount]])</f>
        <v>3950.76</v>
      </c>
    </row>
    <row r="194" spans="1:34">
      <c r="A194" t="s">
        <v>723</v>
      </c>
      <c r="B194" s="1">
        <v>46209</v>
      </c>
      <c r="C194" t="str">
        <f>TEXT(Amazon_Data_Set[[#This Row],[Order Date]],"mmm")</f>
        <v>Jul</v>
      </c>
      <c r="D194" t="s">
        <v>139</v>
      </c>
      <c r="E194" t="s">
        <v>235</v>
      </c>
      <c r="F194" t="s">
        <v>236</v>
      </c>
      <c r="G194" t="s">
        <v>82</v>
      </c>
      <c r="H194" t="s">
        <v>142</v>
      </c>
      <c r="I194" t="s">
        <v>209</v>
      </c>
      <c r="J194" t="s">
        <v>243</v>
      </c>
      <c r="K194" t="s">
        <v>145</v>
      </c>
      <c r="L194" t="s">
        <v>724</v>
      </c>
      <c r="M194" t="s">
        <v>43</v>
      </c>
      <c r="N194" t="s">
        <v>44</v>
      </c>
      <c r="O194" t="s">
        <v>45</v>
      </c>
      <c r="P194">
        <v>3</v>
      </c>
      <c r="Q194">
        <v>571.01</v>
      </c>
      <c r="R194" s="19">
        <v>0</v>
      </c>
      <c r="S194" s="21">
        <v>0</v>
      </c>
      <c r="T194">
        <v>1713.03</v>
      </c>
      <c r="U194" s="2">
        <v>1713.03</v>
      </c>
      <c r="V194">
        <v>64.62</v>
      </c>
      <c r="W194">
        <v>1210.6199999999999</v>
      </c>
      <c r="X194" s="2">
        <v>437.79</v>
      </c>
      <c r="Y194">
        <v>0.25559999999999999</v>
      </c>
      <c r="Z194">
        <v>3</v>
      </c>
      <c r="AA194" t="s">
        <v>46</v>
      </c>
      <c r="AB194" t="s">
        <v>47</v>
      </c>
      <c r="AD194">
        <v>5</v>
      </c>
      <c r="AE194" s="2">
        <v>1632.68</v>
      </c>
      <c r="AF194">
        <v>1.0491999999999999</v>
      </c>
      <c r="AG194" t="s">
        <v>49</v>
      </c>
      <c r="AH194" s="23">
        <f>SUM(Amazon_Data_Set[[#This Row],[Gross Sales]]-Amazon_Data_Set[[#This Row],[Discount Amount]])</f>
        <v>1713.03</v>
      </c>
    </row>
    <row r="195" spans="1:34">
      <c r="A195" t="s">
        <v>725</v>
      </c>
      <c r="B195" s="1">
        <v>46050</v>
      </c>
      <c r="C195" t="str">
        <f>TEXT(Amazon_Data_Set[[#This Row],[Order Date]],"mmm")</f>
        <v>Jan</v>
      </c>
      <c r="D195" t="s">
        <v>726</v>
      </c>
      <c r="E195" t="s">
        <v>109</v>
      </c>
      <c r="F195" t="s">
        <v>154</v>
      </c>
      <c r="G195" t="s">
        <v>111</v>
      </c>
      <c r="H195" t="s">
        <v>55</v>
      </c>
      <c r="I195" t="s">
        <v>56</v>
      </c>
      <c r="J195" t="s">
        <v>366</v>
      </c>
      <c r="K195" t="s">
        <v>367</v>
      </c>
      <c r="L195" t="s">
        <v>727</v>
      </c>
      <c r="M195" t="s">
        <v>43</v>
      </c>
      <c r="N195" t="s">
        <v>95</v>
      </c>
      <c r="O195" t="s">
        <v>45</v>
      </c>
      <c r="P195">
        <v>2</v>
      </c>
      <c r="Q195">
        <v>54231.26</v>
      </c>
      <c r="R195" s="19">
        <v>0.1</v>
      </c>
      <c r="S195" s="21">
        <v>10846.25</v>
      </c>
      <c r="T195">
        <v>108462.52</v>
      </c>
      <c r="U195" s="2">
        <v>97616.27</v>
      </c>
      <c r="V195">
        <v>44.1</v>
      </c>
      <c r="W195">
        <v>67978.039999999994</v>
      </c>
      <c r="X195" s="2">
        <v>29594.13</v>
      </c>
      <c r="Y195">
        <v>0.30320000000000003</v>
      </c>
      <c r="Z195">
        <v>8</v>
      </c>
      <c r="AA195" t="s">
        <v>61</v>
      </c>
      <c r="AB195" t="s">
        <v>47</v>
      </c>
      <c r="AD195">
        <v>4</v>
      </c>
      <c r="AE195" s="2">
        <v>102484.53</v>
      </c>
      <c r="AF195">
        <v>0.95250000000000001</v>
      </c>
      <c r="AG195" t="s">
        <v>49</v>
      </c>
      <c r="AH195" s="23">
        <f>SUM(Amazon_Data_Set[[#This Row],[Gross Sales]]-Amazon_Data_Set[[#This Row],[Discount Amount]])</f>
        <v>97616.27</v>
      </c>
    </row>
    <row r="196" spans="1:34">
      <c r="A196" t="s">
        <v>728</v>
      </c>
      <c r="B196" s="1">
        <v>46042</v>
      </c>
      <c r="C196" t="str">
        <f>TEXT(Amazon_Data_Set[[#This Row],[Order Date]],"mmm")</f>
        <v>Jan</v>
      </c>
      <c r="D196" t="s">
        <v>729</v>
      </c>
      <c r="E196" t="s">
        <v>174</v>
      </c>
      <c r="F196" t="s">
        <v>175</v>
      </c>
      <c r="G196" t="s">
        <v>82</v>
      </c>
      <c r="H196" t="s">
        <v>83</v>
      </c>
      <c r="I196" t="s">
        <v>84</v>
      </c>
      <c r="J196" t="s">
        <v>85</v>
      </c>
      <c r="K196" t="s">
        <v>86</v>
      </c>
      <c r="L196" t="s">
        <v>730</v>
      </c>
      <c r="M196" t="s">
        <v>43</v>
      </c>
      <c r="N196" t="s">
        <v>70</v>
      </c>
      <c r="O196" t="s">
        <v>96</v>
      </c>
      <c r="P196">
        <v>3</v>
      </c>
      <c r="Q196">
        <v>1192.82</v>
      </c>
      <c r="R196" s="19">
        <v>0.15</v>
      </c>
      <c r="S196" s="21">
        <v>536.77</v>
      </c>
      <c r="T196">
        <v>3578.46</v>
      </c>
      <c r="U196" s="2">
        <v>3041.69</v>
      </c>
      <c r="V196">
        <v>142.06</v>
      </c>
      <c r="W196">
        <v>2361</v>
      </c>
      <c r="X196" s="2">
        <v>538.63</v>
      </c>
      <c r="Y196">
        <v>0.17710000000000001</v>
      </c>
      <c r="Z196">
        <v>0</v>
      </c>
      <c r="AA196" t="s">
        <v>97</v>
      </c>
      <c r="AB196" t="s">
        <v>47</v>
      </c>
      <c r="AE196" s="2">
        <v>3206.21</v>
      </c>
      <c r="AF196">
        <v>0.94869999999999999</v>
      </c>
      <c r="AG196" t="s">
        <v>49</v>
      </c>
      <c r="AH196" s="23">
        <f>SUM(Amazon_Data_Set[[#This Row],[Gross Sales]]-Amazon_Data_Set[[#This Row],[Discount Amount]])</f>
        <v>3041.69</v>
      </c>
    </row>
    <row r="197" spans="1:34">
      <c r="A197" t="s">
        <v>731</v>
      </c>
      <c r="B197" s="1">
        <v>46112</v>
      </c>
      <c r="C197" t="str">
        <f>TEXT(Amazon_Data_Set[[#This Row],[Order Date]],"mmm")</f>
        <v>Mar</v>
      </c>
      <c r="D197" t="s">
        <v>732</v>
      </c>
      <c r="E197" t="s">
        <v>194</v>
      </c>
      <c r="F197" t="s">
        <v>195</v>
      </c>
      <c r="G197" t="s">
        <v>111</v>
      </c>
      <c r="H197" t="s">
        <v>83</v>
      </c>
      <c r="I197" t="s">
        <v>188</v>
      </c>
      <c r="J197" t="s">
        <v>189</v>
      </c>
      <c r="K197" t="s">
        <v>190</v>
      </c>
      <c r="L197" t="s">
        <v>733</v>
      </c>
      <c r="M197" t="s">
        <v>43</v>
      </c>
      <c r="N197" t="s">
        <v>77</v>
      </c>
      <c r="O197" t="s">
        <v>45</v>
      </c>
      <c r="P197">
        <v>4</v>
      </c>
      <c r="Q197">
        <v>193.29</v>
      </c>
      <c r="R197" s="19">
        <v>0</v>
      </c>
      <c r="S197" s="21">
        <v>0</v>
      </c>
      <c r="T197">
        <v>773.16</v>
      </c>
      <c r="U197" s="2">
        <v>773.16</v>
      </c>
      <c r="V197">
        <v>223.84</v>
      </c>
      <c r="W197">
        <v>397.62</v>
      </c>
      <c r="X197" s="2">
        <v>151.69999999999999</v>
      </c>
      <c r="Y197">
        <v>0.19620000000000001</v>
      </c>
      <c r="Z197">
        <v>4</v>
      </c>
      <c r="AA197" t="s">
        <v>46</v>
      </c>
      <c r="AB197" t="s">
        <v>47</v>
      </c>
      <c r="AD197">
        <v>3</v>
      </c>
      <c r="AE197" s="2">
        <v>867.16</v>
      </c>
      <c r="AF197">
        <v>0.89159999999999995</v>
      </c>
      <c r="AG197" t="s">
        <v>347</v>
      </c>
      <c r="AH197" s="23">
        <f>SUM(Amazon_Data_Set[[#This Row],[Gross Sales]]-Amazon_Data_Set[[#This Row],[Discount Amount]])</f>
        <v>773.16</v>
      </c>
    </row>
    <row r="198" spans="1:34">
      <c r="A198" t="s">
        <v>734</v>
      </c>
      <c r="B198" s="1">
        <v>46255</v>
      </c>
      <c r="C198" t="str">
        <f>TEXT(Amazon_Data_Set[[#This Row],[Order Date]],"mmm")</f>
        <v>Aug</v>
      </c>
      <c r="D198" t="s">
        <v>735</v>
      </c>
      <c r="E198" t="s">
        <v>52</v>
      </c>
      <c r="F198" t="s">
        <v>53</v>
      </c>
      <c r="G198" t="s">
        <v>54</v>
      </c>
      <c r="H198" t="s">
        <v>38</v>
      </c>
      <c r="I198" t="s">
        <v>66</v>
      </c>
      <c r="J198" t="s">
        <v>67</v>
      </c>
      <c r="K198" t="s">
        <v>68</v>
      </c>
      <c r="L198" t="s">
        <v>736</v>
      </c>
      <c r="M198" t="s">
        <v>106</v>
      </c>
      <c r="N198" t="s">
        <v>77</v>
      </c>
      <c r="O198" t="s">
        <v>45</v>
      </c>
      <c r="P198">
        <v>2</v>
      </c>
      <c r="Q198">
        <v>1529.25</v>
      </c>
      <c r="R198" s="19">
        <v>0.15</v>
      </c>
      <c r="S198" s="21">
        <v>458.77</v>
      </c>
      <c r="T198">
        <v>3058.5</v>
      </c>
      <c r="U198" s="2">
        <v>2599.73</v>
      </c>
      <c r="V198">
        <v>119.23</v>
      </c>
      <c r="W198">
        <v>1484.15</v>
      </c>
      <c r="X198" s="2">
        <v>996.35</v>
      </c>
      <c r="Y198">
        <v>0.38329999999999997</v>
      </c>
      <c r="Z198">
        <v>7</v>
      </c>
      <c r="AA198" t="s">
        <v>61</v>
      </c>
      <c r="AB198" t="s">
        <v>47</v>
      </c>
      <c r="AD198">
        <v>5</v>
      </c>
      <c r="AE198" s="2">
        <v>2474.4299999999998</v>
      </c>
      <c r="AF198">
        <v>1.0506</v>
      </c>
      <c r="AG198" t="s">
        <v>49</v>
      </c>
      <c r="AH198" s="23">
        <f>SUM(Amazon_Data_Set[[#This Row],[Gross Sales]]-Amazon_Data_Set[[#This Row],[Discount Amount]])</f>
        <v>2599.73</v>
      </c>
    </row>
    <row r="199" spans="1:34">
      <c r="A199" t="s">
        <v>737</v>
      </c>
      <c r="B199" s="1">
        <v>46059</v>
      </c>
      <c r="C199" t="str">
        <f>TEXT(Amazon_Data_Set[[#This Row],[Order Date]],"mmm")</f>
        <v>Feb</v>
      </c>
      <c r="D199" t="s">
        <v>738</v>
      </c>
      <c r="E199" t="s">
        <v>35</v>
      </c>
      <c r="F199" t="s">
        <v>36</v>
      </c>
      <c r="G199" t="s">
        <v>37</v>
      </c>
      <c r="H199" t="s">
        <v>90</v>
      </c>
      <c r="I199" t="s">
        <v>112</v>
      </c>
      <c r="J199" t="s">
        <v>113</v>
      </c>
      <c r="K199" t="s">
        <v>114</v>
      </c>
      <c r="L199" t="s">
        <v>739</v>
      </c>
      <c r="M199" t="s">
        <v>106</v>
      </c>
      <c r="N199" t="s">
        <v>77</v>
      </c>
      <c r="O199" t="s">
        <v>96</v>
      </c>
      <c r="P199">
        <v>4</v>
      </c>
      <c r="Q199">
        <v>127.36</v>
      </c>
      <c r="R199" s="19">
        <v>0.15</v>
      </c>
      <c r="S199" s="21">
        <v>76.42</v>
      </c>
      <c r="T199">
        <v>509.44</v>
      </c>
      <c r="U199" s="2">
        <v>433.02</v>
      </c>
      <c r="V199">
        <v>162.44999999999999</v>
      </c>
      <c r="W199">
        <v>262.74</v>
      </c>
      <c r="X199" s="2">
        <v>7.83</v>
      </c>
      <c r="Y199">
        <v>1.8100000000000002E-2</v>
      </c>
      <c r="Z199">
        <v>0</v>
      </c>
      <c r="AA199" t="s">
        <v>97</v>
      </c>
      <c r="AB199" t="s">
        <v>47</v>
      </c>
      <c r="AE199" s="2">
        <v>430.99</v>
      </c>
      <c r="AF199">
        <v>1.0046999999999999</v>
      </c>
      <c r="AG199" t="s">
        <v>347</v>
      </c>
      <c r="AH199" s="23">
        <f>SUM(Amazon_Data_Set[[#This Row],[Gross Sales]]-Amazon_Data_Set[[#This Row],[Discount Amount]])</f>
        <v>433.02</v>
      </c>
    </row>
    <row r="200" spans="1:34">
      <c r="A200" t="s">
        <v>740</v>
      </c>
      <c r="B200" s="1">
        <v>46058</v>
      </c>
      <c r="C200" t="str">
        <f>TEXT(Amazon_Data_Set[[#This Row],[Order Date]],"mmm")</f>
        <v>Feb</v>
      </c>
      <c r="D200" t="s">
        <v>182</v>
      </c>
      <c r="E200" t="s">
        <v>109</v>
      </c>
      <c r="F200" t="s">
        <v>110</v>
      </c>
      <c r="G200" t="s">
        <v>111</v>
      </c>
      <c r="H200" t="s">
        <v>55</v>
      </c>
      <c r="I200" t="s">
        <v>73</v>
      </c>
      <c r="J200" t="s">
        <v>230</v>
      </c>
      <c r="K200" t="s">
        <v>231</v>
      </c>
      <c r="L200" t="s">
        <v>741</v>
      </c>
      <c r="M200" t="s">
        <v>106</v>
      </c>
      <c r="N200" t="s">
        <v>60</v>
      </c>
      <c r="O200" t="s">
        <v>45</v>
      </c>
      <c r="P200">
        <v>3</v>
      </c>
      <c r="Q200">
        <v>22139.61</v>
      </c>
      <c r="R200" s="19">
        <v>0.1</v>
      </c>
      <c r="S200" s="21">
        <v>6641.88</v>
      </c>
      <c r="T200">
        <v>66418.83</v>
      </c>
      <c r="U200" s="2">
        <v>59776.95</v>
      </c>
      <c r="V200">
        <v>75.040000000000006</v>
      </c>
      <c r="W200">
        <v>37977.800000000003</v>
      </c>
      <c r="X200" s="2">
        <v>21724.11</v>
      </c>
      <c r="Y200">
        <v>0.3634</v>
      </c>
      <c r="Z200">
        <v>1</v>
      </c>
      <c r="AA200" t="s">
        <v>46</v>
      </c>
      <c r="AB200" t="s">
        <v>47</v>
      </c>
      <c r="AD200">
        <v>4</v>
      </c>
      <c r="AE200" s="2">
        <v>54669.39</v>
      </c>
      <c r="AF200">
        <v>1.0933999999999999</v>
      </c>
      <c r="AG200" t="s">
        <v>49</v>
      </c>
      <c r="AH200" s="23">
        <f>SUM(Amazon_Data_Set[[#This Row],[Gross Sales]]-Amazon_Data_Set[[#This Row],[Discount Amount]])</f>
        <v>59776.950000000004</v>
      </c>
    </row>
    <row r="201" spans="1:34">
      <c r="A201" t="s">
        <v>742</v>
      </c>
      <c r="B201" s="1">
        <v>46353</v>
      </c>
      <c r="C201" t="str">
        <f>TEXT(Amazon_Data_Set[[#This Row],[Order Date]],"mmm")</f>
        <v>Nov</v>
      </c>
      <c r="D201" t="s">
        <v>354</v>
      </c>
      <c r="E201" t="s">
        <v>149</v>
      </c>
      <c r="F201" t="s">
        <v>150</v>
      </c>
      <c r="G201" t="s">
        <v>37</v>
      </c>
      <c r="H201" t="s">
        <v>38</v>
      </c>
      <c r="I201" t="s">
        <v>39</v>
      </c>
      <c r="J201" t="s">
        <v>281</v>
      </c>
      <c r="K201" t="s">
        <v>282</v>
      </c>
      <c r="L201" t="s">
        <v>743</v>
      </c>
      <c r="M201" t="s">
        <v>43</v>
      </c>
      <c r="N201" t="s">
        <v>44</v>
      </c>
      <c r="O201" t="s">
        <v>45</v>
      </c>
      <c r="P201">
        <v>3</v>
      </c>
      <c r="Q201">
        <v>1125.8399999999999</v>
      </c>
      <c r="R201" s="19">
        <v>0.2</v>
      </c>
      <c r="S201" s="21">
        <v>675.5</v>
      </c>
      <c r="T201">
        <v>3377.52</v>
      </c>
      <c r="U201" s="2">
        <v>2702.02</v>
      </c>
      <c r="V201">
        <v>139.93</v>
      </c>
      <c r="W201">
        <v>1955.55</v>
      </c>
      <c r="X201" s="2">
        <v>606.54</v>
      </c>
      <c r="Y201">
        <v>0.22450000000000001</v>
      </c>
      <c r="Z201">
        <v>1</v>
      </c>
      <c r="AA201" t="s">
        <v>46</v>
      </c>
      <c r="AB201" t="s">
        <v>47</v>
      </c>
      <c r="AD201">
        <v>5</v>
      </c>
      <c r="AE201" s="2">
        <v>2641</v>
      </c>
      <c r="AF201">
        <v>1.0230999999999999</v>
      </c>
      <c r="AG201" t="s">
        <v>49</v>
      </c>
      <c r="AH201" s="23">
        <f>SUM(Amazon_Data_Set[[#This Row],[Gross Sales]]-Amazon_Data_Set[[#This Row],[Discount Amount]])</f>
        <v>2702.02</v>
      </c>
    </row>
    <row r="202" spans="1:34">
      <c r="A202" t="s">
        <v>744</v>
      </c>
      <c r="B202" s="1">
        <v>46107</v>
      </c>
      <c r="C202" t="str">
        <f>TEXT(Amazon_Data_Set[[#This Row],[Order Date]],"mmm")</f>
        <v>Mar</v>
      </c>
      <c r="D202" t="s">
        <v>745</v>
      </c>
      <c r="E202" t="s">
        <v>52</v>
      </c>
      <c r="F202" t="s">
        <v>53</v>
      </c>
      <c r="G202" t="s">
        <v>54</v>
      </c>
      <c r="H202" t="s">
        <v>83</v>
      </c>
      <c r="I202" t="s">
        <v>188</v>
      </c>
      <c r="J202" t="s">
        <v>475</v>
      </c>
      <c r="K202" t="s">
        <v>476</v>
      </c>
      <c r="L202" t="s">
        <v>746</v>
      </c>
      <c r="M202" t="s">
        <v>43</v>
      </c>
      <c r="N202" t="s">
        <v>124</v>
      </c>
      <c r="O202" t="s">
        <v>96</v>
      </c>
      <c r="P202">
        <v>3</v>
      </c>
      <c r="Q202">
        <v>325.70999999999998</v>
      </c>
      <c r="R202" s="19">
        <v>0.1</v>
      </c>
      <c r="S202" s="21">
        <v>97.71</v>
      </c>
      <c r="T202">
        <v>977.13</v>
      </c>
      <c r="U202" s="2">
        <v>879.42</v>
      </c>
      <c r="V202">
        <v>9.56</v>
      </c>
      <c r="W202">
        <v>658.59</v>
      </c>
      <c r="X202" s="2">
        <v>211.27</v>
      </c>
      <c r="Y202">
        <v>0.2402</v>
      </c>
      <c r="Z202">
        <v>0</v>
      </c>
      <c r="AA202" t="s">
        <v>97</v>
      </c>
      <c r="AB202" t="s">
        <v>47</v>
      </c>
      <c r="AE202" s="2">
        <v>958.3</v>
      </c>
      <c r="AF202">
        <v>0.91769999999999996</v>
      </c>
      <c r="AG202" t="s">
        <v>49</v>
      </c>
      <c r="AH202" s="23">
        <f>SUM(Amazon_Data_Set[[#This Row],[Gross Sales]]-Amazon_Data_Set[[#This Row],[Discount Amount]])</f>
        <v>879.42</v>
      </c>
    </row>
    <row r="203" spans="1:34">
      <c r="A203" t="s">
        <v>747</v>
      </c>
      <c r="B203" s="1">
        <v>46238</v>
      </c>
      <c r="C203" t="str">
        <f>TEXT(Amazon_Data_Set[[#This Row],[Order Date]],"mmm")</f>
        <v>Aug</v>
      </c>
      <c r="D203" t="s">
        <v>748</v>
      </c>
      <c r="E203" t="s">
        <v>100</v>
      </c>
      <c r="F203" t="s">
        <v>179</v>
      </c>
      <c r="G203" t="s">
        <v>54</v>
      </c>
      <c r="H203" t="s">
        <v>90</v>
      </c>
      <c r="I203" t="s">
        <v>112</v>
      </c>
      <c r="J203" t="s">
        <v>292</v>
      </c>
      <c r="K203" t="s">
        <v>293</v>
      </c>
      <c r="L203" t="s">
        <v>749</v>
      </c>
      <c r="M203" t="s">
        <v>43</v>
      </c>
      <c r="N203" t="s">
        <v>124</v>
      </c>
      <c r="O203" t="s">
        <v>45</v>
      </c>
      <c r="P203">
        <v>3</v>
      </c>
      <c r="Q203">
        <v>1117.76</v>
      </c>
      <c r="R203" s="19">
        <v>0.1</v>
      </c>
      <c r="S203" s="21">
        <v>335.33</v>
      </c>
      <c r="T203">
        <v>3353.28</v>
      </c>
      <c r="U203" s="2">
        <v>3017.95</v>
      </c>
      <c r="V203">
        <v>221.93</v>
      </c>
      <c r="W203">
        <v>1483.45</v>
      </c>
      <c r="X203" s="2">
        <v>1312.57</v>
      </c>
      <c r="Y203">
        <v>0.43490000000000001</v>
      </c>
      <c r="Z203">
        <v>7</v>
      </c>
      <c r="AA203" t="s">
        <v>61</v>
      </c>
      <c r="AB203" t="s">
        <v>47</v>
      </c>
      <c r="AD203">
        <v>4</v>
      </c>
      <c r="AE203" s="2">
        <v>3006.96</v>
      </c>
      <c r="AF203">
        <v>1.0037</v>
      </c>
      <c r="AG203" t="s">
        <v>49</v>
      </c>
      <c r="AH203" s="23">
        <f>SUM(Amazon_Data_Set[[#This Row],[Gross Sales]]-Amazon_Data_Set[[#This Row],[Discount Amount]])</f>
        <v>3017.9500000000003</v>
      </c>
    </row>
    <row r="204" spans="1:34">
      <c r="A204" t="s">
        <v>750</v>
      </c>
      <c r="B204" s="1">
        <v>46213</v>
      </c>
      <c r="C204" t="str">
        <f>TEXT(Amazon_Data_Set[[#This Row],[Order Date]],"mmm")</f>
        <v>Jul</v>
      </c>
      <c r="D204" t="s">
        <v>362</v>
      </c>
      <c r="E204" t="s">
        <v>100</v>
      </c>
      <c r="F204" t="s">
        <v>179</v>
      </c>
      <c r="G204" t="s">
        <v>54</v>
      </c>
      <c r="H204" t="s">
        <v>142</v>
      </c>
      <c r="I204" t="s">
        <v>143</v>
      </c>
      <c r="J204" t="s">
        <v>200</v>
      </c>
      <c r="K204" t="s">
        <v>201</v>
      </c>
      <c r="L204" t="s">
        <v>751</v>
      </c>
      <c r="M204" t="s">
        <v>106</v>
      </c>
      <c r="N204" t="s">
        <v>77</v>
      </c>
      <c r="O204" t="s">
        <v>45</v>
      </c>
      <c r="P204">
        <v>2</v>
      </c>
      <c r="Q204">
        <v>1746.95</v>
      </c>
      <c r="R204" s="19">
        <v>0.2</v>
      </c>
      <c r="S204" s="21">
        <v>698.78</v>
      </c>
      <c r="T204">
        <v>3493.9</v>
      </c>
      <c r="U204" s="2">
        <v>2795.12</v>
      </c>
      <c r="V204">
        <v>67.55</v>
      </c>
      <c r="W204">
        <v>1376.26</v>
      </c>
      <c r="X204" s="2">
        <v>1351.31</v>
      </c>
      <c r="Y204">
        <v>0.48349999999999999</v>
      </c>
      <c r="Z204">
        <v>6</v>
      </c>
      <c r="AA204" t="s">
        <v>61</v>
      </c>
      <c r="AB204" t="s">
        <v>47</v>
      </c>
      <c r="AD204">
        <v>5</v>
      </c>
      <c r="AE204" s="2">
        <v>3239.79</v>
      </c>
      <c r="AF204">
        <v>0.86270000000000002</v>
      </c>
      <c r="AG204" t="s">
        <v>49</v>
      </c>
      <c r="AH204" s="23">
        <f>SUM(Amazon_Data_Set[[#This Row],[Gross Sales]]-Amazon_Data_Set[[#This Row],[Discount Amount]])</f>
        <v>2795.12</v>
      </c>
    </row>
    <row r="205" spans="1:34">
      <c r="A205" t="s">
        <v>752</v>
      </c>
      <c r="B205" s="1">
        <v>46186</v>
      </c>
      <c r="C205" t="str">
        <f>TEXT(Amazon_Data_Set[[#This Row],[Order Date]],"mmm")</f>
        <v>Jun</v>
      </c>
      <c r="D205" t="s">
        <v>269</v>
      </c>
      <c r="E205" t="s">
        <v>149</v>
      </c>
      <c r="F205" t="s">
        <v>150</v>
      </c>
      <c r="G205" t="s">
        <v>37</v>
      </c>
      <c r="H205" t="s">
        <v>142</v>
      </c>
      <c r="I205" t="s">
        <v>209</v>
      </c>
      <c r="J205" t="s">
        <v>210</v>
      </c>
      <c r="K205" t="s">
        <v>201</v>
      </c>
      <c r="L205" t="s">
        <v>753</v>
      </c>
      <c r="M205" t="s">
        <v>43</v>
      </c>
      <c r="N205" t="s">
        <v>60</v>
      </c>
      <c r="O205" t="s">
        <v>45</v>
      </c>
      <c r="P205">
        <v>2</v>
      </c>
      <c r="Q205">
        <v>6437.75</v>
      </c>
      <c r="R205" s="19">
        <v>0.05</v>
      </c>
      <c r="S205" s="21">
        <v>643.78</v>
      </c>
      <c r="T205">
        <v>12875.5</v>
      </c>
      <c r="U205" s="2">
        <v>12231.72</v>
      </c>
      <c r="V205">
        <v>86.57</v>
      </c>
      <c r="W205">
        <v>7618.2</v>
      </c>
      <c r="X205" s="2">
        <v>4526.95</v>
      </c>
      <c r="Y205">
        <v>0.37009999999999998</v>
      </c>
      <c r="Z205">
        <v>5</v>
      </c>
      <c r="AA205" t="s">
        <v>61</v>
      </c>
      <c r="AB205" t="s">
        <v>47</v>
      </c>
      <c r="AD205">
        <v>3</v>
      </c>
      <c r="AE205" s="2">
        <v>10519.3</v>
      </c>
      <c r="AF205">
        <v>1.1628000000000001</v>
      </c>
      <c r="AG205" t="s">
        <v>49</v>
      </c>
      <c r="AH205" s="23">
        <f>SUM(Amazon_Data_Set[[#This Row],[Gross Sales]]-Amazon_Data_Set[[#This Row],[Discount Amount]])</f>
        <v>12231.72</v>
      </c>
    </row>
    <row r="206" spans="1:34">
      <c r="A206" t="s">
        <v>754</v>
      </c>
      <c r="B206" s="1">
        <v>46358</v>
      </c>
      <c r="C206" t="str">
        <f>TEXT(Amazon_Data_Set[[#This Row],[Order Date]],"mmm")</f>
        <v>Dec</v>
      </c>
      <c r="D206" t="s">
        <v>755</v>
      </c>
      <c r="E206" t="s">
        <v>228</v>
      </c>
      <c r="F206" t="s">
        <v>229</v>
      </c>
      <c r="G206" t="s">
        <v>37</v>
      </c>
      <c r="H206" t="s">
        <v>83</v>
      </c>
      <c r="I206" t="s">
        <v>188</v>
      </c>
      <c r="J206" t="s">
        <v>690</v>
      </c>
      <c r="K206" t="s">
        <v>691</v>
      </c>
      <c r="L206" t="s">
        <v>756</v>
      </c>
      <c r="M206" t="s">
        <v>43</v>
      </c>
      <c r="N206" t="s">
        <v>95</v>
      </c>
      <c r="O206" t="s">
        <v>96</v>
      </c>
      <c r="P206">
        <v>1</v>
      </c>
      <c r="Q206">
        <v>1071.94</v>
      </c>
      <c r="R206" s="19">
        <v>0.1</v>
      </c>
      <c r="S206" s="21">
        <v>107.19</v>
      </c>
      <c r="T206">
        <v>1071.94</v>
      </c>
      <c r="U206" s="2">
        <v>964.75</v>
      </c>
      <c r="V206">
        <v>167.36</v>
      </c>
      <c r="W206">
        <v>702.45</v>
      </c>
      <c r="X206" s="2">
        <v>94.94</v>
      </c>
      <c r="Y206">
        <v>9.8400000000000001E-2</v>
      </c>
      <c r="Z206">
        <v>0</v>
      </c>
      <c r="AA206" t="s">
        <v>97</v>
      </c>
      <c r="AB206" t="s">
        <v>47</v>
      </c>
      <c r="AE206" s="2">
        <v>868.82</v>
      </c>
      <c r="AF206">
        <v>1.1104000000000001</v>
      </c>
      <c r="AG206" t="s">
        <v>49</v>
      </c>
      <c r="AH206" s="23">
        <f>SUM(Amazon_Data_Set[[#This Row],[Gross Sales]]-Amazon_Data_Set[[#This Row],[Discount Amount]])</f>
        <v>964.75</v>
      </c>
    </row>
    <row r="207" spans="1:34">
      <c r="A207" t="s">
        <v>757</v>
      </c>
      <c r="B207" s="1">
        <v>46053</v>
      </c>
      <c r="C207" t="str">
        <f>TEXT(Amazon_Data_Set[[#This Row],[Order Date]],"mmm")</f>
        <v>Jan</v>
      </c>
      <c r="D207" t="s">
        <v>758</v>
      </c>
      <c r="E207" t="s">
        <v>194</v>
      </c>
      <c r="F207" t="s">
        <v>195</v>
      </c>
      <c r="G207" t="s">
        <v>111</v>
      </c>
      <c r="H207" t="s">
        <v>38</v>
      </c>
      <c r="I207" t="s">
        <v>161</v>
      </c>
      <c r="J207" t="s">
        <v>162</v>
      </c>
      <c r="K207" t="s">
        <v>163</v>
      </c>
      <c r="L207" t="s">
        <v>759</v>
      </c>
      <c r="M207" t="s">
        <v>106</v>
      </c>
      <c r="N207" t="s">
        <v>70</v>
      </c>
      <c r="O207" t="s">
        <v>96</v>
      </c>
      <c r="P207">
        <v>3</v>
      </c>
      <c r="Q207">
        <v>3810.17</v>
      </c>
      <c r="R207" s="19">
        <v>0.15</v>
      </c>
      <c r="S207" s="21">
        <v>1714.58</v>
      </c>
      <c r="T207">
        <v>11430.51</v>
      </c>
      <c r="U207" s="2">
        <v>9715.93</v>
      </c>
      <c r="V207">
        <v>19.57</v>
      </c>
      <c r="W207">
        <v>5298.36</v>
      </c>
      <c r="X207" s="2">
        <v>4398</v>
      </c>
      <c r="Y207">
        <v>0.45269999999999999</v>
      </c>
      <c r="Z207">
        <v>0</v>
      </c>
      <c r="AA207" t="s">
        <v>97</v>
      </c>
      <c r="AB207" t="s">
        <v>47</v>
      </c>
      <c r="AE207" s="2">
        <v>9539.83</v>
      </c>
      <c r="AF207">
        <v>1.0185</v>
      </c>
      <c r="AG207" t="s">
        <v>347</v>
      </c>
      <c r="AH207" s="23">
        <f>SUM(Amazon_Data_Set[[#This Row],[Gross Sales]]-Amazon_Data_Set[[#This Row],[Discount Amount]])</f>
        <v>9715.93</v>
      </c>
    </row>
    <row r="208" spans="1:34">
      <c r="A208" t="s">
        <v>760</v>
      </c>
      <c r="B208" s="1">
        <v>46185</v>
      </c>
      <c r="C208" t="str">
        <f>TEXT(Amazon_Data_Set[[#This Row],[Order Date]],"mmm")</f>
        <v>Jun</v>
      </c>
      <c r="D208" t="s">
        <v>761</v>
      </c>
      <c r="E208" t="s">
        <v>100</v>
      </c>
      <c r="F208" t="s">
        <v>179</v>
      </c>
      <c r="G208" t="s">
        <v>54</v>
      </c>
      <c r="H208" t="s">
        <v>38</v>
      </c>
      <c r="I208" t="s">
        <v>66</v>
      </c>
      <c r="J208" t="s">
        <v>337</v>
      </c>
      <c r="K208" t="s">
        <v>224</v>
      </c>
      <c r="L208" t="s">
        <v>762</v>
      </c>
      <c r="M208" t="s">
        <v>43</v>
      </c>
      <c r="N208" t="s">
        <v>77</v>
      </c>
      <c r="O208" t="s">
        <v>130</v>
      </c>
      <c r="P208">
        <v>1</v>
      </c>
      <c r="Q208">
        <v>375.73</v>
      </c>
      <c r="R208" s="19">
        <v>0.3</v>
      </c>
      <c r="S208" s="21">
        <v>112.72</v>
      </c>
      <c r="T208">
        <v>375.73</v>
      </c>
      <c r="U208" s="2">
        <v>263.01</v>
      </c>
      <c r="V208">
        <v>173.97</v>
      </c>
      <c r="W208">
        <v>201.46</v>
      </c>
      <c r="X208" s="2">
        <v>-112.42</v>
      </c>
      <c r="Y208">
        <v>-0.4274</v>
      </c>
      <c r="Z208">
        <v>1</v>
      </c>
      <c r="AA208" t="s">
        <v>131</v>
      </c>
      <c r="AB208" t="s">
        <v>47</v>
      </c>
      <c r="AE208" s="2">
        <v>261</v>
      </c>
      <c r="AF208">
        <v>1.0077</v>
      </c>
      <c r="AG208" t="s">
        <v>49</v>
      </c>
      <c r="AH208" s="23">
        <f>SUM(Amazon_Data_Set[[#This Row],[Gross Sales]]-Amazon_Data_Set[[#This Row],[Discount Amount]])</f>
        <v>263.01</v>
      </c>
    </row>
    <row r="209" spans="1:34">
      <c r="A209" t="s">
        <v>763</v>
      </c>
      <c r="B209" s="1">
        <v>46040</v>
      </c>
      <c r="C209" t="str">
        <f>TEXT(Amazon_Data_Set[[#This Row],[Order Date]],"mmm")</f>
        <v>Jan</v>
      </c>
      <c r="D209" t="s">
        <v>166</v>
      </c>
      <c r="E209" t="s">
        <v>80</v>
      </c>
      <c r="F209" t="s">
        <v>81</v>
      </c>
      <c r="G209" t="s">
        <v>82</v>
      </c>
      <c r="H209" t="s">
        <v>142</v>
      </c>
      <c r="I209" t="s">
        <v>209</v>
      </c>
      <c r="J209" t="s">
        <v>243</v>
      </c>
      <c r="K209" t="s">
        <v>145</v>
      </c>
      <c r="L209" t="s">
        <v>764</v>
      </c>
      <c r="M209" t="s">
        <v>43</v>
      </c>
      <c r="N209" t="s">
        <v>44</v>
      </c>
      <c r="O209" t="s">
        <v>130</v>
      </c>
      <c r="P209">
        <v>1</v>
      </c>
      <c r="Q209">
        <v>8652.5300000000007</v>
      </c>
      <c r="R209" s="19">
        <v>0</v>
      </c>
      <c r="S209" s="21">
        <v>0</v>
      </c>
      <c r="T209">
        <v>8652.5300000000007</v>
      </c>
      <c r="U209" s="2">
        <v>8652.5300000000007</v>
      </c>
      <c r="V209">
        <v>186.02</v>
      </c>
      <c r="W209">
        <v>4768.25</v>
      </c>
      <c r="X209" s="2">
        <v>3698.26</v>
      </c>
      <c r="Y209">
        <v>0.4274</v>
      </c>
      <c r="Z209">
        <v>8</v>
      </c>
      <c r="AA209" t="s">
        <v>131</v>
      </c>
      <c r="AB209" t="s">
        <v>47</v>
      </c>
      <c r="AE209" s="2">
        <v>8143.16</v>
      </c>
      <c r="AF209">
        <v>1.0626</v>
      </c>
      <c r="AG209" t="s">
        <v>49</v>
      </c>
      <c r="AH209" s="23">
        <f>SUM(Amazon_Data_Set[[#This Row],[Gross Sales]]-Amazon_Data_Set[[#This Row],[Discount Amount]])</f>
        <v>8652.5300000000007</v>
      </c>
    </row>
    <row r="210" spans="1:34">
      <c r="A210" t="s">
        <v>765</v>
      </c>
      <c r="B210" s="1">
        <v>46086</v>
      </c>
      <c r="C210" t="str">
        <f>TEXT(Amazon_Data_Set[[#This Row],[Order Date]],"mmm")</f>
        <v>Mar</v>
      </c>
      <c r="D210" t="s">
        <v>569</v>
      </c>
      <c r="E210" t="s">
        <v>235</v>
      </c>
      <c r="F210" t="s">
        <v>236</v>
      </c>
      <c r="G210" t="s">
        <v>82</v>
      </c>
      <c r="H210" t="s">
        <v>90</v>
      </c>
      <c r="I210" t="s">
        <v>112</v>
      </c>
      <c r="J210" t="s">
        <v>292</v>
      </c>
      <c r="K210" t="s">
        <v>293</v>
      </c>
      <c r="L210" t="s">
        <v>766</v>
      </c>
      <c r="M210" t="s">
        <v>43</v>
      </c>
      <c r="N210" t="s">
        <v>95</v>
      </c>
      <c r="O210" t="s">
        <v>45</v>
      </c>
      <c r="P210">
        <v>1</v>
      </c>
      <c r="Q210">
        <v>1170.51</v>
      </c>
      <c r="R210" s="19">
        <v>0.3</v>
      </c>
      <c r="S210" s="21">
        <v>351.15</v>
      </c>
      <c r="T210">
        <v>1170.51</v>
      </c>
      <c r="U210" s="2">
        <v>819.36</v>
      </c>
      <c r="V210">
        <v>5.54</v>
      </c>
      <c r="W210">
        <v>562.97</v>
      </c>
      <c r="X210" s="2">
        <v>250.85</v>
      </c>
      <c r="Y210">
        <v>0.30620000000000003</v>
      </c>
      <c r="Z210">
        <v>8</v>
      </c>
      <c r="AA210" t="s">
        <v>61</v>
      </c>
      <c r="AB210" t="s">
        <v>47</v>
      </c>
      <c r="AD210">
        <v>4</v>
      </c>
      <c r="AE210" s="2">
        <v>974.4</v>
      </c>
      <c r="AF210">
        <v>0.84089999999999998</v>
      </c>
      <c r="AG210" t="s">
        <v>49</v>
      </c>
      <c r="AH210" s="23">
        <f>SUM(Amazon_Data_Set[[#This Row],[Gross Sales]]-Amazon_Data_Set[[#This Row],[Discount Amount]])</f>
        <v>819.36</v>
      </c>
    </row>
    <row r="211" spans="1:34">
      <c r="A211" t="s">
        <v>767</v>
      </c>
      <c r="B211" s="1">
        <v>46228</v>
      </c>
      <c r="C211" t="str">
        <f>TEXT(Amazon_Data_Set[[#This Row],[Order Date]],"mmm")</f>
        <v>Jul</v>
      </c>
      <c r="D211" t="s">
        <v>550</v>
      </c>
      <c r="E211" t="s">
        <v>228</v>
      </c>
      <c r="F211" t="s">
        <v>229</v>
      </c>
      <c r="G211" t="s">
        <v>37</v>
      </c>
      <c r="H211" t="s">
        <v>38</v>
      </c>
      <c r="I211" t="s">
        <v>39</v>
      </c>
      <c r="J211" t="s">
        <v>281</v>
      </c>
      <c r="K211" t="s">
        <v>282</v>
      </c>
      <c r="L211" t="s">
        <v>768</v>
      </c>
      <c r="M211" t="s">
        <v>106</v>
      </c>
      <c r="N211" t="s">
        <v>124</v>
      </c>
      <c r="O211" t="s">
        <v>45</v>
      </c>
      <c r="P211">
        <v>1</v>
      </c>
      <c r="Q211">
        <v>2948.63</v>
      </c>
      <c r="R211" s="19">
        <v>0.1</v>
      </c>
      <c r="S211" s="21">
        <v>294.86</v>
      </c>
      <c r="T211">
        <v>2948.63</v>
      </c>
      <c r="U211" s="2">
        <v>2653.77</v>
      </c>
      <c r="V211">
        <v>228.49</v>
      </c>
      <c r="W211">
        <v>1558.03</v>
      </c>
      <c r="X211" s="2">
        <v>867.25</v>
      </c>
      <c r="Y211">
        <v>0.32679999999999998</v>
      </c>
      <c r="Z211">
        <v>5</v>
      </c>
      <c r="AA211" t="s">
        <v>61</v>
      </c>
      <c r="AB211" t="s">
        <v>47</v>
      </c>
      <c r="AD211">
        <v>4</v>
      </c>
      <c r="AE211" s="2">
        <v>2821.65</v>
      </c>
      <c r="AF211">
        <v>0.9405</v>
      </c>
      <c r="AG211" t="s">
        <v>49</v>
      </c>
      <c r="AH211" s="23">
        <f>SUM(Amazon_Data_Set[[#This Row],[Gross Sales]]-Amazon_Data_Set[[#This Row],[Discount Amount]])</f>
        <v>2653.77</v>
      </c>
    </row>
    <row r="212" spans="1:34">
      <c r="A212" t="s">
        <v>769</v>
      </c>
      <c r="B212" s="1">
        <v>46124</v>
      </c>
      <c r="C212" t="str">
        <f>TEXT(Amazon_Data_Set[[#This Row],[Order Date]],"mmm")</f>
        <v>Apr</v>
      </c>
      <c r="D212" t="s">
        <v>296</v>
      </c>
      <c r="E212" t="s">
        <v>80</v>
      </c>
      <c r="F212" t="s">
        <v>81</v>
      </c>
      <c r="G212" t="s">
        <v>82</v>
      </c>
      <c r="H212" t="s">
        <v>83</v>
      </c>
      <c r="I212" t="s">
        <v>84</v>
      </c>
      <c r="J212" t="s">
        <v>85</v>
      </c>
      <c r="K212" t="s">
        <v>86</v>
      </c>
      <c r="L212" t="s">
        <v>770</v>
      </c>
      <c r="M212" t="s">
        <v>106</v>
      </c>
      <c r="N212" t="s">
        <v>44</v>
      </c>
      <c r="O212" t="s">
        <v>45</v>
      </c>
      <c r="P212">
        <v>1</v>
      </c>
      <c r="Q212">
        <v>155.1</v>
      </c>
      <c r="R212" s="19">
        <v>0</v>
      </c>
      <c r="S212" s="21">
        <v>0</v>
      </c>
      <c r="T212">
        <v>155.1</v>
      </c>
      <c r="U212" s="2">
        <v>155.1</v>
      </c>
      <c r="V212">
        <v>111.39</v>
      </c>
      <c r="W212">
        <v>101.84</v>
      </c>
      <c r="X212" s="2">
        <v>-58.13</v>
      </c>
      <c r="Y212">
        <v>-0.37480000000000002</v>
      </c>
      <c r="Z212">
        <v>8</v>
      </c>
      <c r="AA212" t="s">
        <v>61</v>
      </c>
      <c r="AB212" t="s">
        <v>47</v>
      </c>
      <c r="AD212">
        <v>5</v>
      </c>
      <c r="AE212" s="2">
        <v>159.37</v>
      </c>
      <c r="AF212">
        <v>0.97319999999999995</v>
      </c>
      <c r="AG212" t="s">
        <v>49</v>
      </c>
      <c r="AH212" s="23">
        <f>SUM(Amazon_Data_Set[[#This Row],[Gross Sales]]-Amazon_Data_Set[[#This Row],[Discount Amount]])</f>
        <v>155.1</v>
      </c>
    </row>
    <row r="213" spans="1:34">
      <c r="A213" t="s">
        <v>771</v>
      </c>
      <c r="B213" s="1">
        <v>46076</v>
      </c>
      <c r="C213" t="str">
        <f>TEXT(Amazon_Data_Set[[#This Row],[Order Date]],"mmm")</f>
        <v>Feb</v>
      </c>
      <c r="D213" t="s">
        <v>772</v>
      </c>
      <c r="E213" t="s">
        <v>35</v>
      </c>
      <c r="F213" t="s">
        <v>36</v>
      </c>
      <c r="G213" t="s">
        <v>37</v>
      </c>
      <c r="H213" t="s">
        <v>90</v>
      </c>
      <c r="I213" t="s">
        <v>252</v>
      </c>
      <c r="J213" t="s">
        <v>253</v>
      </c>
      <c r="K213" t="s">
        <v>254</v>
      </c>
      <c r="L213" t="s">
        <v>773</v>
      </c>
      <c r="M213" t="s">
        <v>43</v>
      </c>
      <c r="N213" t="s">
        <v>60</v>
      </c>
      <c r="O213" t="s">
        <v>45</v>
      </c>
      <c r="P213">
        <v>2</v>
      </c>
      <c r="Q213">
        <v>121.52</v>
      </c>
      <c r="R213" s="19">
        <v>0.2</v>
      </c>
      <c r="S213" s="21">
        <v>48.61</v>
      </c>
      <c r="T213">
        <v>243.04</v>
      </c>
      <c r="U213" s="2">
        <v>194.43</v>
      </c>
      <c r="V213">
        <v>45.12</v>
      </c>
      <c r="W213">
        <v>132.81</v>
      </c>
      <c r="X213" s="2">
        <v>16.5</v>
      </c>
      <c r="Y213">
        <v>8.4900000000000003E-2</v>
      </c>
      <c r="Z213">
        <v>6</v>
      </c>
      <c r="AA213" t="s">
        <v>61</v>
      </c>
      <c r="AB213" t="s">
        <v>47</v>
      </c>
      <c r="AD213">
        <v>5</v>
      </c>
      <c r="AE213" s="2">
        <v>219.27</v>
      </c>
      <c r="AF213">
        <v>0.88670000000000004</v>
      </c>
      <c r="AG213" t="s">
        <v>347</v>
      </c>
      <c r="AH213" s="23">
        <f>SUM(Amazon_Data_Set[[#This Row],[Gross Sales]]-Amazon_Data_Set[[#This Row],[Discount Amount]])</f>
        <v>194.43</v>
      </c>
    </row>
    <row r="214" spans="1:34">
      <c r="A214" t="s">
        <v>774</v>
      </c>
      <c r="B214" s="1">
        <v>46158</v>
      </c>
      <c r="C214" t="str">
        <f>TEXT(Amazon_Data_Set[[#This Row],[Order Date]],"mmm")</f>
        <v>May</v>
      </c>
      <c r="D214" t="s">
        <v>775</v>
      </c>
      <c r="E214" t="s">
        <v>194</v>
      </c>
      <c r="F214" t="s">
        <v>195</v>
      </c>
      <c r="G214" t="s">
        <v>111</v>
      </c>
      <c r="H214" t="s">
        <v>55</v>
      </c>
      <c r="I214" t="s">
        <v>56</v>
      </c>
      <c r="J214" t="s">
        <v>582</v>
      </c>
      <c r="K214" t="s">
        <v>583</v>
      </c>
      <c r="L214" t="s">
        <v>776</v>
      </c>
      <c r="M214" t="s">
        <v>106</v>
      </c>
      <c r="N214" t="s">
        <v>95</v>
      </c>
      <c r="O214" t="s">
        <v>45</v>
      </c>
      <c r="P214">
        <v>3</v>
      </c>
      <c r="Q214">
        <v>23883.66</v>
      </c>
      <c r="R214" s="19">
        <v>0</v>
      </c>
      <c r="S214" s="21">
        <v>0</v>
      </c>
      <c r="T214">
        <v>71650.98</v>
      </c>
      <c r="U214" s="2">
        <v>71650.98</v>
      </c>
      <c r="V214">
        <v>198.7</v>
      </c>
      <c r="W214">
        <v>51869.38</v>
      </c>
      <c r="X214" s="2">
        <v>19582.900000000001</v>
      </c>
      <c r="Y214">
        <v>0.27329999999999999</v>
      </c>
      <c r="Z214">
        <v>4</v>
      </c>
      <c r="AA214" t="s">
        <v>46</v>
      </c>
      <c r="AB214" t="s">
        <v>47</v>
      </c>
      <c r="AD214">
        <v>4</v>
      </c>
      <c r="AE214" s="2">
        <v>68307.5</v>
      </c>
      <c r="AF214">
        <v>1.0488999999999999</v>
      </c>
      <c r="AG214" t="s">
        <v>49</v>
      </c>
      <c r="AH214" s="23">
        <f>SUM(Amazon_Data_Set[[#This Row],[Gross Sales]]-Amazon_Data_Set[[#This Row],[Discount Amount]])</f>
        <v>71650.98</v>
      </c>
    </row>
    <row r="215" spans="1:34">
      <c r="A215" t="s">
        <v>777</v>
      </c>
      <c r="B215" s="1">
        <v>46123</v>
      </c>
      <c r="C215" t="str">
        <f>TEXT(Amazon_Data_Set[[#This Row],[Order Date]],"mmm")</f>
        <v>Apr</v>
      </c>
      <c r="D215" t="s">
        <v>569</v>
      </c>
      <c r="E215" t="s">
        <v>80</v>
      </c>
      <c r="F215" t="s">
        <v>81</v>
      </c>
      <c r="G215" t="s">
        <v>82</v>
      </c>
      <c r="H215" t="s">
        <v>83</v>
      </c>
      <c r="I215" t="s">
        <v>188</v>
      </c>
      <c r="J215" t="s">
        <v>475</v>
      </c>
      <c r="K215" t="s">
        <v>476</v>
      </c>
      <c r="L215" t="s">
        <v>778</v>
      </c>
      <c r="M215" t="s">
        <v>43</v>
      </c>
      <c r="N215" t="s">
        <v>124</v>
      </c>
      <c r="O215" t="s">
        <v>96</v>
      </c>
      <c r="P215">
        <v>1</v>
      </c>
      <c r="Q215">
        <v>1666.08</v>
      </c>
      <c r="R215" s="19">
        <v>0.3</v>
      </c>
      <c r="S215" s="21">
        <v>499.82</v>
      </c>
      <c r="T215">
        <v>1666.08</v>
      </c>
      <c r="U215" s="2">
        <v>1166.26</v>
      </c>
      <c r="V215">
        <v>187.75</v>
      </c>
      <c r="W215">
        <v>847.14</v>
      </c>
      <c r="X215" s="2">
        <v>131.37</v>
      </c>
      <c r="Y215">
        <v>0.11260000000000001</v>
      </c>
      <c r="Z215">
        <v>0</v>
      </c>
      <c r="AA215" t="s">
        <v>97</v>
      </c>
      <c r="AB215" t="s">
        <v>47</v>
      </c>
      <c r="AE215" s="2">
        <v>1191.24</v>
      </c>
      <c r="AF215">
        <v>0.97899999999999998</v>
      </c>
      <c r="AG215" t="s">
        <v>49</v>
      </c>
      <c r="AH215" s="23">
        <f>SUM(Amazon_Data_Set[[#This Row],[Gross Sales]]-Amazon_Data_Set[[#This Row],[Discount Amount]])</f>
        <v>1166.26</v>
      </c>
    </row>
    <row r="216" spans="1:34">
      <c r="A216" t="s">
        <v>779</v>
      </c>
      <c r="B216" s="1">
        <v>46288</v>
      </c>
      <c r="C216" t="str">
        <f>TEXT(Amazon_Data_Set[[#This Row],[Order Date]],"mmm")</f>
        <v>Sep</v>
      </c>
      <c r="D216" t="s">
        <v>780</v>
      </c>
      <c r="E216" t="s">
        <v>118</v>
      </c>
      <c r="F216" t="s">
        <v>119</v>
      </c>
      <c r="G216" t="s">
        <v>82</v>
      </c>
      <c r="H216" t="s">
        <v>55</v>
      </c>
      <c r="I216" t="s">
        <v>56</v>
      </c>
      <c r="J216" t="s">
        <v>582</v>
      </c>
      <c r="K216" t="s">
        <v>583</v>
      </c>
      <c r="L216" t="s">
        <v>781</v>
      </c>
      <c r="M216" t="s">
        <v>43</v>
      </c>
      <c r="N216" t="s">
        <v>70</v>
      </c>
      <c r="O216" t="s">
        <v>96</v>
      </c>
      <c r="P216">
        <v>1</v>
      </c>
      <c r="Q216">
        <v>43910.27</v>
      </c>
      <c r="R216" s="19">
        <v>0.25</v>
      </c>
      <c r="S216" s="21">
        <v>10977.57</v>
      </c>
      <c r="T216">
        <v>43910.27</v>
      </c>
      <c r="U216" s="2">
        <v>32932.699999999997</v>
      </c>
      <c r="V216">
        <v>113.79</v>
      </c>
      <c r="W216">
        <v>22157.73</v>
      </c>
      <c r="X216" s="2">
        <v>10661.18</v>
      </c>
      <c r="Y216">
        <v>0.32369999999999999</v>
      </c>
      <c r="Z216">
        <v>0</v>
      </c>
      <c r="AA216" t="s">
        <v>97</v>
      </c>
      <c r="AB216" t="s">
        <v>47</v>
      </c>
      <c r="AE216" s="2">
        <v>40290.449999999997</v>
      </c>
      <c r="AF216">
        <v>0.81740000000000002</v>
      </c>
      <c r="AG216" t="s">
        <v>49</v>
      </c>
      <c r="AH216" s="23">
        <f>SUM(Amazon_Data_Set[[#This Row],[Gross Sales]]-Amazon_Data_Set[[#This Row],[Discount Amount]])</f>
        <v>32932.699999999997</v>
      </c>
    </row>
    <row r="217" spans="1:34">
      <c r="A217" t="s">
        <v>782</v>
      </c>
      <c r="B217" s="1">
        <v>46208</v>
      </c>
      <c r="C217" t="str">
        <f>TEXT(Amazon_Data_Set[[#This Row],[Order Date]],"mmm")</f>
        <v>Jul</v>
      </c>
      <c r="D217" t="s">
        <v>423</v>
      </c>
      <c r="E217" t="s">
        <v>100</v>
      </c>
      <c r="F217" t="s">
        <v>101</v>
      </c>
      <c r="G217" t="s">
        <v>54</v>
      </c>
      <c r="H217" t="s">
        <v>90</v>
      </c>
      <c r="I217" t="s">
        <v>112</v>
      </c>
      <c r="J217" t="s">
        <v>292</v>
      </c>
      <c r="K217" t="s">
        <v>293</v>
      </c>
      <c r="L217" t="s">
        <v>783</v>
      </c>
      <c r="M217" t="s">
        <v>106</v>
      </c>
      <c r="N217" t="s">
        <v>124</v>
      </c>
      <c r="O217" t="s">
        <v>130</v>
      </c>
      <c r="P217">
        <v>1</v>
      </c>
      <c r="Q217">
        <v>1673.15</v>
      </c>
      <c r="R217" s="19">
        <v>0.2</v>
      </c>
      <c r="S217" s="21">
        <v>334.63</v>
      </c>
      <c r="T217">
        <v>1673.15</v>
      </c>
      <c r="U217" s="2">
        <v>1338.52</v>
      </c>
      <c r="V217">
        <v>68.14</v>
      </c>
      <c r="W217">
        <v>645.04</v>
      </c>
      <c r="X217" s="2">
        <v>625.34</v>
      </c>
      <c r="Y217">
        <v>0.4672</v>
      </c>
      <c r="Z217">
        <v>6</v>
      </c>
      <c r="AA217" t="s">
        <v>131</v>
      </c>
      <c r="AB217" t="s">
        <v>47</v>
      </c>
      <c r="AE217" s="2">
        <v>1146.32</v>
      </c>
      <c r="AF217">
        <v>1.1677</v>
      </c>
      <c r="AG217" t="s">
        <v>347</v>
      </c>
      <c r="AH217" s="23">
        <f>SUM(Amazon_Data_Set[[#This Row],[Gross Sales]]-Amazon_Data_Set[[#This Row],[Discount Amount]])</f>
        <v>1338.52</v>
      </c>
    </row>
    <row r="218" spans="1:34">
      <c r="A218" t="s">
        <v>784</v>
      </c>
      <c r="B218" s="1">
        <v>46292</v>
      </c>
      <c r="C218" t="str">
        <f>TEXT(Amazon_Data_Set[[#This Row],[Order Date]],"mmm")</f>
        <v>Sep</v>
      </c>
      <c r="D218" t="s">
        <v>429</v>
      </c>
      <c r="E218" t="s">
        <v>80</v>
      </c>
      <c r="F218" t="s">
        <v>81</v>
      </c>
      <c r="G218" t="s">
        <v>82</v>
      </c>
      <c r="H218" t="s">
        <v>55</v>
      </c>
      <c r="I218" t="s">
        <v>73</v>
      </c>
      <c r="J218" t="s">
        <v>230</v>
      </c>
      <c r="K218" t="s">
        <v>231</v>
      </c>
      <c r="L218" t="s">
        <v>785</v>
      </c>
      <c r="M218" t="s">
        <v>43</v>
      </c>
      <c r="N218" t="s">
        <v>70</v>
      </c>
      <c r="O218" t="s">
        <v>45</v>
      </c>
      <c r="P218">
        <v>3</v>
      </c>
      <c r="Q218">
        <v>40752.230000000003</v>
      </c>
      <c r="R218" s="19">
        <v>0.15</v>
      </c>
      <c r="S218" s="21">
        <v>18338.5</v>
      </c>
      <c r="T218">
        <v>122256.69</v>
      </c>
      <c r="U218" s="2">
        <v>103918.19</v>
      </c>
      <c r="V218">
        <v>36.659999999999997</v>
      </c>
      <c r="W218">
        <v>62849.89</v>
      </c>
      <c r="X218" s="2">
        <v>41031.64</v>
      </c>
      <c r="Y218">
        <v>0.39479999999999998</v>
      </c>
      <c r="Z218">
        <v>1</v>
      </c>
      <c r="AA218" t="s">
        <v>46</v>
      </c>
      <c r="AB218" t="s">
        <v>47</v>
      </c>
      <c r="AD218">
        <v>3</v>
      </c>
      <c r="AE218" s="2">
        <v>96032.82</v>
      </c>
      <c r="AF218">
        <v>1.0821000000000001</v>
      </c>
      <c r="AG218" t="s">
        <v>49</v>
      </c>
      <c r="AH218" s="23">
        <f>SUM(Amazon_Data_Set[[#This Row],[Gross Sales]]-Amazon_Data_Set[[#This Row],[Discount Amount]])</f>
        <v>103918.19</v>
      </c>
    </row>
    <row r="219" spans="1:34">
      <c r="A219" t="s">
        <v>786</v>
      </c>
      <c r="B219" s="1">
        <v>46250</v>
      </c>
      <c r="C219" t="str">
        <f>TEXT(Amazon_Data_Set[[#This Row],[Order Date]],"mmm")</f>
        <v>Aug</v>
      </c>
      <c r="D219" t="s">
        <v>787</v>
      </c>
      <c r="E219" t="s">
        <v>109</v>
      </c>
      <c r="F219" t="s">
        <v>110</v>
      </c>
      <c r="G219" t="s">
        <v>111</v>
      </c>
      <c r="H219" t="s">
        <v>55</v>
      </c>
      <c r="I219" t="s">
        <v>73</v>
      </c>
      <c r="J219" t="s">
        <v>387</v>
      </c>
      <c r="K219" t="s">
        <v>388</v>
      </c>
      <c r="L219" t="s">
        <v>788</v>
      </c>
      <c r="M219" t="s">
        <v>106</v>
      </c>
      <c r="N219" t="s">
        <v>44</v>
      </c>
      <c r="O219" t="s">
        <v>45</v>
      </c>
      <c r="P219">
        <v>2</v>
      </c>
      <c r="Q219">
        <v>50985.57</v>
      </c>
      <c r="R219" s="19">
        <v>0</v>
      </c>
      <c r="S219" s="21">
        <v>0</v>
      </c>
      <c r="T219">
        <v>101971.14</v>
      </c>
      <c r="U219" s="2">
        <v>101971.14</v>
      </c>
      <c r="V219">
        <v>148.47999999999999</v>
      </c>
      <c r="W219">
        <v>72482.67</v>
      </c>
      <c r="X219" s="2">
        <v>29339.99</v>
      </c>
      <c r="Y219">
        <v>0.28770000000000001</v>
      </c>
      <c r="Z219">
        <v>2</v>
      </c>
      <c r="AA219" t="s">
        <v>46</v>
      </c>
      <c r="AB219" t="s">
        <v>47</v>
      </c>
      <c r="AD219">
        <v>4</v>
      </c>
      <c r="AE219" s="2">
        <v>99110</v>
      </c>
      <c r="AF219">
        <v>1.0288999999999999</v>
      </c>
      <c r="AG219" t="s">
        <v>49</v>
      </c>
      <c r="AH219" s="23">
        <f>SUM(Amazon_Data_Set[[#This Row],[Gross Sales]]-Amazon_Data_Set[[#This Row],[Discount Amount]])</f>
        <v>101971.14</v>
      </c>
    </row>
    <row r="220" spans="1:34">
      <c r="A220" t="s">
        <v>789</v>
      </c>
      <c r="B220" s="1">
        <v>46360</v>
      </c>
      <c r="C220" t="str">
        <f>TEXT(Amazon_Data_Set[[#This Row],[Order Date]],"mmm")</f>
        <v>Dec</v>
      </c>
      <c r="D220" t="s">
        <v>790</v>
      </c>
      <c r="E220" t="s">
        <v>149</v>
      </c>
      <c r="F220" t="s">
        <v>150</v>
      </c>
      <c r="G220" t="s">
        <v>37</v>
      </c>
      <c r="H220" t="s">
        <v>83</v>
      </c>
      <c r="I220" t="s">
        <v>102</v>
      </c>
      <c r="J220" t="s">
        <v>103</v>
      </c>
      <c r="K220" t="s">
        <v>104</v>
      </c>
      <c r="L220" t="s">
        <v>791</v>
      </c>
      <c r="M220" t="s">
        <v>106</v>
      </c>
      <c r="N220" t="s">
        <v>70</v>
      </c>
      <c r="O220" t="s">
        <v>45</v>
      </c>
      <c r="P220">
        <v>5</v>
      </c>
      <c r="Q220">
        <v>574.70000000000005</v>
      </c>
      <c r="R220" s="19">
        <v>0</v>
      </c>
      <c r="S220" s="21">
        <v>0</v>
      </c>
      <c r="T220">
        <v>2873.5</v>
      </c>
      <c r="U220" s="2">
        <v>2873.5</v>
      </c>
      <c r="V220">
        <v>117.95</v>
      </c>
      <c r="W220">
        <v>2079.8000000000002</v>
      </c>
      <c r="X220" s="2">
        <v>675.75</v>
      </c>
      <c r="Y220">
        <v>0.23519999999999999</v>
      </c>
      <c r="Z220">
        <v>8</v>
      </c>
      <c r="AA220" t="s">
        <v>61</v>
      </c>
      <c r="AB220" t="s">
        <v>47</v>
      </c>
      <c r="AD220">
        <v>5</v>
      </c>
      <c r="AE220" s="2">
        <v>2734.84</v>
      </c>
      <c r="AF220">
        <v>1.0507</v>
      </c>
      <c r="AG220" t="s">
        <v>49</v>
      </c>
      <c r="AH220" s="23">
        <f>SUM(Amazon_Data_Set[[#This Row],[Gross Sales]]-Amazon_Data_Set[[#This Row],[Discount Amount]])</f>
        <v>2873.5</v>
      </c>
    </row>
    <row r="221" spans="1:34">
      <c r="A221" t="s">
        <v>792</v>
      </c>
      <c r="B221" s="1">
        <v>46185</v>
      </c>
      <c r="C221" t="str">
        <f>TEXT(Amazon_Data_Set[[#This Row],[Order Date]],"mmm")</f>
        <v>Jun</v>
      </c>
      <c r="D221" t="s">
        <v>793</v>
      </c>
      <c r="E221" t="s">
        <v>275</v>
      </c>
      <c r="F221" t="s">
        <v>276</v>
      </c>
      <c r="G221" t="s">
        <v>37</v>
      </c>
      <c r="H221" t="s">
        <v>83</v>
      </c>
      <c r="I221" t="s">
        <v>188</v>
      </c>
      <c r="J221" t="s">
        <v>189</v>
      </c>
      <c r="K221" t="s">
        <v>190</v>
      </c>
      <c r="L221" t="s">
        <v>794</v>
      </c>
      <c r="M221" t="s">
        <v>106</v>
      </c>
      <c r="N221" t="s">
        <v>95</v>
      </c>
      <c r="O221" t="s">
        <v>45</v>
      </c>
      <c r="P221">
        <v>3</v>
      </c>
      <c r="Q221">
        <v>1002.86</v>
      </c>
      <c r="R221" s="19">
        <v>0.2</v>
      </c>
      <c r="S221" s="21">
        <v>601.72</v>
      </c>
      <c r="T221">
        <v>3008.58</v>
      </c>
      <c r="U221" s="2">
        <v>2406.86</v>
      </c>
      <c r="V221">
        <v>191.1</v>
      </c>
      <c r="W221">
        <v>1255.83</v>
      </c>
      <c r="X221" s="2">
        <v>959.93</v>
      </c>
      <c r="Y221">
        <v>0.39879999999999999</v>
      </c>
      <c r="Z221">
        <v>7</v>
      </c>
      <c r="AA221" t="s">
        <v>61</v>
      </c>
      <c r="AB221" t="s">
        <v>47</v>
      </c>
      <c r="AD221">
        <v>5</v>
      </c>
      <c r="AE221" s="2">
        <v>2999.72</v>
      </c>
      <c r="AF221">
        <v>0.8024</v>
      </c>
      <c r="AG221" t="s">
        <v>49</v>
      </c>
      <c r="AH221" s="23">
        <f>SUM(Amazon_Data_Set[[#This Row],[Gross Sales]]-Amazon_Data_Set[[#This Row],[Discount Amount]])</f>
        <v>2406.8599999999997</v>
      </c>
    </row>
    <row r="222" spans="1:34">
      <c r="A222" t="s">
        <v>795</v>
      </c>
      <c r="B222" s="1">
        <v>46319</v>
      </c>
      <c r="C222" t="str">
        <f>TEXT(Amazon_Data_Set[[#This Row],[Order Date]],"mmm")</f>
        <v>Oct</v>
      </c>
      <c r="D222" t="s">
        <v>796</v>
      </c>
      <c r="E222" t="s">
        <v>109</v>
      </c>
      <c r="F222" t="s">
        <v>154</v>
      </c>
      <c r="G222" t="s">
        <v>111</v>
      </c>
      <c r="H222" t="s">
        <v>38</v>
      </c>
      <c r="I222" t="s">
        <v>66</v>
      </c>
      <c r="J222" t="s">
        <v>318</v>
      </c>
      <c r="K222" t="s">
        <v>282</v>
      </c>
      <c r="L222" t="s">
        <v>797</v>
      </c>
      <c r="M222" t="s">
        <v>106</v>
      </c>
      <c r="N222" t="s">
        <v>44</v>
      </c>
      <c r="O222" t="s">
        <v>45</v>
      </c>
      <c r="P222">
        <v>1</v>
      </c>
      <c r="Q222">
        <v>731.1</v>
      </c>
      <c r="R222" s="19">
        <v>0.05</v>
      </c>
      <c r="S222" s="21">
        <v>36.549999999999997</v>
      </c>
      <c r="T222">
        <v>731.1</v>
      </c>
      <c r="U222" s="2">
        <v>694.55</v>
      </c>
      <c r="V222">
        <v>124.4</v>
      </c>
      <c r="W222">
        <v>446.75</v>
      </c>
      <c r="X222" s="2">
        <v>123.4</v>
      </c>
      <c r="Y222">
        <v>0.1777</v>
      </c>
      <c r="Z222">
        <v>4</v>
      </c>
      <c r="AA222" t="s">
        <v>46</v>
      </c>
      <c r="AB222" t="s">
        <v>47</v>
      </c>
      <c r="AD222">
        <v>3</v>
      </c>
      <c r="AE222" s="2">
        <v>820.08</v>
      </c>
      <c r="AF222">
        <v>0.84689999999999999</v>
      </c>
      <c r="AG222" t="s">
        <v>49</v>
      </c>
      <c r="AH222" s="23">
        <f>SUM(Amazon_Data_Set[[#This Row],[Gross Sales]]-Amazon_Data_Set[[#This Row],[Discount Amount]])</f>
        <v>694.55000000000007</v>
      </c>
    </row>
    <row r="223" spans="1:34">
      <c r="A223" t="s">
        <v>798</v>
      </c>
      <c r="B223" s="1">
        <v>46206</v>
      </c>
      <c r="C223" t="str">
        <f>TEXT(Amazon_Data_Set[[#This Row],[Order Date]],"mmm")</f>
        <v>Jul</v>
      </c>
      <c r="D223" t="s">
        <v>799</v>
      </c>
      <c r="E223" t="s">
        <v>109</v>
      </c>
      <c r="F223" t="s">
        <v>110</v>
      </c>
      <c r="G223" t="s">
        <v>111</v>
      </c>
      <c r="H223" t="s">
        <v>55</v>
      </c>
      <c r="I223" t="s">
        <v>56</v>
      </c>
      <c r="J223" t="s">
        <v>366</v>
      </c>
      <c r="K223" t="s">
        <v>367</v>
      </c>
      <c r="L223" t="s">
        <v>800</v>
      </c>
      <c r="M223" t="s">
        <v>43</v>
      </c>
      <c r="N223" t="s">
        <v>44</v>
      </c>
      <c r="O223" t="s">
        <v>45</v>
      </c>
      <c r="P223">
        <v>4</v>
      </c>
      <c r="Q223">
        <v>808.55</v>
      </c>
      <c r="R223" s="19">
        <v>0.15</v>
      </c>
      <c r="S223" s="21">
        <v>485.13</v>
      </c>
      <c r="T223">
        <v>3234.2</v>
      </c>
      <c r="U223" s="2">
        <v>2749.07</v>
      </c>
      <c r="V223">
        <v>213.45</v>
      </c>
      <c r="W223">
        <v>1351.89</v>
      </c>
      <c r="X223" s="2">
        <v>1183.73</v>
      </c>
      <c r="Y223">
        <v>0.43059999999999998</v>
      </c>
      <c r="Z223">
        <v>2</v>
      </c>
      <c r="AA223" t="s">
        <v>46</v>
      </c>
      <c r="AB223" t="s">
        <v>47</v>
      </c>
      <c r="AD223">
        <v>5</v>
      </c>
      <c r="AE223" s="2">
        <v>2494</v>
      </c>
      <c r="AF223">
        <v>1.1023000000000001</v>
      </c>
      <c r="AG223" t="s">
        <v>49</v>
      </c>
      <c r="AH223" s="23">
        <f>SUM(Amazon_Data_Set[[#This Row],[Gross Sales]]-Amazon_Data_Set[[#This Row],[Discount Amount]])</f>
        <v>2749.0699999999997</v>
      </c>
    </row>
    <row r="224" spans="1:34">
      <c r="A224" t="s">
        <v>801</v>
      </c>
      <c r="B224" s="1">
        <v>46229</v>
      </c>
      <c r="C224" t="str">
        <f>TEXT(Amazon_Data_Set[[#This Row],[Order Date]],"mmm")</f>
        <v>Jul</v>
      </c>
      <c r="D224" t="s">
        <v>802</v>
      </c>
      <c r="E224" t="s">
        <v>52</v>
      </c>
      <c r="F224" t="s">
        <v>53</v>
      </c>
      <c r="G224" t="s">
        <v>54</v>
      </c>
      <c r="H224" t="s">
        <v>55</v>
      </c>
      <c r="I224" t="s">
        <v>73</v>
      </c>
      <c r="J224" t="s">
        <v>74</v>
      </c>
      <c r="K224" t="s">
        <v>75</v>
      </c>
      <c r="L224" t="s">
        <v>803</v>
      </c>
      <c r="M224" t="s">
        <v>43</v>
      </c>
      <c r="N224" t="s">
        <v>95</v>
      </c>
      <c r="O224" t="s">
        <v>45</v>
      </c>
      <c r="P224">
        <v>5</v>
      </c>
      <c r="Q224">
        <v>5006.92</v>
      </c>
      <c r="R224" s="19">
        <v>0.25</v>
      </c>
      <c r="S224" s="21">
        <v>6258.65</v>
      </c>
      <c r="T224">
        <v>25034.6</v>
      </c>
      <c r="U224" s="2">
        <v>18775.95</v>
      </c>
      <c r="V224">
        <v>215.49</v>
      </c>
      <c r="W224">
        <v>10284.58</v>
      </c>
      <c r="X224" s="2">
        <v>8275.8799999999992</v>
      </c>
      <c r="Y224">
        <v>0.44080000000000003</v>
      </c>
      <c r="Z224">
        <v>7</v>
      </c>
      <c r="AA224" t="s">
        <v>61</v>
      </c>
      <c r="AB224" t="s">
        <v>47</v>
      </c>
      <c r="AD224">
        <v>5</v>
      </c>
      <c r="AE224" s="2">
        <v>17861.07</v>
      </c>
      <c r="AF224">
        <v>1.0511999999999999</v>
      </c>
      <c r="AG224" t="s">
        <v>49</v>
      </c>
      <c r="AH224" s="23">
        <f>SUM(Amazon_Data_Set[[#This Row],[Gross Sales]]-Amazon_Data_Set[[#This Row],[Discount Amount]])</f>
        <v>18775.949999999997</v>
      </c>
    </row>
    <row r="225" spans="1:34">
      <c r="A225" t="s">
        <v>804</v>
      </c>
      <c r="B225" s="1">
        <v>46189</v>
      </c>
      <c r="C225" t="str">
        <f>TEXT(Amazon_Data_Set[[#This Row],[Order Date]],"mmm")</f>
        <v>Jun</v>
      </c>
      <c r="D225" t="s">
        <v>307</v>
      </c>
      <c r="E225" t="s">
        <v>64</v>
      </c>
      <c r="F225" t="s">
        <v>65</v>
      </c>
      <c r="G225" t="s">
        <v>54</v>
      </c>
      <c r="H225" t="s">
        <v>38</v>
      </c>
      <c r="I225" t="s">
        <v>39</v>
      </c>
      <c r="J225" t="s">
        <v>40</v>
      </c>
      <c r="K225" t="s">
        <v>41</v>
      </c>
      <c r="L225" t="s">
        <v>805</v>
      </c>
      <c r="M225" t="s">
        <v>43</v>
      </c>
      <c r="N225" t="s">
        <v>44</v>
      </c>
      <c r="O225" t="s">
        <v>45</v>
      </c>
      <c r="P225">
        <v>2</v>
      </c>
      <c r="Q225">
        <v>1362.89</v>
      </c>
      <c r="R225" s="19">
        <v>0</v>
      </c>
      <c r="S225" s="21">
        <v>0</v>
      </c>
      <c r="T225">
        <v>2725.78</v>
      </c>
      <c r="U225" s="2">
        <v>2725.78</v>
      </c>
      <c r="V225">
        <v>6.79</v>
      </c>
      <c r="W225">
        <v>1549.95</v>
      </c>
      <c r="X225" s="2">
        <v>1169.04</v>
      </c>
      <c r="Y225">
        <v>0.4289</v>
      </c>
      <c r="Z225">
        <v>3</v>
      </c>
      <c r="AA225" t="s">
        <v>46</v>
      </c>
      <c r="AB225" t="s">
        <v>47</v>
      </c>
      <c r="AD225">
        <v>3</v>
      </c>
      <c r="AE225" s="2">
        <v>3044.67</v>
      </c>
      <c r="AF225">
        <v>0.89529999999999998</v>
      </c>
      <c r="AG225" t="s">
        <v>49</v>
      </c>
      <c r="AH225" s="23">
        <f>SUM(Amazon_Data_Set[[#This Row],[Gross Sales]]-Amazon_Data_Set[[#This Row],[Discount Amount]])</f>
        <v>2725.78</v>
      </c>
    </row>
    <row r="226" spans="1:34">
      <c r="A226" t="s">
        <v>806</v>
      </c>
      <c r="B226" s="1">
        <v>46241</v>
      </c>
      <c r="C226" t="str">
        <f>TEXT(Amazon_Data_Set[[#This Row],[Order Date]],"mmm")</f>
        <v>Aug</v>
      </c>
      <c r="D226" t="s">
        <v>761</v>
      </c>
      <c r="E226" t="s">
        <v>194</v>
      </c>
      <c r="F226" t="s">
        <v>195</v>
      </c>
      <c r="G226" t="s">
        <v>111</v>
      </c>
      <c r="H226" t="s">
        <v>38</v>
      </c>
      <c r="I226" t="s">
        <v>161</v>
      </c>
      <c r="J226" t="s">
        <v>223</v>
      </c>
      <c r="K226" t="s">
        <v>224</v>
      </c>
      <c r="L226" t="s">
        <v>807</v>
      </c>
      <c r="M226" t="s">
        <v>106</v>
      </c>
      <c r="N226" t="s">
        <v>70</v>
      </c>
      <c r="O226" t="s">
        <v>130</v>
      </c>
      <c r="P226">
        <v>1</v>
      </c>
      <c r="Q226">
        <v>463.3</v>
      </c>
      <c r="R226" s="19">
        <v>0.25</v>
      </c>
      <c r="S226" s="21">
        <v>115.83</v>
      </c>
      <c r="T226">
        <v>463.3</v>
      </c>
      <c r="U226" s="2">
        <v>347.47</v>
      </c>
      <c r="V226">
        <v>116.94</v>
      </c>
      <c r="W226">
        <v>169.37</v>
      </c>
      <c r="X226" s="2">
        <v>61.16</v>
      </c>
      <c r="Y226">
        <v>0.17599999999999999</v>
      </c>
      <c r="Z226">
        <v>5</v>
      </c>
      <c r="AA226" t="s">
        <v>131</v>
      </c>
      <c r="AB226" t="s">
        <v>47</v>
      </c>
      <c r="AE226" s="2">
        <v>375.68</v>
      </c>
      <c r="AF226">
        <v>0.92490000000000006</v>
      </c>
      <c r="AG226" t="s">
        <v>49</v>
      </c>
      <c r="AH226" s="23">
        <f>SUM(Amazon_Data_Set[[#This Row],[Gross Sales]]-Amazon_Data_Set[[#This Row],[Discount Amount]])</f>
        <v>347.47</v>
      </c>
    </row>
    <row r="227" spans="1:34">
      <c r="A227" t="s">
        <v>808</v>
      </c>
      <c r="B227" s="1">
        <v>46189</v>
      </c>
      <c r="C227" t="str">
        <f>TEXT(Amazon_Data_Set[[#This Row],[Order Date]],"mmm")</f>
        <v>Jun</v>
      </c>
      <c r="D227" t="s">
        <v>372</v>
      </c>
      <c r="E227" t="s">
        <v>275</v>
      </c>
      <c r="F227" t="s">
        <v>276</v>
      </c>
      <c r="G227" t="s">
        <v>37</v>
      </c>
      <c r="H227" t="s">
        <v>38</v>
      </c>
      <c r="I227" t="s">
        <v>66</v>
      </c>
      <c r="J227" t="s">
        <v>318</v>
      </c>
      <c r="K227" t="s">
        <v>282</v>
      </c>
      <c r="L227" t="s">
        <v>809</v>
      </c>
      <c r="M227" t="s">
        <v>43</v>
      </c>
      <c r="N227" t="s">
        <v>95</v>
      </c>
      <c r="O227" t="s">
        <v>45</v>
      </c>
      <c r="P227">
        <v>2</v>
      </c>
      <c r="Q227">
        <v>2050.36</v>
      </c>
      <c r="R227" s="19">
        <v>0</v>
      </c>
      <c r="S227" s="21">
        <v>0</v>
      </c>
      <c r="T227">
        <v>4100.72</v>
      </c>
      <c r="U227" s="2">
        <v>4100.72</v>
      </c>
      <c r="V227">
        <v>15.19</v>
      </c>
      <c r="W227">
        <v>2355.31</v>
      </c>
      <c r="X227" s="2">
        <v>1730.22</v>
      </c>
      <c r="Y227">
        <v>0.4219</v>
      </c>
      <c r="Z227">
        <v>6</v>
      </c>
      <c r="AA227" t="s">
        <v>61</v>
      </c>
      <c r="AB227" t="s">
        <v>47</v>
      </c>
      <c r="AD227">
        <v>4</v>
      </c>
      <c r="AE227" s="2">
        <v>4749.09</v>
      </c>
      <c r="AF227">
        <v>0.86350000000000005</v>
      </c>
      <c r="AG227" t="s">
        <v>49</v>
      </c>
      <c r="AH227" s="23">
        <f>SUM(Amazon_Data_Set[[#This Row],[Gross Sales]]-Amazon_Data_Set[[#This Row],[Discount Amount]])</f>
        <v>4100.72</v>
      </c>
    </row>
    <row r="228" spans="1:34">
      <c r="A228" t="s">
        <v>810</v>
      </c>
      <c r="B228" s="1">
        <v>46170</v>
      </c>
      <c r="C228" t="str">
        <f>TEXT(Amazon_Data_Set[[#This Row],[Order Date]],"mmm")</f>
        <v>May</v>
      </c>
      <c r="D228" t="s">
        <v>811</v>
      </c>
      <c r="E228" t="s">
        <v>140</v>
      </c>
      <c r="F228" t="s">
        <v>141</v>
      </c>
      <c r="G228" t="s">
        <v>54</v>
      </c>
      <c r="H228" t="s">
        <v>83</v>
      </c>
      <c r="I228" t="s">
        <v>102</v>
      </c>
      <c r="J228" t="s">
        <v>373</v>
      </c>
      <c r="K228" t="s">
        <v>374</v>
      </c>
      <c r="L228" t="s">
        <v>812</v>
      </c>
      <c r="M228" t="s">
        <v>106</v>
      </c>
      <c r="N228" t="s">
        <v>70</v>
      </c>
      <c r="O228" t="s">
        <v>45</v>
      </c>
      <c r="P228">
        <v>5</v>
      </c>
      <c r="Q228">
        <v>1301.32</v>
      </c>
      <c r="R228" s="19">
        <v>0</v>
      </c>
      <c r="S228" s="21">
        <v>0</v>
      </c>
      <c r="T228">
        <v>6506.6</v>
      </c>
      <c r="U228" s="2">
        <v>6506.6</v>
      </c>
      <c r="V228">
        <v>43.65</v>
      </c>
      <c r="W228">
        <v>3743.57</v>
      </c>
      <c r="X228" s="2">
        <v>2719.38</v>
      </c>
      <c r="Y228">
        <v>0.41789999999999999</v>
      </c>
      <c r="Z228">
        <v>8</v>
      </c>
      <c r="AA228" t="s">
        <v>61</v>
      </c>
      <c r="AB228" t="s">
        <v>47</v>
      </c>
      <c r="AD228">
        <v>4</v>
      </c>
      <c r="AE228" s="2">
        <v>6493.61</v>
      </c>
      <c r="AF228">
        <v>1.002</v>
      </c>
      <c r="AG228" t="s">
        <v>49</v>
      </c>
      <c r="AH228" s="23">
        <f>SUM(Amazon_Data_Set[[#This Row],[Gross Sales]]-Amazon_Data_Set[[#This Row],[Discount Amount]])</f>
        <v>6506.6</v>
      </c>
    </row>
    <row r="229" spans="1:34">
      <c r="A229" t="s">
        <v>813</v>
      </c>
      <c r="B229" s="1">
        <v>46039</v>
      </c>
      <c r="C229" t="str">
        <f>TEXT(Amazon_Data_Set[[#This Row],[Order Date]],"mmm")</f>
        <v>Jan</v>
      </c>
      <c r="D229" t="s">
        <v>814</v>
      </c>
      <c r="E229" t="s">
        <v>235</v>
      </c>
      <c r="F229" t="s">
        <v>236</v>
      </c>
      <c r="G229" t="s">
        <v>82</v>
      </c>
      <c r="H229" t="s">
        <v>38</v>
      </c>
      <c r="I229" t="s">
        <v>66</v>
      </c>
      <c r="J229" t="s">
        <v>67</v>
      </c>
      <c r="K229" t="s">
        <v>68</v>
      </c>
      <c r="L229" t="s">
        <v>815</v>
      </c>
      <c r="M229" t="s">
        <v>43</v>
      </c>
      <c r="N229" t="s">
        <v>70</v>
      </c>
      <c r="O229" t="s">
        <v>130</v>
      </c>
      <c r="P229">
        <v>4</v>
      </c>
      <c r="Q229">
        <v>1379.63</v>
      </c>
      <c r="R229" s="19">
        <v>0</v>
      </c>
      <c r="S229" s="21">
        <v>0</v>
      </c>
      <c r="T229">
        <v>5518.52</v>
      </c>
      <c r="U229" s="2">
        <v>5518.52</v>
      </c>
      <c r="V229">
        <v>112.14</v>
      </c>
      <c r="W229">
        <v>2962.57</v>
      </c>
      <c r="X229" s="2">
        <v>2443.81</v>
      </c>
      <c r="Y229">
        <v>0.44280000000000003</v>
      </c>
      <c r="Z229">
        <v>4</v>
      </c>
      <c r="AA229" t="s">
        <v>131</v>
      </c>
      <c r="AB229" t="s">
        <v>47</v>
      </c>
      <c r="AE229" s="2">
        <v>6380.39</v>
      </c>
      <c r="AF229">
        <v>0.8649</v>
      </c>
      <c r="AG229" t="s">
        <v>347</v>
      </c>
      <c r="AH229" s="23">
        <f>SUM(Amazon_Data_Set[[#This Row],[Gross Sales]]-Amazon_Data_Set[[#This Row],[Discount Amount]])</f>
        <v>5518.52</v>
      </c>
    </row>
    <row r="230" spans="1:34">
      <c r="A230" t="s">
        <v>816</v>
      </c>
      <c r="B230" s="1">
        <v>46212</v>
      </c>
      <c r="C230" t="str">
        <f>TEXT(Amazon_Data_Set[[#This Row],[Order Date]],"mmm")</f>
        <v>Jul</v>
      </c>
      <c r="D230" t="s">
        <v>814</v>
      </c>
      <c r="E230" t="s">
        <v>64</v>
      </c>
      <c r="F230" t="s">
        <v>65</v>
      </c>
      <c r="G230" t="s">
        <v>54</v>
      </c>
      <c r="H230" t="s">
        <v>142</v>
      </c>
      <c r="I230" t="s">
        <v>209</v>
      </c>
      <c r="J230" t="s">
        <v>210</v>
      </c>
      <c r="K230" t="s">
        <v>201</v>
      </c>
      <c r="L230" t="s">
        <v>817</v>
      </c>
      <c r="M230" t="s">
        <v>106</v>
      </c>
      <c r="N230" t="s">
        <v>44</v>
      </c>
      <c r="O230" t="s">
        <v>45</v>
      </c>
      <c r="P230">
        <v>2</v>
      </c>
      <c r="Q230">
        <v>3407.85</v>
      </c>
      <c r="R230" s="19">
        <v>0</v>
      </c>
      <c r="S230" s="21">
        <v>0</v>
      </c>
      <c r="T230">
        <v>6815.7</v>
      </c>
      <c r="U230" s="2">
        <v>6815.7</v>
      </c>
      <c r="V230">
        <v>89.54</v>
      </c>
      <c r="W230">
        <v>4378.66</v>
      </c>
      <c r="X230" s="2">
        <v>2347.5</v>
      </c>
      <c r="Y230">
        <v>0.34439999999999998</v>
      </c>
      <c r="Z230">
        <v>7</v>
      </c>
      <c r="AA230" t="s">
        <v>61</v>
      </c>
      <c r="AB230" t="s">
        <v>47</v>
      </c>
      <c r="AD230">
        <v>4</v>
      </c>
      <c r="AE230" s="2">
        <v>6890.51</v>
      </c>
      <c r="AF230">
        <v>0.98909999999999998</v>
      </c>
      <c r="AG230" t="s">
        <v>49</v>
      </c>
      <c r="AH230" s="23">
        <f>SUM(Amazon_Data_Set[[#This Row],[Gross Sales]]-Amazon_Data_Set[[#This Row],[Discount Amount]])</f>
        <v>6815.7</v>
      </c>
    </row>
    <row r="231" spans="1:34">
      <c r="A231" t="s">
        <v>818</v>
      </c>
      <c r="B231" s="1">
        <v>46171</v>
      </c>
      <c r="C231" t="str">
        <f>TEXT(Amazon_Data_Set[[#This Row],[Order Date]],"mmm")</f>
        <v>May</v>
      </c>
      <c r="D231" t="s">
        <v>819</v>
      </c>
      <c r="E231" t="s">
        <v>64</v>
      </c>
      <c r="F231" t="s">
        <v>65</v>
      </c>
      <c r="G231" t="s">
        <v>54</v>
      </c>
      <c r="H231" t="s">
        <v>38</v>
      </c>
      <c r="I231" t="s">
        <v>161</v>
      </c>
      <c r="J231" t="s">
        <v>162</v>
      </c>
      <c r="K231" t="s">
        <v>163</v>
      </c>
      <c r="L231" t="s">
        <v>820</v>
      </c>
      <c r="M231" t="s">
        <v>43</v>
      </c>
      <c r="N231" t="s">
        <v>44</v>
      </c>
      <c r="O231" t="s">
        <v>45</v>
      </c>
      <c r="P231">
        <v>5</v>
      </c>
      <c r="Q231">
        <v>445.77</v>
      </c>
      <c r="R231" s="19">
        <v>0.3</v>
      </c>
      <c r="S231" s="21">
        <v>668.65</v>
      </c>
      <c r="T231">
        <v>2228.85</v>
      </c>
      <c r="U231" s="2">
        <v>1560.2</v>
      </c>
      <c r="V231">
        <v>159.04</v>
      </c>
      <c r="W231">
        <v>1044.22</v>
      </c>
      <c r="X231" s="2">
        <v>356.94</v>
      </c>
      <c r="Y231">
        <v>0.2288</v>
      </c>
      <c r="Z231">
        <v>7</v>
      </c>
      <c r="AA231" t="s">
        <v>61</v>
      </c>
      <c r="AB231" t="s">
        <v>47</v>
      </c>
      <c r="AD231">
        <v>4</v>
      </c>
      <c r="AE231" s="2">
        <v>1801.36</v>
      </c>
      <c r="AF231">
        <v>0.86609999999999998</v>
      </c>
      <c r="AG231" t="s">
        <v>49</v>
      </c>
      <c r="AH231" s="23">
        <f>SUM(Amazon_Data_Set[[#This Row],[Gross Sales]]-Amazon_Data_Set[[#This Row],[Discount Amount]])</f>
        <v>1560.1999999999998</v>
      </c>
    </row>
    <row r="232" spans="1:34">
      <c r="A232" t="s">
        <v>821</v>
      </c>
      <c r="B232" s="1">
        <v>46235</v>
      </c>
      <c r="C232" t="str">
        <f>TEXT(Amazon_Data_Set[[#This Row],[Order Date]],"mmm")</f>
        <v>Aug</v>
      </c>
      <c r="D232" t="s">
        <v>288</v>
      </c>
      <c r="E232" t="s">
        <v>228</v>
      </c>
      <c r="F232" t="s">
        <v>229</v>
      </c>
      <c r="G232" t="s">
        <v>37</v>
      </c>
      <c r="H232" t="s">
        <v>90</v>
      </c>
      <c r="I232" t="s">
        <v>91</v>
      </c>
      <c r="J232" t="s">
        <v>313</v>
      </c>
      <c r="K232" t="s">
        <v>314</v>
      </c>
      <c r="L232" t="s">
        <v>822</v>
      </c>
      <c r="M232" t="s">
        <v>43</v>
      </c>
      <c r="N232" t="s">
        <v>77</v>
      </c>
      <c r="O232" t="s">
        <v>45</v>
      </c>
      <c r="P232">
        <v>2</v>
      </c>
      <c r="Q232">
        <v>1109.31</v>
      </c>
      <c r="R232" s="19">
        <v>0.2</v>
      </c>
      <c r="S232" s="21">
        <v>443.72</v>
      </c>
      <c r="T232">
        <v>2218.62</v>
      </c>
      <c r="U232" s="2">
        <v>1774.9</v>
      </c>
      <c r="V232">
        <v>36.24</v>
      </c>
      <c r="W232">
        <v>1034.07</v>
      </c>
      <c r="X232" s="2">
        <v>704.59</v>
      </c>
      <c r="Y232">
        <v>0.39700000000000002</v>
      </c>
      <c r="Z232">
        <v>6</v>
      </c>
      <c r="AA232" t="s">
        <v>61</v>
      </c>
      <c r="AB232" t="s">
        <v>47</v>
      </c>
      <c r="AD232">
        <v>4</v>
      </c>
      <c r="AE232" s="2">
        <v>1593.2</v>
      </c>
      <c r="AF232">
        <v>1.1140000000000001</v>
      </c>
      <c r="AG232" t="s">
        <v>49</v>
      </c>
      <c r="AH232" s="23">
        <f>SUM(Amazon_Data_Set[[#This Row],[Gross Sales]]-Amazon_Data_Set[[#This Row],[Discount Amount]])</f>
        <v>1774.8999999999999</v>
      </c>
    </row>
    <row r="233" spans="1:34">
      <c r="A233" t="s">
        <v>823</v>
      </c>
      <c r="B233" s="1">
        <v>46259</v>
      </c>
      <c r="C233" t="str">
        <f>TEXT(Amazon_Data_Set[[#This Row],[Order Date]],"mmm")</f>
        <v>Aug</v>
      </c>
      <c r="D233" t="s">
        <v>824</v>
      </c>
      <c r="E233" t="s">
        <v>228</v>
      </c>
      <c r="F233" t="s">
        <v>229</v>
      </c>
      <c r="G233" t="s">
        <v>37</v>
      </c>
      <c r="H233" t="s">
        <v>38</v>
      </c>
      <c r="I233" t="s">
        <v>39</v>
      </c>
      <c r="J233" t="s">
        <v>155</v>
      </c>
      <c r="K233" t="s">
        <v>156</v>
      </c>
      <c r="L233" t="s">
        <v>825</v>
      </c>
      <c r="M233" t="s">
        <v>43</v>
      </c>
      <c r="N233" t="s">
        <v>70</v>
      </c>
      <c r="O233" t="s">
        <v>96</v>
      </c>
      <c r="P233">
        <v>2</v>
      </c>
      <c r="Q233">
        <v>354.4</v>
      </c>
      <c r="R233" s="19">
        <v>0.15</v>
      </c>
      <c r="S233" s="21">
        <v>106.32</v>
      </c>
      <c r="T233">
        <v>708.8</v>
      </c>
      <c r="U233" s="2">
        <v>602.48</v>
      </c>
      <c r="V233">
        <v>197.34</v>
      </c>
      <c r="W233">
        <v>354.08</v>
      </c>
      <c r="X233" s="2">
        <v>51.06</v>
      </c>
      <c r="Y233">
        <v>8.4699999999999998E-2</v>
      </c>
      <c r="Z233">
        <v>0</v>
      </c>
      <c r="AA233" t="s">
        <v>97</v>
      </c>
      <c r="AB233" t="s">
        <v>47</v>
      </c>
      <c r="AE233" s="2">
        <v>733.45</v>
      </c>
      <c r="AF233">
        <v>0.82140000000000002</v>
      </c>
      <c r="AG233" t="s">
        <v>49</v>
      </c>
      <c r="AH233" s="23">
        <f>SUM(Amazon_Data_Set[[#This Row],[Gross Sales]]-Amazon_Data_Set[[#This Row],[Discount Amount]])</f>
        <v>602.48</v>
      </c>
    </row>
    <row r="234" spans="1:34">
      <c r="A234" t="s">
        <v>826</v>
      </c>
      <c r="B234" s="1">
        <v>46253</v>
      </c>
      <c r="C234" t="str">
        <f>TEXT(Amazon_Data_Set[[#This Row],[Order Date]],"mmm")</f>
        <v>Aug</v>
      </c>
      <c r="D234" t="s">
        <v>34</v>
      </c>
      <c r="E234" t="s">
        <v>194</v>
      </c>
      <c r="F234" t="s">
        <v>195</v>
      </c>
      <c r="G234" t="s">
        <v>111</v>
      </c>
      <c r="H234" t="s">
        <v>83</v>
      </c>
      <c r="I234" t="s">
        <v>188</v>
      </c>
      <c r="J234" t="s">
        <v>189</v>
      </c>
      <c r="K234" t="s">
        <v>190</v>
      </c>
      <c r="L234" t="s">
        <v>827</v>
      </c>
      <c r="M234" t="s">
        <v>43</v>
      </c>
      <c r="N234" t="s">
        <v>60</v>
      </c>
      <c r="O234" t="s">
        <v>45</v>
      </c>
      <c r="P234">
        <v>3</v>
      </c>
      <c r="Q234">
        <v>553.42999999999995</v>
      </c>
      <c r="R234" s="19">
        <v>0.25</v>
      </c>
      <c r="S234" s="21">
        <v>415.07</v>
      </c>
      <c r="T234">
        <v>1660.29</v>
      </c>
      <c r="U234" s="2">
        <v>1245.22</v>
      </c>
      <c r="V234">
        <v>41.6</v>
      </c>
      <c r="W234">
        <v>845.37</v>
      </c>
      <c r="X234" s="2">
        <v>358.25</v>
      </c>
      <c r="Y234">
        <v>0.28770000000000001</v>
      </c>
      <c r="Z234">
        <v>4</v>
      </c>
      <c r="AA234" t="s">
        <v>46</v>
      </c>
      <c r="AB234" t="s">
        <v>47</v>
      </c>
      <c r="AD234">
        <v>5</v>
      </c>
      <c r="AE234" s="2">
        <v>1139.3800000000001</v>
      </c>
      <c r="AF234">
        <v>1.0929</v>
      </c>
      <c r="AG234" t="s">
        <v>828</v>
      </c>
      <c r="AH234" s="23">
        <f>SUM(Amazon_Data_Set[[#This Row],[Gross Sales]]-Amazon_Data_Set[[#This Row],[Discount Amount]])</f>
        <v>1245.22</v>
      </c>
    </row>
    <row r="235" spans="1:34">
      <c r="A235" t="s">
        <v>829</v>
      </c>
      <c r="B235" s="1">
        <v>46319</v>
      </c>
      <c r="C235" t="str">
        <f>TEXT(Amazon_Data_Set[[#This Row],[Order Date]],"mmm")</f>
        <v>Oct</v>
      </c>
      <c r="D235" t="s">
        <v>160</v>
      </c>
      <c r="E235" t="s">
        <v>235</v>
      </c>
      <c r="F235" t="s">
        <v>236</v>
      </c>
      <c r="G235" t="s">
        <v>82</v>
      </c>
      <c r="H235" t="s">
        <v>83</v>
      </c>
      <c r="I235" t="s">
        <v>84</v>
      </c>
      <c r="J235" t="s">
        <v>85</v>
      </c>
      <c r="K235" t="s">
        <v>86</v>
      </c>
      <c r="L235" t="s">
        <v>830</v>
      </c>
      <c r="M235" t="s">
        <v>106</v>
      </c>
      <c r="N235" t="s">
        <v>77</v>
      </c>
      <c r="O235" t="s">
        <v>45</v>
      </c>
      <c r="P235">
        <v>1</v>
      </c>
      <c r="Q235">
        <v>698.26</v>
      </c>
      <c r="R235" s="19">
        <v>0.2</v>
      </c>
      <c r="S235" s="21">
        <v>139.65</v>
      </c>
      <c r="T235">
        <v>698.26</v>
      </c>
      <c r="U235" s="2">
        <v>558.61</v>
      </c>
      <c r="V235">
        <v>103.78</v>
      </c>
      <c r="W235">
        <v>379.17</v>
      </c>
      <c r="X235" s="2">
        <v>75.66</v>
      </c>
      <c r="Y235">
        <v>0.13539999999999999</v>
      </c>
      <c r="Z235">
        <v>7</v>
      </c>
      <c r="AA235" t="s">
        <v>61</v>
      </c>
      <c r="AB235" t="s">
        <v>47</v>
      </c>
      <c r="AD235">
        <v>5</v>
      </c>
      <c r="AE235" s="2">
        <v>490.64</v>
      </c>
      <c r="AF235">
        <v>1.1385000000000001</v>
      </c>
      <c r="AG235" t="s">
        <v>49</v>
      </c>
      <c r="AH235" s="23">
        <f>SUM(Amazon_Data_Set[[#This Row],[Gross Sales]]-Amazon_Data_Set[[#This Row],[Discount Amount]])</f>
        <v>558.61</v>
      </c>
    </row>
    <row r="236" spans="1:34">
      <c r="A236" t="s">
        <v>831</v>
      </c>
      <c r="B236" s="1">
        <v>46029</v>
      </c>
      <c r="C236" t="str">
        <f>TEXT(Amazon_Data_Set[[#This Row],[Order Date]],"mmm")</f>
        <v>Jan</v>
      </c>
      <c r="D236" t="s">
        <v>312</v>
      </c>
      <c r="E236" t="s">
        <v>174</v>
      </c>
      <c r="F236" t="s">
        <v>175</v>
      </c>
      <c r="G236" t="s">
        <v>82</v>
      </c>
      <c r="H236" t="s">
        <v>38</v>
      </c>
      <c r="I236" t="s">
        <v>39</v>
      </c>
      <c r="J236" t="s">
        <v>281</v>
      </c>
      <c r="K236" t="s">
        <v>282</v>
      </c>
      <c r="L236" t="s">
        <v>832</v>
      </c>
      <c r="M236" t="s">
        <v>106</v>
      </c>
      <c r="N236" t="s">
        <v>77</v>
      </c>
      <c r="O236" t="s">
        <v>45</v>
      </c>
      <c r="P236">
        <v>2</v>
      </c>
      <c r="Q236">
        <v>1083.29</v>
      </c>
      <c r="R236" s="19">
        <v>0.25</v>
      </c>
      <c r="S236" s="21">
        <v>541.64</v>
      </c>
      <c r="T236">
        <v>2166.58</v>
      </c>
      <c r="U236" s="2">
        <v>1624.94</v>
      </c>
      <c r="V236">
        <v>246.96</v>
      </c>
      <c r="W236">
        <v>1255.6199999999999</v>
      </c>
      <c r="X236" s="2">
        <v>122.36</v>
      </c>
      <c r="Y236">
        <v>7.5300000000000006E-2</v>
      </c>
      <c r="Z236">
        <v>4</v>
      </c>
      <c r="AA236" t="s">
        <v>46</v>
      </c>
      <c r="AB236" t="s">
        <v>47</v>
      </c>
      <c r="AD236">
        <v>5</v>
      </c>
      <c r="AE236" s="2">
        <v>1861.78</v>
      </c>
      <c r="AF236">
        <v>0.87280000000000002</v>
      </c>
      <c r="AG236" t="s">
        <v>49</v>
      </c>
      <c r="AH236" s="23">
        <f>SUM(Amazon_Data_Set[[#This Row],[Gross Sales]]-Amazon_Data_Set[[#This Row],[Discount Amount]])</f>
        <v>1624.94</v>
      </c>
    </row>
    <row r="237" spans="1:34">
      <c r="A237" t="s">
        <v>833</v>
      </c>
      <c r="B237" s="1">
        <v>46207</v>
      </c>
      <c r="C237" t="str">
        <f>TEXT(Amazon_Data_Set[[#This Row],[Order Date]],"mmm")</f>
        <v>Jul</v>
      </c>
      <c r="D237" t="s">
        <v>834</v>
      </c>
      <c r="E237" t="s">
        <v>80</v>
      </c>
      <c r="F237" t="s">
        <v>81</v>
      </c>
      <c r="G237" t="s">
        <v>82</v>
      </c>
      <c r="H237" t="s">
        <v>142</v>
      </c>
      <c r="I237" t="s">
        <v>214</v>
      </c>
      <c r="J237" t="s">
        <v>215</v>
      </c>
      <c r="K237" t="s">
        <v>216</v>
      </c>
      <c r="L237" t="s">
        <v>835</v>
      </c>
      <c r="M237" t="s">
        <v>106</v>
      </c>
      <c r="N237" t="s">
        <v>44</v>
      </c>
      <c r="O237" t="s">
        <v>130</v>
      </c>
      <c r="P237">
        <v>3</v>
      </c>
      <c r="Q237">
        <v>424.14</v>
      </c>
      <c r="R237" s="19">
        <v>0.2</v>
      </c>
      <c r="S237" s="21">
        <v>254.48</v>
      </c>
      <c r="T237">
        <v>1272.42</v>
      </c>
      <c r="U237" s="2">
        <v>1017.94</v>
      </c>
      <c r="V237">
        <v>150.13999999999999</v>
      </c>
      <c r="W237">
        <v>593.12</v>
      </c>
      <c r="X237" s="2">
        <v>274.68</v>
      </c>
      <c r="Y237">
        <v>0.26979999999999998</v>
      </c>
      <c r="Z237">
        <v>8</v>
      </c>
      <c r="AA237" t="s">
        <v>131</v>
      </c>
      <c r="AB237" t="s">
        <v>47</v>
      </c>
      <c r="AE237" s="2">
        <v>984.18</v>
      </c>
      <c r="AF237">
        <v>1.0343</v>
      </c>
      <c r="AG237" t="s">
        <v>49</v>
      </c>
      <c r="AH237" s="23">
        <f>SUM(Amazon_Data_Set[[#This Row],[Gross Sales]]-Amazon_Data_Set[[#This Row],[Discount Amount]])</f>
        <v>1017.94</v>
      </c>
    </row>
    <row r="238" spans="1:34">
      <c r="A238" t="s">
        <v>836</v>
      </c>
      <c r="B238" s="1">
        <v>46204</v>
      </c>
      <c r="C238" t="str">
        <f>TEXT(Amazon_Data_Set[[#This Row],[Order Date]],"mmm")</f>
        <v>Jul</v>
      </c>
      <c r="D238" t="s">
        <v>837</v>
      </c>
      <c r="E238" t="s">
        <v>275</v>
      </c>
      <c r="F238" t="s">
        <v>276</v>
      </c>
      <c r="G238" t="s">
        <v>37</v>
      </c>
      <c r="H238" t="s">
        <v>83</v>
      </c>
      <c r="I238" t="s">
        <v>84</v>
      </c>
      <c r="J238" t="s">
        <v>85</v>
      </c>
      <c r="K238" t="s">
        <v>86</v>
      </c>
      <c r="L238" t="s">
        <v>838</v>
      </c>
      <c r="M238" t="s">
        <v>43</v>
      </c>
      <c r="N238" t="s">
        <v>95</v>
      </c>
      <c r="O238" t="s">
        <v>45</v>
      </c>
      <c r="P238">
        <v>1</v>
      </c>
      <c r="Q238">
        <v>700.69</v>
      </c>
      <c r="R238" s="19">
        <v>0</v>
      </c>
      <c r="S238" s="21">
        <v>0</v>
      </c>
      <c r="T238">
        <v>700.69</v>
      </c>
      <c r="U238" s="2">
        <v>700.69</v>
      </c>
      <c r="V238">
        <v>165.99</v>
      </c>
      <c r="W238">
        <v>427.25</v>
      </c>
      <c r="X238" s="2">
        <v>107.45</v>
      </c>
      <c r="Y238">
        <v>0.15329999999999999</v>
      </c>
      <c r="Z238">
        <v>6</v>
      </c>
      <c r="AA238" t="s">
        <v>61</v>
      </c>
      <c r="AB238" t="s">
        <v>47</v>
      </c>
      <c r="AD238">
        <v>4</v>
      </c>
      <c r="AE238" s="2">
        <v>694.64</v>
      </c>
      <c r="AF238">
        <v>1.0086999999999999</v>
      </c>
      <c r="AG238" t="s">
        <v>49</v>
      </c>
      <c r="AH238" s="23">
        <f>SUM(Amazon_Data_Set[[#This Row],[Gross Sales]]-Amazon_Data_Set[[#This Row],[Discount Amount]])</f>
        <v>700.69</v>
      </c>
    </row>
    <row r="239" spans="1:34">
      <c r="A239" t="s">
        <v>839</v>
      </c>
      <c r="B239" s="1">
        <v>46038</v>
      </c>
      <c r="C239" t="str">
        <f>TEXT(Amazon_Data_Set[[#This Row],[Order Date]],"mmm")</f>
        <v>Jan</v>
      </c>
      <c r="D239" t="s">
        <v>711</v>
      </c>
      <c r="E239" t="s">
        <v>194</v>
      </c>
      <c r="F239" t="s">
        <v>195</v>
      </c>
      <c r="G239" t="s">
        <v>111</v>
      </c>
      <c r="H239" t="s">
        <v>55</v>
      </c>
      <c r="I239" t="s">
        <v>73</v>
      </c>
      <c r="J239" t="s">
        <v>74</v>
      </c>
      <c r="K239" t="s">
        <v>75</v>
      </c>
      <c r="L239" t="s">
        <v>840</v>
      </c>
      <c r="M239" t="s">
        <v>106</v>
      </c>
      <c r="N239" t="s">
        <v>124</v>
      </c>
      <c r="O239" t="s">
        <v>45</v>
      </c>
      <c r="P239">
        <v>3</v>
      </c>
      <c r="Q239">
        <v>30675.47</v>
      </c>
      <c r="R239" s="19">
        <v>0.2</v>
      </c>
      <c r="S239" s="21">
        <v>18405.28</v>
      </c>
      <c r="T239">
        <v>92026.41</v>
      </c>
      <c r="U239" s="2">
        <v>73621.13</v>
      </c>
      <c r="V239">
        <v>203.92</v>
      </c>
      <c r="W239">
        <v>39704.120000000003</v>
      </c>
      <c r="X239" s="2">
        <v>33713.089999999997</v>
      </c>
      <c r="Y239">
        <v>0.45789999999999997</v>
      </c>
      <c r="Z239">
        <v>7</v>
      </c>
      <c r="AA239" t="s">
        <v>61</v>
      </c>
      <c r="AB239" t="s">
        <v>47</v>
      </c>
      <c r="AD239">
        <v>5</v>
      </c>
      <c r="AE239" s="2">
        <v>91952.21</v>
      </c>
      <c r="AF239">
        <v>0.80059999999999998</v>
      </c>
      <c r="AG239" t="s">
        <v>49</v>
      </c>
      <c r="AH239" s="23">
        <f>SUM(Amazon_Data_Set[[#This Row],[Gross Sales]]-Amazon_Data_Set[[#This Row],[Discount Amount]])</f>
        <v>73621.13</v>
      </c>
    </row>
    <row r="240" spans="1:34">
      <c r="A240" t="s">
        <v>841</v>
      </c>
      <c r="B240" s="1">
        <v>46267</v>
      </c>
      <c r="C240" t="str">
        <f>TEXT(Amazon_Data_Set[[#This Row],[Order Date]],"mmm")</f>
        <v>Sep</v>
      </c>
      <c r="D240" t="s">
        <v>842</v>
      </c>
      <c r="E240" t="s">
        <v>80</v>
      </c>
      <c r="F240" t="s">
        <v>81</v>
      </c>
      <c r="G240" t="s">
        <v>82</v>
      </c>
      <c r="H240" t="s">
        <v>90</v>
      </c>
      <c r="I240" t="s">
        <v>112</v>
      </c>
      <c r="J240" t="s">
        <v>113</v>
      </c>
      <c r="K240" t="s">
        <v>114</v>
      </c>
      <c r="L240" t="s">
        <v>843</v>
      </c>
      <c r="M240" t="s">
        <v>106</v>
      </c>
      <c r="N240" t="s">
        <v>77</v>
      </c>
      <c r="O240" t="s">
        <v>45</v>
      </c>
      <c r="P240">
        <v>3</v>
      </c>
      <c r="Q240">
        <v>320.41000000000003</v>
      </c>
      <c r="R240" s="19">
        <v>0.2</v>
      </c>
      <c r="S240" s="21">
        <v>192.25</v>
      </c>
      <c r="T240">
        <v>961.23</v>
      </c>
      <c r="U240" s="2">
        <v>768.98</v>
      </c>
      <c r="V240">
        <v>182.76</v>
      </c>
      <c r="W240">
        <v>592.64</v>
      </c>
      <c r="X240" s="2">
        <v>-6.42</v>
      </c>
      <c r="Y240">
        <v>-8.3000000000000001E-3</v>
      </c>
      <c r="Z240">
        <v>7</v>
      </c>
      <c r="AA240" t="s">
        <v>61</v>
      </c>
      <c r="AB240" t="s">
        <v>47</v>
      </c>
      <c r="AD240">
        <v>3</v>
      </c>
      <c r="AE240" s="2">
        <v>721.53</v>
      </c>
      <c r="AF240">
        <v>1.0658000000000001</v>
      </c>
      <c r="AG240" t="s">
        <v>49</v>
      </c>
      <c r="AH240" s="23">
        <f>SUM(Amazon_Data_Set[[#This Row],[Gross Sales]]-Amazon_Data_Set[[#This Row],[Discount Amount]])</f>
        <v>768.98</v>
      </c>
    </row>
    <row r="241" spans="1:34">
      <c r="A241" t="s">
        <v>844</v>
      </c>
      <c r="B241" s="1">
        <v>46100</v>
      </c>
      <c r="C241" t="str">
        <f>TEXT(Amazon_Data_Set[[#This Row],[Order Date]],"mmm")</f>
        <v>Mar</v>
      </c>
      <c r="D241" t="s">
        <v>322</v>
      </c>
      <c r="E241" t="s">
        <v>80</v>
      </c>
      <c r="F241" t="s">
        <v>81</v>
      </c>
      <c r="G241" t="s">
        <v>82</v>
      </c>
      <c r="H241" t="s">
        <v>90</v>
      </c>
      <c r="I241" t="s">
        <v>91</v>
      </c>
      <c r="J241" t="s">
        <v>92</v>
      </c>
      <c r="K241" t="s">
        <v>93</v>
      </c>
      <c r="L241" t="s">
        <v>845</v>
      </c>
      <c r="M241" t="s">
        <v>106</v>
      </c>
      <c r="N241" t="s">
        <v>95</v>
      </c>
      <c r="O241" t="s">
        <v>45</v>
      </c>
      <c r="P241">
        <v>5</v>
      </c>
      <c r="Q241">
        <v>714.79</v>
      </c>
      <c r="R241" s="19">
        <v>0</v>
      </c>
      <c r="S241" s="21">
        <v>0</v>
      </c>
      <c r="T241">
        <v>3573.95</v>
      </c>
      <c r="U241" s="2">
        <v>3573.95</v>
      </c>
      <c r="V241">
        <v>121.33</v>
      </c>
      <c r="W241">
        <v>2408.7399999999998</v>
      </c>
      <c r="X241" s="2">
        <v>1043.8800000000001</v>
      </c>
      <c r="Y241">
        <v>0.29210000000000003</v>
      </c>
      <c r="Z241">
        <v>8</v>
      </c>
      <c r="AA241" t="s">
        <v>61</v>
      </c>
      <c r="AB241" t="s">
        <v>47</v>
      </c>
      <c r="AD241">
        <v>5</v>
      </c>
      <c r="AE241" s="2">
        <v>4167.33</v>
      </c>
      <c r="AF241">
        <v>0.85760000000000003</v>
      </c>
      <c r="AG241" t="s">
        <v>49</v>
      </c>
      <c r="AH241" s="23">
        <f>SUM(Amazon_Data_Set[[#This Row],[Gross Sales]]-Amazon_Data_Set[[#This Row],[Discount Amount]])</f>
        <v>3573.95</v>
      </c>
    </row>
    <row r="242" spans="1:34">
      <c r="A242" t="s">
        <v>846</v>
      </c>
      <c r="B242" s="1">
        <v>46208</v>
      </c>
      <c r="C242" t="str">
        <f>TEXT(Amazon_Data_Set[[#This Row],[Order Date]],"mmm")</f>
        <v>Jul</v>
      </c>
      <c r="D242" t="s">
        <v>847</v>
      </c>
      <c r="E242" t="s">
        <v>167</v>
      </c>
      <c r="F242" t="s">
        <v>168</v>
      </c>
      <c r="G242" t="s">
        <v>111</v>
      </c>
      <c r="H242" t="s">
        <v>83</v>
      </c>
      <c r="I242" t="s">
        <v>188</v>
      </c>
      <c r="J242" t="s">
        <v>475</v>
      </c>
      <c r="K242" t="s">
        <v>476</v>
      </c>
      <c r="L242" t="s">
        <v>848</v>
      </c>
      <c r="M242" t="s">
        <v>106</v>
      </c>
      <c r="N242" t="s">
        <v>70</v>
      </c>
      <c r="O242" t="s">
        <v>45</v>
      </c>
      <c r="P242">
        <v>3</v>
      </c>
      <c r="Q242">
        <v>152.27000000000001</v>
      </c>
      <c r="R242" s="19">
        <v>0.05</v>
      </c>
      <c r="S242" s="21">
        <v>22.84</v>
      </c>
      <c r="T242">
        <v>456.81</v>
      </c>
      <c r="U242" s="2">
        <v>433.97</v>
      </c>
      <c r="V242">
        <v>43.43</v>
      </c>
      <c r="W242">
        <v>317.22000000000003</v>
      </c>
      <c r="X242" s="2">
        <v>73.319999999999993</v>
      </c>
      <c r="Y242">
        <v>0.16900000000000001</v>
      </c>
      <c r="Z242">
        <v>4</v>
      </c>
      <c r="AA242" t="s">
        <v>46</v>
      </c>
      <c r="AB242" t="s">
        <v>47</v>
      </c>
      <c r="AD242">
        <v>5</v>
      </c>
      <c r="AE242" s="2">
        <v>409.13</v>
      </c>
      <c r="AF242">
        <v>1.0607</v>
      </c>
      <c r="AG242" t="s">
        <v>49</v>
      </c>
      <c r="AH242" s="23">
        <f>SUM(Amazon_Data_Set[[#This Row],[Gross Sales]]-Amazon_Data_Set[[#This Row],[Discount Amount]])</f>
        <v>433.97</v>
      </c>
    </row>
    <row r="243" spans="1:34">
      <c r="A243" t="s">
        <v>849</v>
      </c>
      <c r="B243" s="1">
        <v>46121</v>
      </c>
      <c r="C243" t="str">
        <f>TEXT(Amazon_Data_Set[[#This Row],[Order Date]],"mmm")</f>
        <v>Apr</v>
      </c>
      <c r="D243" t="s">
        <v>372</v>
      </c>
      <c r="E243" t="s">
        <v>109</v>
      </c>
      <c r="F243" t="s">
        <v>154</v>
      </c>
      <c r="G243" t="s">
        <v>111</v>
      </c>
      <c r="H243" t="s">
        <v>83</v>
      </c>
      <c r="I243" t="s">
        <v>102</v>
      </c>
      <c r="J243" t="s">
        <v>373</v>
      </c>
      <c r="K243" t="s">
        <v>374</v>
      </c>
      <c r="L243" t="s">
        <v>850</v>
      </c>
      <c r="M243" t="s">
        <v>43</v>
      </c>
      <c r="N243" t="s">
        <v>95</v>
      </c>
      <c r="O243" t="s">
        <v>45</v>
      </c>
      <c r="P243">
        <v>4</v>
      </c>
      <c r="Q243">
        <v>1116.98</v>
      </c>
      <c r="R243" s="19">
        <v>0.05</v>
      </c>
      <c r="S243" s="21">
        <v>223.4</v>
      </c>
      <c r="T243">
        <v>4467.92</v>
      </c>
      <c r="U243" s="2">
        <v>4244.5200000000004</v>
      </c>
      <c r="V243">
        <v>37.619999999999997</v>
      </c>
      <c r="W243">
        <v>2468.7600000000002</v>
      </c>
      <c r="X243" s="2">
        <v>1738.14</v>
      </c>
      <c r="Y243">
        <v>0.40949999999999998</v>
      </c>
      <c r="Z243">
        <v>4</v>
      </c>
      <c r="AA243" t="s">
        <v>46</v>
      </c>
      <c r="AB243" t="s">
        <v>47</v>
      </c>
      <c r="AD243">
        <v>4</v>
      </c>
      <c r="AE243" s="2">
        <v>5082.68</v>
      </c>
      <c r="AF243">
        <v>0.83509999999999995</v>
      </c>
      <c r="AG243" t="s">
        <v>49</v>
      </c>
      <c r="AH243" s="23">
        <f>SUM(Amazon_Data_Set[[#This Row],[Gross Sales]]-Amazon_Data_Set[[#This Row],[Discount Amount]])</f>
        <v>4244.5200000000004</v>
      </c>
    </row>
    <row r="244" spans="1:34">
      <c r="A244" t="s">
        <v>851</v>
      </c>
      <c r="B244" s="1">
        <v>46175</v>
      </c>
      <c r="C244" t="str">
        <f>TEXT(Amazon_Data_Set[[#This Row],[Order Date]],"mmm")</f>
        <v>Jun</v>
      </c>
      <c r="D244" t="s">
        <v>173</v>
      </c>
      <c r="E244" t="s">
        <v>109</v>
      </c>
      <c r="F244" t="s">
        <v>154</v>
      </c>
      <c r="G244" t="s">
        <v>111</v>
      </c>
      <c r="H244" t="s">
        <v>38</v>
      </c>
      <c r="I244" t="s">
        <v>161</v>
      </c>
      <c r="J244" t="s">
        <v>223</v>
      </c>
      <c r="K244" t="s">
        <v>224</v>
      </c>
      <c r="L244" t="s">
        <v>852</v>
      </c>
      <c r="M244" t="s">
        <v>106</v>
      </c>
      <c r="N244" t="s">
        <v>77</v>
      </c>
      <c r="O244" t="s">
        <v>45</v>
      </c>
      <c r="P244">
        <v>1</v>
      </c>
      <c r="Q244">
        <v>1288.73</v>
      </c>
      <c r="R244" s="19">
        <v>0.25</v>
      </c>
      <c r="S244" s="21">
        <v>322.18</v>
      </c>
      <c r="T244">
        <v>1288.73</v>
      </c>
      <c r="U244" s="2">
        <v>966.55</v>
      </c>
      <c r="V244">
        <v>103.19</v>
      </c>
      <c r="W244">
        <v>734.43</v>
      </c>
      <c r="X244" s="2">
        <v>128.93</v>
      </c>
      <c r="Y244">
        <v>0.13339999999999999</v>
      </c>
      <c r="Z244">
        <v>1</v>
      </c>
      <c r="AA244" t="s">
        <v>46</v>
      </c>
      <c r="AB244" t="s">
        <v>47</v>
      </c>
      <c r="AD244">
        <v>5</v>
      </c>
      <c r="AE244" s="2">
        <v>1012.53</v>
      </c>
      <c r="AF244">
        <v>0.9546</v>
      </c>
      <c r="AG244" t="s">
        <v>49</v>
      </c>
      <c r="AH244" s="23">
        <f>SUM(Amazon_Data_Set[[#This Row],[Gross Sales]]-Amazon_Data_Set[[#This Row],[Discount Amount]])</f>
        <v>966.55</v>
      </c>
    </row>
    <row r="245" spans="1:34">
      <c r="A245" t="s">
        <v>853</v>
      </c>
      <c r="B245" s="1">
        <v>46329</v>
      </c>
      <c r="C245" t="str">
        <f>TEXT(Amazon_Data_Set[[#This Row],[Order Date]],"mmm")</f>
        <v>Nov</v>
      </c>
      <c r="D245" t="s">
        <v>447</v>
      </c>
      <c r="E245" t="s">
        <v>235</v>
      </c>
      <c r="F245" t="s">
        <v>236</v>
      </c>
      <c r="G245" t="s">
        <v>82</v>
      </c>
      <c r="H245" t="s">
        <v>142</v>
      </c>
      <c r="I245" t="s">
        <v>209</v>
      </c>
      <c r="J245" t="s">
        <v>243</v>
      </c>
      <c r="K245" t="s">
        <v>145</v>
      </c>
      <c r="L245" t="s">
        <v>854</v>
      </c>
      <c r="M245" t="s">
        <v>106</v>
      </c>
      <c r="N245" t="s">
        <v>70</v>
      </c>
      <c r="O245" t="s">
        <v>130</v>
      </c>
      <c r="P245">
        <v>5</v>
      </c>
      <c r="Q245">
        <v>4948.7700000000004</v>
      </c>
      <c r="R245" s="19">
        <v>0.25</v>
      </c>
      <c r="S245" s="21">
        <v>6185.96</v>
      </c>
      <c r="T245">
        <v>24743.85</v>
      </c>
      <c r="U245" s="2">
        <v>18557.89</v>
      </c>
      <c r="V245">
        <v>70.88</v>
      </c>
      <c r="W245">
        <v>11566.38</v>
      </c>
      <c r="X245" s="2">
        <v>6920.63</v>
      </c>
      <c r="Y245">
        <v>0.37290000000000001</v>
      </c>
      <c r="Z245">
        <v>5</v>
      </c>
      <c r="AA245" t="s">
        <v>131</v>
      </c>
      <c r="AB245" t="s">
        <v>47</v>
      </c>
      <c r="AE245" s="2">
        <v>16051.39</v>
      </c>
      <c r="AF245">
        <v>1.1561999999999999</v>
      </c>
      <c r="AG245" t="s">
        <v>49</v>
      </c>
      <c r="AH245" s="23">
        <f>SUM(Amazon_Data_Set[[#This Row],[Gross Sales]]-Amazon_Data_Set[[#This Row],[Discount Amount]])</f>
        <v>18557.89</v>
      </c>
    </row>
    <row r="246" spans="1:34">
      <c r="A246" t="s">
        <v>855</v>
      </c>
      <c r="B246" s="1">
        <v>46197</v>
      </c>
      <c r="C246" t="str">
        <f>TEXT(Amazon_Data_Set[[#This Row],[Order Date]],"mmm")</f>
        <v>Jun</v>
      </c>
      <c r="D246" t="s">
        <v>856</v>
      </c>
      <c r="E246" t="s">
        <v>35</v>
      </c>
      <c r="F246" t="s">
        <v>36</v>
      </c>
      <c r="G246" t="s">
        <v>37</v>
      </c>
      <c r="H246" t="s">
        <v>83</v>
      </c>
      <c r="I246" t="s">
        <v>102</v>
      </c>
      <c r="J246" t="s">
        <v>103</v>
      </c>
      <c r="K246" t="s">
        <v>104</v>
      </c>
      <c r="L246" t="s">
        <v>857</v>
      </c>
      <c r="M246" t="s">
        <v>43</v>
      </c>
      <c r="N246" t="s">
        <v>44</v>
      </c>
      <c r="O246" t="s">
        <v>96</v>
      </c>
      <c r="P246">
        <v>3</v>
      </c>
      <c r="Q246">
        <v>947.85</v>
      </c>
      <c r="R246" s="19">
        <v>0.2</v>
      </c>
      <c r="S246" s="21">
        <v>568.71</v>
      </c>
      <c r="T246">
        <v>2843.55</v>
      </c>
      <c r="U246" s="2">
        <v>2274.84</v>
      </c>
      <c r="V246">
        <v>190.13</v>
      </c>
      <c r="W246">
        <v>1708.61</v>
      </c>
      <c r="X246" s="2">
        <v>376.1</v>
      </c>
      <c r="Y246">
        <v>0.1653</v>
      </c>
      <c r="Z246">
        <v>0</v>
      </c>
      <c r="AA246" t="s">
        <v>97</v>
      </c>
      <c r="AB246" t="s">
        <v>47</v>
      </c>
      <c r="AE246" s="2">
        <v>2164.23</v>
      </c>
      <c r="AF246">
        <v>1.0510999999999999</v>
      </c>
      <c r="AG246" t="s">
        <v>49</v>
      </c>
      <c r="AH246" s="23">
        <f>SUM(Amazon_Data_Set[[#This Row],[Gross Sales]]-Amazon_Data_Set[[#This Row],[Discount Amount]])</f>
        <v>2274.84</v>
      </c>
    </row>
    <row r="247" spans="1:34">
      <c r="A247" t="s">
        <v>858</v>
      </c>
      <c r="B247" s="1">
        <v>46265</v>
      </c>
      <c r="C247" t="str">
        <f>TEXT(Amazon_Data_Set[[#This Row],[Order Date]],"mmm")</f>
        <v>Aug</v>
      </c>
      <c r="D247" t="s">
        <v>471</v>
      </c>
      <c r="E247" t="s">
        <v>167</v>
      </c>
      <c r="F247" t="s">
        <v>168</v>
      </c>
      <c r="G247" t="s">
        <v>111</v>
      </c>
      <c r="H247" t="s">
        <v>38</v>
      </c>
      <c r="I247" t="s">
        <v>161</v>
      </c>
      <c r="J247" t="s">
        <v>223</v>
      </c>
      <c r="K247" t="s">
        <v>224</v>
      </c>
      <c r="L247" t="s">
        <v>859</v>
      </c>
      <c r="M247" t="s">
        <v>106</v>
      </c>
      <c r="N247" t="s">
        <v>44</v>
      </c>
      <c r="O247" t="s">
        <v>96</v>
      </c>
      <c r="P247">
        <v>4</v>
      </c>
      <c r="Q247">
        <v>3003.79</v>
      </c>
      <c r="R247" s="19">
        <v>0.1</v>
      </c>
      <c r="S247" s="21">
        <v>1201.52</v>
      </c>
      <c r="T247">
        <v>12015.16</v>
      </c>
      <c r="U247" s="2">
        <v>10813.64</v>
      </c>
      <c r="V247">
        <v>75.63</v>
      </c>
      <c r="W247">
        <v>6760.91</v>
      </c>
      <c r="X247" s="2">
        <v>3977.1</v>
      </c>
      <c r="Y247">
        <v>0.36780000000000002</v>
      </c>
      <c r="Z247">
        <v>0</v>
      </c>
      <c r="AA247" t="s">
        <v>97</v>
      </c>
      <c r="AB247" t="s">
        <v>47</v>
      </c>
      <c r="AE247" s="2">
        <v>11924.4</v>
      </c>
      <c r="AF247">
        <v>0.90680000000000005</v>
      </c>
      <c r="AG247" t="s">
        <v>49</v>
      </c>
      <c r="AH247" s="23">
        <f>SUM(Amazon_Data_Set[[#This Row],[Gross Sales]]-Amazon_Data_Set[[#This Row],[Discount Amount]])</f>
        <v>10813.64</v>
      </c>
    </row>
    <row r="248" spans="1:34">
      <c r="A248" t="s">
        <v>860</v>
      </c>
      <c r="B248" s="1">
        <v>46154</v>
      </c>
      <c r="C248" t="str">
        <f>TEXT(Amazon_Data_Set[[#This Row],[Order Date]],"mmm")</f>
        <v>May</v>
      </c>
      <c r="D248" t="s">
        <v>296</v>
      </c>
      <c r="E248" t="s">
        <v>80</v>
      </c>
      <c r="F248" t="s">
        <v>81</v>
      </c>
      <c r="G248" t="s">
        <v>82</v>
      </c>
      <c r="H248" t="s">
        <v>83</v>
      </c>
      <c r="I248" t="s">
        <v>102</v>
      </c>
      <c r="J248" t="s">
        <v>373</v>
      </c>
      <c r="K248" t="s">
        <v>374</v>
      </c>
      <c r="L248" t="s">
        <v>861</v>
      </c>
      <c r="M248" t="s">
        <v>43</v>
      </c>
      <c r="N248" t="s">
        <v>60</v>
      </c>
      <c r="O248" t="s">
        <v>45</v>
      </c>
      <c r="P248">
        <v>2</v>
      </c>
      <c r="Q248">
        <v>365.76</v>
      </c>
      <c r="R248" s="19">
        <v>0.1</v>
      </c>
      <c r="S248" s="21">
        <v>73.150000000000006</v>
      </c>
      <c r="T248">
        <v>731.52</v>
      </c>
      <c r="U248" s="2">
        <v>658.37</v>
      </c>
      <c r="V248">
        <v>191.56</v>
      </c>
      <c r="W248">
        <v>384.14</v>
      </c>
      <c r="X248" s="2">
        <v>82.67</v>
      </c>
      <c r="Y248">
        <v>0.12559999999999999</v>
      </c>
      <c r="Z248">
        <v>3</v>
      </c>
      <c r="AA248" t="s">
        <v>46</v>
      </c>
      <c r="AB248" t="s">
        <v>47</v>
      </c>
      <c r="AD248">
        <v>4</v>
      </c>
      <c r="AE248" s="2">
        <v>611.6</v>
      </c>
      <c r="AF248">
        <v>1.0765</v>
      </c>
      <c r="AG248" t="s">
        <v>49</v>
      </c>
      <c r="AH248" s="23">
        <f>SUM(Amazon_Data_Set[[#This Row],[Gross Sales]]-Amazon_Data_Set[[#This Row],[Discount Amount]])</f>
        <v>658.37</v>
      </c>
    </row>
    <row r="249" spans="1:34">
      <c r="A249" t="s">
        <v>862</v>
      </c>
      <c r="B249" s="1">
        <v>46100</v>
      </c>
      <c r="C249" t="str">
        <f>TEXT(Amazon_Data_Set[[#This Row],[Order Date]],"mmm")</f>
        <v>Mar</v>
      </c>
      <c r="D249" t="s">
        <v>842</v>
      </c>
      <c r="E249" t="s">
        <v>52</v>
      </c>
      <c r="F249" t="s">
        <v>53</v>
      </c>
      <c r="G249" t="s">
        <v>54</v>
      </c>
      <c r="H249" t="s">
        <v>142</v>
      </c>
      <c r="I249" t="s">
        <v>214</v>
      </c>
      <c r="J249" t="s">
        <v>350</v>
      </c>
      <c r="K249" t="s">
        <v>351</v>
      </c>
      <c r="L249" t="s">
        <v>863</v>
      </c>
      <c r="M249" t="s">
        <v>43</v>
      </c>
      <c r="N249" t="s">
        <v>70</v>
      </c>
      <c r="O249" t="s">
        <v>130</v>
      </c>
      <c r="P249">
        <v>4</v>
      </c>
      <c r="Q249">
        <v>6903.27</v>
      </c>
      <c r="R249" s="19">
        <v>0.2</v>
      </c>
      <c r="S249" s="21">
        <v>5522.62</v>
      </c>
      <c r="T249">
        <v>27613.08</v>
      </c>
      <c r="U249" s="2">
        <v>22090.46</v>
      </c>
      <c r="V249">
        <v>189.76</v>
      </c>
      <c r="W249">
        <v>11969.81</v>
      </c>
      <c r="X249" s="2">
        <v>9930.89</v>
      </c>
      <c r="Y249">
        <v>0.4496</v>
      </c>
      <c r="Z249">
        <v>1</v>
      </c>
      <c r="AA249" t="s">
        <v>131</v>
      </c>
      <c r="AB249" t="s">
        <v>47</v>
      </c>
      <c r="AE249" s="2">
        <v>21857.15</v>
      </c>
      <c r="AF249">
        <v>1.0106999999999999</v>
      </c>
      <c r="AG249" t="s">
        <v>49</v>
      </c>
      <c r="AH249" s="23">
        <f>SUM(Amazon_Data_Set[[#This Row],[Gross Sales]]-Amazon_Data_Set[[#This Row],[Discount Amount]])</f>
        <v>22090.460000000003</v>
      </c>
    </row>
    <row r="250" spans="1:34">
      <c r="A250" t="s">
        <v>864</v>
      </c>
      <c r="B250" s="1">
        <v>46108</v>
      </c>
      <c r="C250" t="str">
        <f>TEXT(Amazon_Data_Set[[#This Row],[Order Date]],"mmm")</f>
        <v>Mar</v>
      </c>
      <c r="D250" t="s">
        <v>865</v>
      </c>
      <c r="E250" t="s">
        <v>118</v>
      </c>
      <c r="F250" t="s">
        <v>119</v>
      </c>
      <c r="G250" t="s">
        <v>82</v>
      </c>
      <c r="H250" t="s">
        <v>83</v>
      </c>
      <c r="I250" t="s">
        <v>188</v>
      </c>
      <c r="J250" t="s">
        <v>189</v>
      </c>
      <c r="K250" t="s">
        <v>190</v>
      </c>
      <c r="L250" t="s">
        <v>866</v>
      </c>
      <c r="M250" t="s">
        <v>43</v>
      </c>
      <c r="N250" t="s">
        <v>44</v>
      </c>
      <c r="O250" t="s">
        <v>130</v>
      </c>
      <c r="P250">
        <v>1</v>
      </c>
      <c r="Q250">
        <v>1922.17</v>
      </c>
      <c r="R250" s="19">
        <v>0.05</v>
      </c>
      <c r="S250" s="21">
        <v>96.11</v>
      </c>
      <c r="T250">
        <v>1922.17</v>
      </c>
      <c r="U250" s="2">
        <v>1826.06</v>
      </c>
      <c r="V250">
        <v>16.45</v>
      </c>
      <c r="W250">
        <v>936.07</v>
      </c>
      <c r="X250" s="2">
        <v>873.54</v>
      </c>
      <c r="Y250">
        <v>0.47839999999999999</v>
      </c>
      <c r="Z250">
        <v>3</v>
      </c>
      <c r="AA250" t="s">
        <v>131</v>
      </c>
      <c r="AB250" t="s">
        <v>47</v>
      </c>
      <c r="AE250" s="2">
        <v>1985.04</v>
      </c>
      <c r="AF250">
        <v>0.91990000000000005</v>
      </c>
      <c r="AG250" t="s">
        <v>49</v>
      </c>
      <c r="AH250" s="23">
        <f>SUM(Amazon_Data_Set[[#This Row],[Gross Sales]]-Amazon_Data_Set[[#This Row],[Discount Amount]])</f>
        <v>1826.0600000000002</v>
      </c>
    </row>
    <row r="251" spans="1:34">
      <c r="A251" t="s">
        <v>867</v>
      </c>
      <c r="B251" s="1">
        <v>46295</v>
      </c>
      <c r="C251" t="str">
        <f>TEXT(Amazon_Data_Set[[#This Row],[Order Date]],"mmm")</f>
        <v>Sep</v>
      </c>
      <c r="D251" t="s">
        <v>868</v>
      </c>
      <c r="E251" t="s">
        <v>100</v>
      </c>
      <c r="F251" t="s">
        <v>179</v>
      </c>
      <c r="G251" t="s">
        <v>54</v>
      </c>
      <c r="H251" t="s">
        <v>142</v>
      </c>
      <c r="I251" t="s">
        <v>209</v>
      </c>
      <c r="J251" t="s">
        <v>511</v>
      </c>
      <c r="K251" t="s">
        <v>512</v>
      </c>
      <c r="L251" t="s">
        <v>869</v>
      </c>
      <c r="M251" t="s">
        <v>106</v>
      </c>
      <c r="N251" t="s">
        <v>44</v>
      </c>
      <c r="O251" t="s">
        <v>130</v>
      </c>
      <c r="P251">
        <v>2</v>
      </c>
      <c r="Q251">
        <v>3724.3</v>
      </c>
      <c r="R251" s="19">
        <v>0.15</v>
      </c>
      <c r="S251" s="21">
        <v>1117.29</v>
      </c>
      <c r="T251">
        <v>7448.6</v>
      </c>
      <c r="U251" s="2">
        <v>6331.31</v>
      </c>
      <c r="V251">
        <v>234.65</v>
      </c>
      <c r="W251">
        <v>4542.2700000000004</v>
      </c>
      <c r="X251" s="2">
        <v>1554.39</v>
      </c>
      <c r="Y251">
        <v>0.2455</v>
      </c>
      <c r="Z251">
        <v>3</v>
      </c>
      <c r="AA251" t="s">
        <v>131</v>
      </c>
      <c r="AB251" t="s">
        <v>47</v>
      </c>
      <c r="AE251" s="2">
        <v>6851.64</v>
      </c>
      <c r="AF251">
        <v>0.92410000000000003</v>
      </c>
      <c r="AG251" t="s">
        <v>49</v>
      </c>
      <c r="AH251" s="23">
        <f>SUM(Amazon_Data_Set[[#This Row],[Gross Sales]]-Amazon_Data_Set[[#This Row],[Discount Amount]])</f>
        <v>6331.31</v>
      </c>
    </row>
    <row r="252" spans="1:34">
      <c r="A252" t="s">
        <v>870</v>
      </c>
      <c r="B252" s="1">
        <v>46105</v>
      </c>
      <c r="C252" t="str">
        <f>TEXT(Amazon_Data_Set[[#This Row],[Order Date]],"mmm")</f>
        <v>Mar</v>
      </c>
      <c r="D252" t="s">
        <v>772</v>
      </c>
      <c r="E252" t="s">
        <v>109</v>
      </c>
      <c r="F252" t="s">
        <v>110</v>
      </c>
      <c r="G252" t="s">
        <v>111</v>
      </c>
      <c r="H252" t="s">
        <v>55</v>
      </c>
      <c r="I252" t="s">
        <v>120</v>
      </c>
      <c r="J252" t="s">
        <v>127</v>
      </c>
      <c r="K252" t="s">
        <v>128</v>
      </c>
      <c r="L252" t="s">
        <v>871</v>
      </c>
      <c r="M252" t="s">
        <v>43</v>
      </c>
      <c r="N252" t="s">
        <v>95</v>
      </c>
      <c r="O252" t="s">
        <v>45</v>
      </c>
      <c r="P252">
        <v>2</v>
      </c>
      <c r="Q252">
        <v>32455.06</v>
      </c>
      <c r="R252" s="19">
        <v>0.15</v>
      </c>
      <c r="S252" s="21">
        <v>9736.52</v>
      </c>
      <c r="T252">
        <v>64910.12</v>
      </c>
      <c r="U252" s="2">
        <v>55173.599999999999</v>
      </c>
      <c r="V252">
        <v>103.69</v>
      </c>
      <c r="W252">
        <v>28826.79</v>
      </c>
      <c r="X252" s="2">
        <v>26243.119999999999</v>
      </c>
      <c r="Y252">
        <v>0.47560000000000002</v>
      </c>
      <c r="Z252">
        <v>6</v>
      </c>
      <c r="AA252" t="s">
        <v>61</v>
      </c>
      <c r="AB252" t="s">
        <v>47</v>
      </c>
      <c r="AD252">
        <v>5</v>
      </c>
      <c r="AE252" s="2">
        <v>51520.35</v>
      </c>
      <c r="AF252">
        <v>1.0709</v>
      </c>
      <c r="AG252" t="s">
        <v>49</v>
      </c>
      <c r="AH252" s="23">
        <f>SUM(Amazon_Data_Set[[#This Row],[Gross Sales]]-Amazon_Data_Set[[#This Row],[Discount Amount]])</f>
        <v>55173.600000000006</v>
      </c>
    </row>
    <row r="253" spans="1:34">
      <c r="A253" t="s">
        <v>872</v>
      </c>
      <c r="B253" s="1">
        <v>46233</v>
      </c>
      <c r="C253" t="str">
        <f>TEXT(Amazon_Data_Set[[#This Row],[Order Date]],"mmm")</f>
        <v>Jul</v>
      </c>
      <c r="D253" t="s">
        <v>873</v>
      </c>
      <c r="E253" t="s">
        <v>100</v>
      </c>
      <c r="F253" t="s">
        <v>101</v>
      </c>
      <c r="G253" t="s">
        <v>54</v>
      </c>
      <c r="H253" t="s">
        <v>142</v>
      </c>
      <c r="I253" t="s">
        <v>214</v>
      </c>
      <c r="J253" t="s">
        <v>308</v>
      </c>
      <c r="K253" t="s">
        <v>309</v>
      </c>
      <c r="L253" t="s">
        <v>874</v>
      </c>
      <c r="M253" t="s">
        <v>43</v>
      </c>
      <c r="N253" t="s">
        <v>77</v>
      </c>
      <c r="O253" t="s">
        <v>96</v>
      </c>
      <c r="P253">
        <v>1</v>
      </c>
      <c r="Q253">
        <v>431.51</v>
      </c>
      <c r="R253" s="19">
        <v>0.25</v>
      </c>
      <c r="S253" s="21">
        <v>107.88</v>
      </c>
      <c r="T253">
        <v>431.51</v>
      </c>
      <c r="U253" s="2">
        <v>323.63</v>
      </c>
      <c r="V253">
        <v>246.31</v>
      </c>
      <c r="W253">
        <v>243.21</v>
      </c>
      <c r="X253" s="2">
        <v>-165.89</v>
      </c>
      <c r="Y253">
        <v>-0.51259999999999994</v>
      </c>
      <c r="Z253">
        <v>0</v>
      </c>
      <c r="AA253" t="s">
        <v>97</v>
      </c>
      <c r="AB253" t="s">
        <v>47</v>
      </c>
      <c r="AE253" s="2">
        <v>393.24</v>
      </c>
      <c r="AF253">
        <v>0.82299999999999995</v>
      </c>
      <c r="AG253" t="s">
        <v>49</v>
      </c>
      <c r="AH253" s="23">
        <f>SUM(Amazon_Data_Set[[#This Row],[Gross Sales]]-Amazon_Data_Set[[#This Row],[Discount Amount]])</f>
        <v>323.63</v>
      </c>
    </row>
    <row r="254" spans="1:34">
      <c r="A254" t="s">
        <v>875</v>
      </c>
      <c r="B254" s="1">
        <v>46292</v>
      </c>
      <c r="C254" t="str">
        <f>TEXT(Amazon_Data_Set[[#This Row],[Order Date]],"mmm")</f>
        <v>Sep</v>
      </c>
      <c r="D254" t="s">
        <v>263</v>
      </c>
      <c r="E254" t="s">
        <v>100</v>
      </c>
      <c r="F254" t="s">
        <v>101</v>
      </c>
      <c r="G254" t="s">
        <v>54</v>
      </c>
      <c r="H254" t="s">
        <v>142</v>
      </c>
      <c r="I254" t="s">
        <v>143</v>
      </c>
      <c r="J254" t="s">
        <v>183</v>
      </c>
      <c r="K254" t="s">
        <v>184</v>
      </c>
      <c r="L254" t="s">
        <v>876</v>
      </c>
      <c r="M254" t="s">
        <v>43</v>
      </c>
      <c r="N254" t="s">
        <v>70</v>
      </c>
      <c r="O254" t="s">
        <v>45</v>
      </c>
      <c r="P254">
        <v>2</v>
      </c>
      <c r="Q254">
        <v>860.56</v>
      </c>
      <c r="R254" s="19">
        <v>0.25</v>
      </c>
      <c r="S254" s="21">
        <v>430.28</v>
      </c>
      <c r="T254">
        <v>1721.12</v>
      </c>
      <c r="U254" s="2">
        <v>1290.8399999999999</v>
      </c>
      <c r="V254">
        <v>146.4</v>
      </c>
      <c r="W254">
        <v>916.47</v>
      </c>
      <c r="X254" s="2">
        <v>227.97</v>
      </c>
      <c r="Y254">
        <v>0.17660000000000001</v>
      </c>
      <c r="Z254">
        <v>6</v>
      </c>
      <c r="AA254" t="s">
        <v>61</v>
      </c>
      <c r="AB254" t="s">
        <v>47</v>
      </c>
      <c r="AD254">
        <v>3</v>
      </c>
      <c r="AE254" s="2">
        <v>1535.22</v>
      </c>
      <c r="AF254">
        <v>0.84079999999999999</v>
      </c>
      <c r="AG254" t="s">
        <v>49</v>
      </c>
      <c r="AH254" s="23">
        <f>SUM(Amazon_Data_Set[[#This Row],[Gross Sales]]-Amazon_Data_Set[[#This Row],[Discount Amount]])</f>
        <v>1290.8399999999999</v>
      </c>
    </row>
    <row r="255" spans="1:34">
      <c r="A255" t="s">
        <v>877</v>
      </c>
      <c r="B255" s="1">
        <v>46053</v>
      </c>
      <c r="C255" t="str">
        <f>TEXT(Amazon_Data_Set[[#This Row],[Order Date]],"mmm")</f>
        <v>Jan</v>
      </c>
      <c r="D255" t="s">
        <v>518</v>
      </c>
      <c r="E255" t="s">
        <v>100</v>
      </c>
      <c r="F255" t="s">
        <v>179</v>
      </c>
      <c r="G255" t="s">
        <v>54</v>
      </c>
      <c r="H255" t="s">
        <v>90</v>
      </c>
      <c r="I255" t="s">
        <v>91</v>
      </c>
      <c r="J255" t="s">
        <v>92</v>
      </c>
      <c r="K255" t="s">
        <v>93</v>
      </c>
      <c r="L255" t="s">
        <v>878</v>
      </c>
      <c r="M255" t="s">
        <v>106</v>
      </c>
      <c r="N255" t="s">
        <v>95</v>
      </c>
      <c r="O255" t="s">
        <v>45</v>
      </c>
      <c r="P255">
        <v>5</v>
      </c>
      <c r="Q255">
        <v>1453.64</v>
      </c>
      <c r="R255" s="19">
        <v>0</v>
      </c>
      <c r="S255" s="21">
        <v>0</v>
      </c>
      <c r="T255">
        <v>7268.2</v>
      </c>
      <c r="U255" s="2">
        <v>7268.2</v>
      </c>
      <c r="V255">
        <v>244.88</v>
      </c>
      <c r="W255">
        <v>5148.3</v>
      </c>
      <c r="X255" s="2">
        <v>1875.02</v>
      </c>
      <c r="Y255">
        <v>0.25800000000000001</v>
      </c>
      <c r="Z255">
        <v>6</v>
      </c>
      <c r="AA255" t="s">
        <v>61</v>
      </c>
      <c r="AB255" t="s">
        <v>47</v>
      </c>
      <c r="AD255">
        <v>4</v>
      </c>
      <c r="AE255" s="2">
        <v>7629.48</v>
      </c>
      <c r="AF255">
        <v>0.9526</v>
      </c>
      <c r="AG255" t="s">
        <v>49</v>
      </c>
      <c r="AH255" s="23">
        <f>SUM(Amazon_Data_Set[[#This Row],[Gross Sales]]-Amazon_Data_Set[[#This Row],[Discount Amount]])</f>
        <v>7268.2</v>
      </c>
    </row>
    <row r="256" spans="1:34">
      <c r="A256" t="s">
        <v>879</v>
      </c>
      <c r="B256" s="1">
        <v>46158</v>
      </c>
      <c r="C256" t="str">
        <f>TEXT(Amazon_Data_Set[[#This Row],[Order Date]],"mmm")</f>
        <v>May</v>
      </c>
      <c r="D256" t="s">
        <v>507</v>
      </c>
      <c r="E256" t="s">
        <v>149</v>
      </c>
      <c r="F256" t="s">
        <v>150</v>
      </c>
      <c r="G256" t="s">
        <v>37</v>
      </c>
      <c r="H256" t="s">
        <v>142</v>
      </c>
      <c r="I256" t="s">
        <v>209</v>
      </c>
      <c r="J256" t="s">
        <v>243</v>
      </c>
      <c r="K256" t="s">
        <v>145</v>
      </c>
      <c r="L256" t="s">
        <v>880</v>
      </c>
      <c r="M256" t="s">
        <v>43</v>
      </c>
      <c r="N256" t="s">
        <v>70</v>
      </c>
      <c r="O256" t="s">
        <v>45</v>
      </c>
      <c r="P256">
        <v>1</v>
      </c>
      <c r="Q256">
        <v>6901.86</v>
      </c>
      <c r="R256" s="19">
        <v>0.15</v>
      </c>
      <c r="S256" s="21">
        <v>1035.28</v>
      </c>
      <c r="T256">
        <v>6901.86</v>
      </c>
      <c r="U256" s="2">
        <v>5866.58</v>
      </c>
      <c r="V256">
        <v>87.73</v>
      </c>
      <c r="W256">
        <v>4371.3100000000004</v>
      </c>
      <c r="X256" s="2">
        <v>1407.54</v>
      </c>
      <c r="Y256">
        <v>0.2399</v>
      </c>
      <c r="Z256">
        <v>3</v>
      </c>
      <c r="AA256" t="s">
        <v>46</v>
      </c>
      <c r="AB256" t="s">
        <v>47</v>
      </c>
      <c r="AD256">
        <v>5</v>
      </c>
      <c r="AE256" s="2">
        <v>6191.51</v>
      </c>
      <c r="AF256">
        <v>0.94750000000000001</v>
      </c>
      <c r="AG256" t="s">
        <v>49</v>
      </c>
      <c r="AH256" s="23">
        <f>SUM(Amazon_Data_Set[[#This Row],[Gross Sales]]-Amazon_Data_Set[[#This Row],[Discount Amount]])</f>
        <v>5866.58</v>
      </c>
    </row>
    <row r="257" spans="1:34">
      <c r="A257" t="s">
        <v>881</v>
      </c>
      <c r="B257" s="1">
        <v>46360</v>
      </c>
      <c r="C257" t="str">
        <f>TEXT(Amazon_Data_Set[[#This Row],[Order Date]],"mmm")</f>
        <v>Dec</v>
      </c>
      <c r="D257" t="s">
        <v>365</v>
      </c>
      <c r="E257" t="s">
        <v>140</v>
      </c>
      <c r="F257" t="s">
        <v>141</v>
      </c>
      <c r="G257" t="s">
        <v>54</v>
      </c>
      <c r="H257" t="s">
        <v>55</v>
      </c>
      <c r="I257" t="s">
        <v>73</v>
      </c>
      <c r="J257" t="s">
        <v>230</v>
      </c>
      <c r="K257" t="s">
        <v>231</v>
      </c>
      <c r="L257" t="s">
        <v>882</v>
      </c>
      <c r="M257" t="s">
        <v>43</v>
      </c>
      <c r="N257" t="s">
        <v>70</v>
      </c>
      <c r="O257" t="s">
        <v>45</v>
      </c>
      <c r="P257">
        <v>4</v>
      </c>
      <c r="Q257">
        <v>52851.839999999997</v>
      </c>
      <c r="R257" s="19">
        <v>0.25</v>
      </c>
      <c r="S257" s="21">
        <v>52851.839999999997</v>
      </c>
      <c r="T257">
        <v>211407.35999999999</v>
      </c>
      <c r="U257" s="2">
        <v>158555.51999999999</v>
      </c>
      <c r="V257">
        <v>105.72</v>
      </c>
      <c r="W257">
        <v>94492.89</v>
      </c>
      <c r="X257" s="2">
        <v>63956.91</v>
      </c>
      <c r="Y257">
        <v>0.40339999999999998</v>
      </c>
      <c r="Z257">
        <v>2</v>
      </c>
      <c r="AA257" t="s">
        <v>46</v>
      </c>
      <c r="AB257" t="s">
        <v>47</v>
      </c>
      <c r="AD257">
        <v>5</v>
      </c>
      <c r="AE257" s="2">
        <v>186003.04</v>
      </c>
      <c r="AF257">
        <v>0.85240000000000005</v>
      </c>
      <c r="AG257" t="s">
        <v>49</v>
      </c>
      <c r="AH257" s="23">
        <f>SUM(Amazon_Data_Set[[#This Row],[Gross Sales]]-Amazon_Data_Set[[#This Row],[Discount Amount]])</f>
        <v>158555.51999999999</v>
      </c>
    </row>
    <row r="258" spans="1:34">
      <c r="A258" t="s">
        <v>883</v>
      </c>
      <c r="B258" s="1">
        <v>46086</v>
      </c>
      <c r="C258" t="str">
        <f>TEXT(Amazon_Data_Set[[#This Row],[Order Date]],"mmm")</f>
        <v>Mar</v>
      </c>
      <c r="D258" t="s">
        <v>884</v>
      </c>
      <c r="E258" t="s">
        <v>52</v>
      </c>
      <c r="F258" t="s">
        <v>53</v>
      </c>
      <c r="G258" t="s">
        <v>54</v>
      </c>
      <c r="H258" t="s">
        <v>83</v>
      </c>
      <c r="I258" t="s">
        <v>84</v>
      </c>
      <c r="J258" t="s">
        <v>277</v>
      </c>
      <c r="K258" t="s">
        <v>86</v>
      </c>
      <c r="L258" t="s">
        <v>885</v>
      </c>
      <c r="M258" t="s">
        <v>106</v>
      </c>
      <c r="N258" t="s">
        <v>70</v>
      </c>
      <c r="O258" t="s">
        <v>45</v>
      </c>
      <c r="P258">
        <v>5</v>
      </c>
      <c r="Q258">
        <v>602.30999999999995</v>
      </c>
      <c r="R258" s="19">
        <v>0.05</v>
      </c>
      <c r="S258" s="21">
        <v>150.58000000000001</v>
      </c>
      <c r="T258">
        <v>3011.55</v>
      </c>
      <c r="U258" s="2">
        <v>2860.97</v>
      </c>
      <c r="V258">
        <v>112.88</v>
      </c>
      <c r="W258">
        <v>1565.38</v>
      </c>
      <c r="X258" s="2">
        <v>1182.71</v>
      </c>
      <c r="Y258">
        <v>0.41339999999999999</v>
      </c>
      <c r="Z258">
        <v>5</v>
      </c>
      <c r="AA258" t="s">
        <v>61</v>
      </c>
      <c r="AB258" t="s">
        <v>47</v>
      </c>
      <c r="AD258">
        <v>4</v>
      </c>
      <c r="AE258" s="2">
        <v>2485.46</v>
      </c>
      <c r="AF258">
        <v>1.1511</v>
      </c>
      <c r="AG258" t="s">
        <v>49</v>
      </c>
      <c r="AH258" s="23">
        <f>SUM(Amazon_Data_Set[[#This Row],[Gross Sales]]-Amazon_Data_Set[[#This Row],[Discount Amount]])</f>
        <v>2860.9700000000003</v>
      </c>
    </row>
    <row r="259" spans="1:34">
      <c r="A259" t="s">
        <v>886</v>
      </c>
      <c r="B259" s="1">
        <v>46181</v>
      </c>
      <c r="C259" t="str">
        <f>TEXT(Amazon_Data_Set[[#This Row],[Order Date]],"mmm")</f>
        <v>Jun</v>
      </c>
      <c r="D259" t="s">
        <v>887</v>
      </c>
      <c r="E259" t="s">
        <v>100</v>
      </c>
      <c r="F259" t="s">
        <v>179</v>
      </c>
      <c r="G259" t="s">
        <v>54</v>
      </c>
      <c r="H259" t="s">
        <v>90</v>
      </c>
      <c r="I259" t="s">
        <v>112</v>
      </c>
      <c r="J259" t="s">
        <v>113</v>
      </c>
      <c r="K259" t="s">
        <v>114</v>
      </c>
      <c r="L259" t="s">
        <v>888</v>
      </c>
      <c r="M259" t="s">
        <v>43</v>
      </c>
      <c r="N259" t="s">
        <v>70</v>
      </c>
      <c r="O259" t="s">
        <v>45</v>
      </c>
      <c r="P259">
        <v>2</v>
      </c>
      <c r="Q259">
        <v>191.59</v>
      </c>
      <c r="R259" s="19">
        <v>0.05</v>
      </c>
      <c r="S259" s="21">
        <v>19.16</v>
      </c>
      <c r="T259">
        <v>383.18</v>
      </c>
      <c r="U259" s="2">
        <v>364.02</v>
      </c>
      <c r="V259">
        <v>151.33000000000001</v>
      </c>
      <c r="W259">
        <v>211.87</v>
      </c>
      <c r="X259" s="2">
        <v>0.82</v>
      </c>
      <c r="Y259">
        <v>2.3E-3</v>
      </c>
      <c r="Z259">
        <v>4</v>
      </c>
      <c r="AA259" t="s">
        <v>46</v>
      </c>
      <c r="AB259" t="s">
        <v>47</v>
      </c>
      <c r="AD259">
        <v>5</v>
      </c>
      <c r="AE259" s="2">
        <v>433.19</v>
      </c>
      <c r="AF259">
        <v>0.84030000000000005</v>
      </c>
      <c r="AG259" t="s">
        <v>49</v>
      </c>
      <c r="AH259" s="23">
        <f>SUM(Amazon_Data_Set[[#This Row],[Gross Sales]]-Amazon_Data_Set[[#This Row],[Discount Amount]])</f>
        <v>364.02</v>
      </c>
    </row>
    <row r="260" spans="1:34">
      <c r="A260" t="s">
        <v>889</v>
      </c>
      <c r="B260" s="1">
        <v>46304</v>
      </c>
      <c r="C260" t="str">
        <f>TEXT(Amazon_Data_Set[[#This Row],[Order Date]],"mmm")</f>
        <v>Oct</v>
      </c>
      <c r="D260" t="s">
        <v>99</v>
      </c>
      <c r="E260" t="s">
        <v>140</v>
      </c>
      <c r="F260" t="s">
        <v>141</v>
      </c>
      <c r="G260" t="s">
        <v>54</v>
      </c>
      <c r="H260" t="s">
        <v>38</v>
      </c>
      <c r="I260" t="s">
        <v>66</v>
      </c>
      <c r="J260" t="s">
        <v>67</v>
      </c>
      <c r="K260" t="s">
        <v>68</v>
      </c>
      <c r="L260" t="s">
        <v>890</v>
      </c>
      <c r="M260" t="s">
        <v>43</v>
      </c>
      <c r="N260" t="s">
        <v>70</v>
      </c>
      <c r="O260" t="s">
        <v>45</v>
      </c>
      <c r="P260">
        <v>2</v>
      </c>
      <c r="Q260">
        <v>538.70000000000005</v>
      </c>
      <c r="R260" s="19">
        <v>0.25</v>
      </c>
      <c r="S260" s="21">
        <v>269.35000000000002</v>
      </c>
      <c r="T260">
        <v>1077.4000000000001</v>
      </c>
      <c r="U260" s="2">
        <v>808.05</v>
      </c>
      <c r="V260">
        <v>218.3</v>
      </c>
      <c r="W260">
        <v>407.07</v>
      </c>
      <c r="X260" s="2">
        <v>182.68</v>
      </c>
      <c r="Y260">
        <v>0.2261</v>
      </c>
      <c r="Z260">
        <v>1</v>
      </c>
      <c r="AA260" t="s">
        <v>46</v>
      </c>
      <c r="AB260" t="s">
        <v>47</v>
      </c>
      <c r="AD260">
        <v>5</v>
      </c>
      <c r="AE260" s="2">
        <v>698.28</v>
      </c>
      <c r="AF260">
        <v>1.1572</v>
      </c>
      <c r="AG260" t="s">
        <v>49</v>
      </c>
      <c r="AH260" s="23">
        <f>SUM(Amazon_Data_Set[[#This Row],[Gross Sales]]-Amazon_Data_Set[[#This Row],[Discount Amount]])</f>
        <v>808.05000000000007</v>
      </c>
    </row>
    <row r="261" spans="1:34">
      <c r="A261" t="s">
        <v>891</v>
      </c>
      <c r="B261" s="1">
        <v>46176</v>
      </c>
      <c r="C261" t="str">
        <f>TEXT(Amazon_Data_Set[[#This Row],[Order Date]],"mmm")</f>
        <v>Jun</v>
      </c>
      <c r="D261" t="s">
        <v>758</v>
      </c>
      <c r="E261" t="s">
        <v>35</v>
      </c>
      <c r="F261" t="s">
        <v>36</v>
      </c>
      <c r="G261" t="s">
        <v>37</v>
      </c>
      <c r="H261" t="s">
        <v>83</v>
      </c>
      <c r="I261" t="s">
        <v>102</v>
      </c>
      <c r="J261" t="s">
        <v>103</v>
      </c>
      <c r="K261" t="s">
        <v>104</v>
      </c>
      <c r="L261" t="s">
        <v>892</v>
      </c>
      <c r="M261" t="s">
        <v>106</v>
      </c>
      <c r="N261" t="s">
        <v>77</v>
      </c>
      <c r="O261" t="s">
        <v>96</v>
      </c>
      <c r="P261">
        <v>5</v>
      </c>
      <c r="Q261">
        <v>1089.05</v>
      </c>
      <c r="R261" s="19">
        <v>0</v>
      </c>
      <c r="S261" s="21">
        <v>0</v>
      </c>
      <c r="T261">
        <v>5445.25</v>
      </c>
      <c r="U261" s="2">
        <v>5445.25</v>
      </c>
      <c r="V261">
        <v>44.26</v>
      </c>
      <c r="W261">
        <v>3189.68</v>
      </c>
      <c r="X261" s="2">
        <v>2211.31</v>
      </c>
      <c r="Y261">
        <v>0.40610000000000002</v>
      </c>
      <c r="Z261">
        <v>0</v>
      </c>
      <c r="AA261" t="s">
        <v>97</v>
      </c>
      <c r="AB261" t="s">
        <v>47</v>
      </c>
      <c r="AE261" s="2">
        <v>5026.4399999999996</v>
      </c>
      <c r="AF261">
        <v>1.0832999999999999</v>
      </c>
      <c r="AG261" t="s">
        <v>49</v>
      </c>
      <c r="AH261" s="23">
        <f>SUM(Amazon_Data_Set[[#This Row],[Gross Sales]]-Amazon_Data_Set[[#This Row],[Discount Amount]])</f>
        <v>5445.25</v>
      </c>
    </row>
    <row r="262" spans="1:34">
      <c r="A262" t="s">
        <v>893</v>
      </c>
      <c r="B262" s="1">
        <v>46222</v>
      </c>
      <c r="C262" t="str">
        <f>TEXT(Amazon_Data_Set[[#This Row],[Order Date]],"mmm")</f>
        <v>Jul</v>
      </c>
      <c r="D262" t="s">
        <v>34</v>
      </c>
      <c r="E262" t="s">
        <v>275</v>
      </c>
      <c r="F262" t="s">
        <v>276</v>
      </c>
      <c r="G262" t="s">
        <v>37</v>
      </c>
      <c r="H262" t="s">
        <v>55</v>
      </c>
      <c r="I262" t="s">
        <v>73</v>
      </c>
      <c r="J262" t="s">
        <v>387</v>
      </c>
      <c r="K262" t="s">
        <v>388</v>
      </c>
      <c r="L262" t="s">
        <v>894</v>
      </c>
      <c r="M262" t="s">
        <v>43</v>
      </c>
      <c r="N262" t="s">
        <v>44</v>
      </c>
      <c r="O262" t="s">
        <v>45</v>
      </c>
      <c r="P262">
        <v>3</v>
      </c>
      <c r="Q262">
        <v>45663.93</v>
      </c>
      <c r="R262" s="19">
        <v>0.3</v>
      </c>
      <c r="S262" s="21">
        <v>41097.54</v>
      </c>
      <c r="T262">
        <v>136991.79</v>
      </c>
      <c r="U262" s="2">
        <v>95894.25</v>
      </c>
      <c r="V262">
        <v>107.36</v>
      </c>
      <c r="W262">
        <v>68542.679999999993</v>
      </c>
      <c r="X262" s="2">
        <v>27244.21</v>
      </c>
      <c r="Y262">
        <v>0.28410000000000002</v>
      </c>
      <c r="Z262">
        <v>5</v>
      </c>
      <c r="AA262" t="s">
        <v>61</v>
      </c>
      <c r="AB262" t="s">
        <v>47</v>
      </c>
      <c r="AD262">
        <v>3</v>
      </c>
      <c r="AE262" s="2">
        <v>97478.44</v>
      </c>
      <c r="AF262">
        <v>0.98370000000000002</v>
      </c>
      <c r="AG262" t="s">
        <v>49</v>
      </c>
      <c r="AH262" s="23">
        <f>SUM(Amazon_Data_Set[[#This Row],[Gross Sales]]-Amazon_Data_Set[[#This Row],[Discount Amount]])</f>
        <v>95894.25</v>
      </c>
    </row>
    <row r="263" spans="1:34">
      <c r="A263" t="s">
        <v>895</v>
      </c>
      <c r="B263" s="1">
        <v>46194</v>
      </c>
      <c r="C263" t="str">
        <f>TEXT(Amazon_Data_Set[[#This Row],[Order Date]],"mmm")</f>
        <v>Jun</v>
      </c>
      <c r="D263" t="s">
        <v>635</v>
      </c>
      <c r="E263" t="s">
        <v>275</v>
      </c>
      <c r="F263" t="s">
        <v>276</v>
      </c>
      <c r="G263" t="s">
        <v>37</v>
      </c>
      <c r="H263" t="s">
        <v>83</v>
      </c>
      <c r="I263" t="s">
        <v>102</v>
      </c>
      <c r="J263" t="s">
        <v>259</v>
      </c>
      <c r="K263" t="s">
        <v>260</v>
      </c>
      <c r="L263" t="s">
        <v>896</v>
      </c>
      <c r="M263" t="s">
        <v>106</v>
      </c>
      <c r="N263" t="s">
        <v>70</v>
      </c>
      <c r="O263" t="s">
        <v>45</v>
      </c>
      <c r="P263">
        <v>4</v>
      </c>
      <c r="Q263">
        <v>800.11</v>
      </c>
      <c r="R263" s="19">
        <v>0.05</v>
      </c>
      <c r="S263" s="21">
        <v>160.02000000000001</v>
      </c>
      <c r="T263">
        <v>3200.44</v>
      </c>
      <c r="U263" s="2">
        <v>3040.42</v>
      </c>
      <c r="V263">
        <v>159.71</v>
      </c>
      <c r="W263">
        <v>2100.89</v>
      </c>
      <c r="X263" s="2">
        <v>779.82</v>
      </c>
      <c r="Y263">
        <v>0.25650000000000001</v>
      </c>
      <c r="Z263">
        <v>3</v>
      </c>
      <c r="AA263" t="s">
        <v>46</v>
      </c>
      <c r="AB263" t="s">
        <v>47</v>
      </c>
      <c r="AD263">
        <v>5</v>
      </c>
      <c r="AE263" s="2">
        <v>2881.22</v>
      </c>
      <c r="AF263">
        <v>1.0552999999999999</v>
      </c>
      <c r="AG263" t="s">
        <v>49</v>
      </c>
      <c r="AH263" s="23">
        <f>SUM(Amazon_Data_Set[[#This Row],[Gross Sales]]-Amazon_Data_Set[[#This Row],[Discount Amount]])</f>
        <v>3040.42</v>
      </c>
    </row>
    <row r="264" spans="1:34">
      <c r="A264" t="s">
        <v>897</v>
      </c>
      <c r="B264" s="1">
        <v>46210</v>
      </c>
      <c r="C264" t="str">
        <f>TEXT(Amazon_Data_Set[[#This Row],[Order Date]],"mmm")</f>
        <v>Jul</v>
      </c>
      <c r="D264" t="s">
        <v>898</v>
      </c>
      <c r="E264" t="s">
        <v>194</v>
      </c>
      <c r="F264" t="s">
        <v>195</v>
      </c>
      <c r="G264" t="s">
        <v>111</v>
      </c>
      <c r="H264" t="s">
        <v>55</v>
      </c>
      <c r="I264" t="s">
        <v>120</v>
      </c>
      <c r="J264" t="s">
        <v>169</v>
      </c>
      <c r="K264" t="s">
        <v>170</v>
      </c>
      <c r="L264" t="s">
        <v>899</v>
      </c>
      <c r="M264" t="s">
        <v>43</v>
      </c>
      <c r="N264" t="s">
        <v>95</v>
      </c>
      <c r="O264" t="s">
        <v>96</v>
      </c>
      <c r="P264">
        <v>5</v>
      </c>
      <c r="Q264">
        <v>34125.230000000003</v>
      </c>
      <c r="R264" s="19">
        <v>0.15</v>
      </c>
      <c r="S264" s="21">
        <v>25593.919999999998</v>
      </c>
      <c r="T264">
        <v>170626.15</v>
      </c>
      <c r="U264" s="2">
        <v>145032.23000000001</v>
      </c>
      <c r="V264">
        <v>41.4</v>
      </c>
      <c r="W264">
        <v>76096.899999999994</v>
      </c>
      <c r="X264" s="2">
        <v>68893.929999999993</v>
      </c>
      <c r="Y264">
        <v>0.47499999999999998</v>
      </c>
      <c r="Z264">
        <v>0</v>
      </c>
      <c r="AA264" t="s">
        <v>97</v>
      </c>
      <c r="AB264" t="s">
        <v>47</v>
      </c>
      <c r="AE264" s="2">
        <v>167225.17000000001</v>
      </c>
      <c r="AF264">
        <v>0.86729999999999996</v>
      </c>
      <c r="AG264" t="s">
        <v>49</v>
      </c>
      <c r="AH264" s="23">
        <f>SUM(Amazon_Data_Set[[#This Row],[Gross Sales]]-Amazon_Data_Set[[#This Row],[Discount Amount]])</f>
        <v>145032.22999999998</v>
      </c>
    </row>
    <row r="265" spans="1:34">
      <c r="A265" t="s">
        <v>900</v>
      </c>
      <c r="B265" s="1">
        <v>46279</v>
      </c>
      <c r="C265" t="str">
        <f>TEXT(Amazon_Data_Set[[#This Row],[Order Date]],"mmm")</f>
        <v>Sep</v>
      </c>
      <c r="D265" t="s">
        <v>901</v>
      </c>
      <c r="E265" t="s">
        <v>80</v>
      </c>
      <c r="F265" t="s">
        <v>81</v>
      </c>
      <c r="G265" t="s">
        <v>82</v>
      </c>
      <c r="H265" t="s">
        <v>83</v>
      </c>
      <c r="I265" t="s">
        <v>188</v>
      </c>
      <c r="J265" t="s">
        <v>475</v>
      </c>
      <c r="K265" t="s">
        <v>476</v>
      </c>
      <c r="L265" t="s">
        <v>902</v>
      </c>
      <c r="M265" t="s">
        <v>43</v>
      </c>
      <c r="N265" t="s">
        <v>77</v>
      </c>
      <c r="O265" t="s">
        <v>45</v>
      </c>
      <c r="P265">
        <v>3</v>
      </c>
      <c r="Q265">
        <v>2248.2399999999998</v>
      </c>
      <c r="R265" s="19">
        <v>0.15</v>
      </c>
      <c r="S265" s="21">
        <v>1011.71</v>
      </c>
      <c r="T265">
        <v>6744.72</v>
      </c>
      <c r="U265" s="2">
        <v>5733.01</v>
      </c>
      <c r="V265">
        <v>8.0399999999999991</v>
      </c>
      <c r="W265">
        <v>4176.75</v>
      </c>
      <c r="X265" s="2">
        <v>1548.22</v>
      </c>
      <c r="Y265">
        <v>0.27010000000000001</v>
      </c>
      <c r="Z265">
        <v>4</v>
      </c>
      <c r="AA265" t="s">
        <v>46</v>
      </c>
      <c r="AB265" t="s">
        <v>48</v>
      </c>
      <c r="AC265" t="s">
        <v>520</v>
      </c>
      <c r="AD265">
        <v>4</v>
      </c>
      <c r="AE265" s="2">
        <v>5820.14</v>
      </c>
      <c r="AF265">
        <v>0.98499999999999999</v>
      </c>
      <c r="AG265" t="s">
        <v>49</v>
      </c>
      <c r="AH265" s="23">
        <f>SUM(Amazon_Data_Set[[#This Row],[Gross Sales]]-Amazon_Data_Set[[#This Row],[Discount Amount]])</f>
        <v>5733.01</v>
      </c>
    </row>
    <row r="266" spans="1:34">
      <c r="A266" t="s">
        <v>903</v>
      </c>
      <c r="B266" s="1">
        <v>46354</v>
      </c>
      <c r="C266" t="str">
        <f>TEXT(Amazon_Data_Set[[#This Row],[Order Date]],"mmm")</f>
        <v>Nov</v>
      </c>
      <c r="D266" t="s">
        <v>553</v>
      </c>
      <c r="E266" t="s">
        <v>109</v>
      </c>
      <c r="F266" t="s">
        <v>154</v>
      </c>
      <c r="G266" t="s">
        <v>111</v>
      </c>
      <c r="H266" t="s">
        <v>55</v>
      </c>
      <c r="I266" t="s">
        <v>120</v>
      </c>
      <c r="J266" t="s">
        <v>127</v>
      </c>
      <c r="K266" t="s">
        <v>128</v>
      </c>
      <c r="L266" t="s">
        <v>904</v>
      </c>
      <c r="M266" t="s">
        <v>106</v>
      </c>
      <c r="N266" t="s">
        <v>60</v>
      </c>
      <c r="O266" t="s">
        <v>45</v>
      </c>
      <c r="P266">
        <v>3</v>
      </c>
      <c r="Q266">
        <v>6104.41</v>
      </c>
      <c r="R266" s="19">
        <v>0.15</v>
      </c>
      <c r="S266" s="21">
        <v>2746.98</v>
      </c>
      <c r="T266">
        <v>18313.23</v>
      </c>
      <c r="U266" s="2">
        <v>15566.25</v>
      </c>
      <c r="V266">
        <v>55.19</v>
      </c>
      <c r="W266">
        <v>12058.22</v>
      </c>
      <c r="X266" s="2">
        <v>3452.84</v>
      </c>
      <c r="Y266">
        <v>0.2218</v>
      </c>
      <c r="Z266">
        <v>6</v>
      </c>
      <c r="AA266" t="s">
        <v>61</v>
      </c>
      <c r="AB266" t="s">
        <v>47</v>
      </c>
      <c r="AD266">
        <v>5</v>
      </c>
      <c r="AE266" s="2">
        <v>17742.38</v>
      </c>
      <c r="AF266">
        <v>0.87729999999999997</v>
      </c>
      <c r="AG266" t="s">
        <v>49</v>
      </c>
      <c r="AH266" s="23">
        <f>SUM(Amazon_Data_Set[[#This Row],[Gross Sales]]-Amazon_Data_Set[[#This Row],[Discount Amount]])</f>
        <v>15566.25</v>
      </c>
    </row>
    <row r="267" spans="1:34">
      <c r="A267" t="s">
        <v>905</v>
      </c>
      <c r="B267" s="1">
        <v>46070</v>
      </c>
      <c r="C267" t="str">
        <f>TEXT(Amazon_Data_Set[[#This Row],[Order Date]],"mmm")</f>
        <v>Feb</v>
      </c>
      <c r="D267" t="s">
        <v>411</v>
      </c>
      <c r="E267" t="s">
        <v>80</v>
      </c>
      <c r="F267" t="s">
        <v>81</v>
      </c>
      <c r="G267" t="s">
        <v>82</v>
      </c>
      <c r="H267" t="s">
        <v>90</v>
      </c>
      <c r="I267" t="s">
        <v>91</v>
      </c>
      <c r="J267" t="s">
        <v>92</v>
      </c>
      <c r="K267" t="s">
        <v>93</v>
      </c>
      <c r="L267" t="s">
        <v>906</v>
      </c>
      <c r="M267" t="s">
        <v>43</v>
      </c>
      <c r="N267" t="s">
        <v>70</v>
      </c>
      <c r="O267" t="s">
        <v>96</v>
      </c>
      <c r="P267">
        <v>2</v>
      </c>
      <c r="Q267">
        <v>696.5</v>
      </c>
      <c r="R267" s="19">
        <v>0.05</v>
      </c>
      <c r="S267" s="21">
        <v>69.650000000000006</v>
      </c>
      <c r="T267">
        <v>1393</v>
      </c>
      <c r="U267" s="2">
        <v>1323.35</v>
      </c>
      <c r="V267">
        <v>198.89</v>
      </c>
      <c r="W267">
        <v>688.21</v>
      </c>
      <c r="X267" s="2">
        <v>436.25</v>
      </c>
      <c r="Y267">
        <v>0.32969999999999999</v>
      </c>
      <c r="Z267">
        <v>0</v>
      </c>
      <c r="AA267" t="s">
        <v>97</v>
      </c>
      <c r="AB267" t="s">
        <v>47</v>
      </c>
      <c r="AE267" s="2">
        <v>1370.57</v>
      </c>
      <c r="AF267">
        <v>0.96550000000000002</v>
      </c>
      <c r="AG267" t="s">
        <v>49</v>
      </c>
      <c r="AH267" s="23">
        <f>SUM(Amazon_Data_Set[[#This Row],[Gross Sales]]-Amazon_Data_Set[[#This Row],[Discount Amount]])</f>
        <v>1323.35</v>
      </c>
    </row>
    <row r="268" spans="1:34">
      <c r="A268" t="s">
        <v>907</v>
      </c>
      <c r="B268" s="1">
        <v>46295</v>
      </c>
      <c r="C268" t="str">
        <f>TEXT(Amazon_Data_Set[[#This Row],[Order Date]],"mmm")</f>
        <v>Sep</v>
      </c>
      <c r="D268" t="s">
        <v>908</v>
      </c>
      <c r="E268" t="s">
        <v>109</v>
      </c>
      <c r="F268" t="s">
        <v>110</v>
      </c>
      <c r="G268" t="s">
        <v>111</v>
      </c>
      <c r="H268" t="s">
        <v>83</v>
      </c>
      <c r="I268" t="s">
        <v>84</v>
      </c>
      <c r="J268" t="s">
        <v>85</v>
      </c>
      <c r="K268" t="s">
        <v>86</v>
      </c>
      <c r="L268" t="s">
        <v>909</v>
      </c>
      <c r="M268" t="s">
        <v>106</v>
      </c>
      <c r="N268" t="s">
        <v>70</v>
      </c>
      <c r="O268" t="s">
        <v>45</v>
      </c>
      <c r="P268">
        <v>5</v>
      </c>
      <c r="Q268">
        <v>190.38</v>
      </c>
      <c r="R268" s="19">
        <v>0.1</v>
      </c>
      <c r="S268" s="21">
        <v>95.19</v>
      </c>
      <c r="T268">
        <v>951.9</v>
      </c>
      <c r="U268" s="2">
        <v>856.71</v>
      </c>
      <c r="V268">
        <v>90.04</v>
      </c>
      <c r="W268">
        <v>566.91999999999996</v>
      </c>
      <c r="X268" s="2">
        <v>199.75</v>
      </c>
      <c r="Y268">
        <v>0.23319999999999999</v>
      </c>
      <c r="Z268">
        <v>1</v>
      </c>
      <c r="AA268" t="s">
        <v>46</v>
      </c>
      <c r="AB268" t="s">
        <v>48</v>
      </c>
      <c r="AC268" t="s">
        <v>320</v>
      </c>
      <c r="AD268">
        <v>3</v>
      </c>
      <c r="AE268" s="2">
        <v>885.42</v>
      </c>
      <c r="AF268">
        <v>0.96760000000000002</v>
      </c>
      <c r="AG268" t="s">
        <v>49</v>
      </c>
      <c r="AH268" s="23">
        <f>SUM(Amazon_Data_Set[[#This Row],[Gross Sales]]-Amazon_Data_Set[[#This Row],[Discount Amount]])</f>
        <v>856.71</v>
      </c>
    </row>
    <row r="269" spans="1:34">
      <c r="A269" t="s">
        <v>910</v>
      </c>
      <c r="B269" s="1">
        <v>46040</v>
      </c>
      <c r="C269" t="str">
        <f>TEXT(Amazon_Data_Set[[#This Row],[Order Date]],"mmm")</f>
        <v>Jan</v>
      </c>
      <c r="D269" t="s">
        <v>911</v>
      </c>
      <c r="E269" t="s">
        <v>100</v>
      </c>
      <c r="F269" t="s">
        <v>179</v>
      </c>
      <c r="G269" t="s">
        <v>54</v>
      </c>
      <c r="H269" t="s">
        <v>90</v>
      </c>
      <c r="I269" t="s">
        <v>252</v>
      </c>
      <c r="J269" t="s">
        <v>528</v>
      </c>
      <c r="K269" t="s">
        <v>529</v>
      </c>
      <c r="L269" t="s">
        <v>912</v>
      </c>
      <c r="M269" t="s">
        <v>43</v>
      </c>
      <c r="N269" t="s">
        <v>70</v>
      </c>
      <c r="O269" t="s">
        <v>45</v>
      </c>
      <c r="P269">
        <v>1</v>
      </c>
      <c r="Q269">
        <v>449.88</v>
      </c>
      <c r="R269" s="19">
        <v>0</v>
      </c>
      <c r="S269" s="21">
        <v>0</v>
      </c>
      <c r="T269">
        <v>449.88</v>
      </c>
      <c r="U269" s="2">
        <v>449.88</v>
      </c>
      <c r="V269">
        <v>41.2</v>
      </c>
      <c r="W269">
        <v>270.57</v>
      </c>
      <c r="X269" s="2">
        <v>138.11000000000001</v>
      </c>
      <c r="Y269">
        <v>0.307</v>
      </c>
      <c r="Z269">
        <v>3</v>
      </c>
      <c r="AA269" t="s">
        <v>46</v>
      </c>
      <c r="AB269" t="s">
        <v>47</v>
      </c>
      <c r="AD269">
        <v>3</v>
      </c>
      <c r="AE269" s="2">
        <v>454.55</v>
      </c>
      <c r="AF269">
        <v>0.98970000000000002</v>
      </c>
      <c r="AG269" t="s">
        <v>49</v>
      </c>
      <c r="AH269" s="23">
        <f>SUM(Amazon_Data_Set[[#This Row],[Gross Sales]]-Amazon_Data_Set[[#This Row],[Discount Amount]])</f>
        <v>449.88</v>
      </c>
    </row>
    <row r="270" spans="1:34">
      <c r="A270" t="s">
        <v>913</v>
      </c>
      <c r="B270" s="1">
        <v>46029</v>
      </c>
      <c r="C270" t="str">
        <f>TEXT(Amazon_Data_Set[[#This Row],[Order Date]],"mmm")</f>
        <v>Jan</v>
      </c>
      <c r="D270" t="s">
        <v>914</v>
      </c>
      <c r="E270" t="s">
        <v>174</v>
      </c>
      <c r="F270" t="s">
        <v>175</v>
      </c>
      <c r="G270" t="s">
        <v>82</v>
      </c>
      <c r="H270" t="s">
        <v>83</v>
      </c>
      <c r="I270" t="s">
        <v>84</v>
      </c>
      <c r="J270" t="s">
        <v>85</v>
      </c>
      <c r="K270" t="s">
        <v>86</v>
      </c>
      <c r="L270" t="s">
        <v>915</v>
      </c>
      <c r="M270" t="s">
        <v>43</v>
      </c>
      <c r="N270" t="s">
        <v>124</v>
      </c>
      <c r="O270" t="s">
        <v>45</v>
      </c>
      <c r="P270">
        <v>2</v>
      </c>
      <c r="Q270">
        <v>228.96</v>
      </c>
      <c r="R270" s="19">
        <v>0.25</v>
      </c>
      <c r="S270" s="21">
        <v>114.48</v>
      </c>
      <c r="T270">
        <v>457.92</v>
      </c>
      <c r="U270" s="2">
        <v>343.44</v>
      </c>
      <c r="V270">
        <v>129.13</v>
      </c>
      <c r="W270">
        <v>177.28</v>
      </c>
      <c r="X270" s="2">
        <v>37.03</v>
      </c>
      <c r="Y270">
        <v>0.10780000000000001</v>
      </c>
      <c r="Z270">
        <v>3</v>
      </c>
      <c r="AA270" t="s">
        <v>46</v>
      </c>
      <c r="AB270" t="s">
        <v>48</v>
      </c>
      <c r="AC270" t="s">
        <v>137</v>
      </c>
      <c r="AD270">
        <v>5</v>
      </c>
      <c r="AE270" s="2">
        <v>302.23</v>
      </c>
      <c r="AF270">
        <v>1.1364000000000001</v>
      </c>
      <c r="AG270" t="s">
        <v>49</v>
      </c>
      <c r="AH270" s="23">
        <f>SUM(Amazon_Data_Set[[#This Row],[Gross Sales]]-Amazon_Data_Set[[#This Row],[Discount Amount]])</f>
        <v>343.44</v>
      </c>
    </row>
    <row r="271" spans="1:34">
      <c r="A271" t="s">
        <v>916</v>
      </c>
      <c r="B271" s="1">
        <v>46161</v>
      </c>
      <c r="C271" t="str">
        <f>TEXT(Amazon_Data_Set[[#This Row],[Order Date]],"mmm")</f>
        <v>May</v>
      </c>
      <c r="D271" t="s">
        <v>917</v>
      </c>
      <c r="E271" t="s">
        <v>64</v>
      </c>
      <c r="F271" t="s">
        <v>65</v>
      </c>
      <c r="G271" t="s">
        <v>54</v>
      </c>
      <c r="H271" t="s">
        <v>142</v>
      </c>
      <c r="I271" t="s">
        <v>209</v>
      </c>
      <c r="J271" t="s">
        <v>511</v>
      </c>
      <c r="K271" t="s">
        <v>512</v>
      </c>
      <c r="L271" t="s">
        <v>918</v>
      </c>
      <c r="M271" t="s">
        <v>43</v>
      </c>
      <c r="N271" t="s">
        <v>77</v>
      </c>
      <c r="O271" t="s">
        <v>45</v>
      </c>
      <c r="P271">
        <v>3</v>
      </c>
      <c r="Q271">
        <v>7754.85</v>
      </c>
      <c r="R271" s="19">
        <v>0.3</v>
      </c>
      <c r="S271" s="21">
        <v>6979.36</v>
      </c>
      <c r="T271">
        <v>23264.55</v>
      </c>
      <c r="U271" s="2">
        <v>16285.19</v>
      </c>
      <c r="V271">
        <v>44.43</v>
      </c>
      <c r="W271">
        <v>12304.9</v>
      </c>
      <c r="X271" s="2">
        <v>3935.86</v>
      </c>
      <c r="Y271">
        <v>0.2417</v>
      </c>
      <c r="Z271">
        <v>2</v>
      </c>
      <c r="AA271" t="s">
        <v>46</v>
      </c>
      <c r="AB271" t="s">
        <v>47</v>
      </c>
      <c r="AD271">
        <v>4</v>
      </c>
      <c r="AE271" s="2">
        <v>15558.36</v>
      </c>
      <c r="AF271">
        <v>1.0467</v>
      </c>
      <c r="AG271" t="s">
        <v>49</v>
      </c>
      <c r="AH271" s="23">
        <f>SUM(Amazon_Data_Set[[#This Row],[Gross Sales]]-Amazon_Data_Set[[#This Row],[Discount Amount]])</f>
        <v>16285.189999999999</v>
      </c>
    </row>
    <row r="272" spans="1:34">
      <c r="A272" t="s">
        <v>919</v>
      </c>
      <c r="B272" s="1">
        <v>46255</v>
      </c>
      <c r="C272" t="str">
        <f>TEXT(Amazon_Data_Set[[#This Row],[Order Date]],"mmm")</f>
        <v>Aug</v>
      </c>
      <c r="D272" t="s">
        <v>674</v>
      </c>
      <c r="E272" t="s">
        <v>167</v>
      </c>
      <c r="F272" t="s">
        <v>168</v>
      </c>
      <c r="G272" t="s">
        <v>111</v>
      </c>
      <c r="H272" t="s">
        <v>83</v>
      </c>
      <c r="I272" t="s">
        <v>102</v>
      </c>
      <c r="J272" t="s">
        <v>259</v>
      </c>
      <c r="K272" t="s">
        <v>260</v>
      </c>
      <c r="L272" t="s">
        <v>920</v>
      </c>
      <c r="M272" t="s">
        <v>106</v>
      </c>
      <c r="N272" t="s">
        <v>77</v>
      </c>
      <c r="O272" t="s">
        <v>45</v>
      </c>
      <c r="P272">
        <v>4</v>
      </c>
      <c r="Q272">
        <v>912.19</v>
      </c>
      <c r="R272" s="19">
        <v>0.25</v>
      </c>
      <c r="S272" s="21">
        <v>912.19</v>
      </c>
      <c r="T272">
        <v>3648.76</v>
      </c>
      <c r="U272" s="2">
        <v>2736.57</v>
      </c>
      <c r="V272">
        <v>51.36</v>
      </c>
      <c r="W272">
        <v>1324.77</v>
      </c>
      <c r="X272" s="2">
        <v>1360.44</v>
      </c>
      <c r="Y272">
        <v>0.49709999999999999</v>
      </c>
      <c r="Z272">
        <v>8</v>
      </c>
      <c r="AA272" t="s">
        <v>61</v>
      </c>
      <c r="AB272" t="s">
        <v>47</v>
      </c>
      <c r="AD272">
        <v>5</v>
      </c>
      <c r="AE272" s="2">
        <v>2429.42</v>
      </c>
      <c r="AF272">
        <v>1.1264000000000001</v>
      </c>
      <c r="AG272" t="s">
        <v>49</v>
      </c>
      <c r="AH272" s="23">
        <f>SUM(Amazon_Data_Set[[#This Row],[Gross Sales]]-Amazon_Data_Set[[#This Row],[Discount Amount]])</f>
        <v>2736.57</v>
      </c>
    </row>
    <row r="273" spans="1:34">
      <c r="A273" t="s">
        <v>921</v>
      </c>
      <c r="B273" s="1">
        <v>46091</v>
      </c>
      <c r="C273" t="str">
        <f>TEXT(Amazon_Data_Set[[#This Row],[Order Date]],"mmm")</f>
        <v>Mar</v>
      </c>
      <c r="D273" t="s">
        <v>884</v>
      </c>
      <c r="E273" t="s">
        <v>80</v>
      </c>
      <c r="F273" t="s">
        <v>81</v>
      </c>
      <c r="G273" t="s">
        <v>82</v>
      </c>
      <c r="H273" t="s">
        <v>83</v>
      </c>
      <c r="I273" t="s">
        <v>84</v>
      </c>
      <c r="J273" t="s">
        <v>277</v>
      </c>
      <c r="K273" t="s">
        <v>86</v>
      </c>
      <c r="L273" t="s">
        <v>922</v>
      </c>
      <c r="M273" t="s">
        <v>43</v>
      </c>
      <c r="N273" t="s">
        <v>77</v>
      </c>
      <c r="O273" t="s">
        <v>45</v>
      </c>
      <c r="P273">
        <v>3</v>
      </c>
      <c r="Q273">
        <v>1147.71</v>
      </c>
      <c r="R273" s="19">
        <v>0.15</v>
      </c>
      <c r="S273" s="21">
        <v>516.47</v>
      </c>
      <c r="T273">
        <v>3443.13</v>
      </c>
      <c r="U273" s="2">
        <v>2926.66</v>
      </c>
      <c r="V273">
        <v>136.66</v>
      </c>
      <c r="W273">
        <v>1716.59</v>
      </c>
      <c r="X273" s="2">
        <v>1073.4100000000001</v>
      </c>
      <c r="Y273">
        <v>0.36680000000000001</v>
      </c>
      <c r="Z273">
        <v>8</v>
      </c>
      <c r="AA273" t="s">
        <v>61</v>
      </c>
      <c r="AB273" t="s">
        <v>48</v>
      </c>
      <c r="AC273" t="s">
        <v>197</v>
      </c>
      <c r="AD273">
        <v>5</v>
      </c>
      <c r="AE273" s="2">
        <v>2794.55</v>
      </c>
      <c r="AF273">
        <v>1.0472999999999999</v>
      </c>
      <c r="AG273" t="s">
        <v>49</v>
      </c>
      <c r="AH273" s="23">
        <f>SUM(Amazon_Data_Set[[#This Row],[Gross Sales]]-Amazon_Data_Set[[#This Row],[Discount Amount]])</f>
        <v>2926.66</v>
      </c>
    </row>
    <row r="274" spans="1:34">
      <c r="A274" t="s">
        <v>923</v>
      </c>
      <c r="B274" s="1">
        <v>46299</v>
      </c>
      <c r="C274" t="str">
        <f>TEXT(Amazon_Data_Set[[#This Row],[Order Date]],"mmm")</f>
        <v>Oct</v>
      </c>
      <c r="D274" t="s">
        <v>924</v>
      </c>
      <c r="E274" t="s">
        <v>194</v>
      </c>
      <c r="F274" t="s">
        <v>195</v>
      </c>
      <c r="G274" t="s">
        <v>111</v>
      </c>
      <c r="H274" t="s">
        <v>90</v>
      </c>
      <c r="I274" t="s">
        <v>112</v>
      </c>
      <c r="J274" t="s">
        <v>292</v>
      </c>
      <c r="K274" t="s">
        <v>293</v>
      </c>
      <c r="L274" t="s">
        <v>925</v>
      </c>
      <c r="M274" t="s">
        <v>106</v>
      </c>
      <c r="N274" t="s">
        <v>60</v>
      </c>
      <c r="O274" t="s">
        <v>45</v>
      </c>
      <c r="P274">
        <v>5</v>
      </c>
      <c r="Q274">
        <v>829.24</v>
      </c>
      <c r="R274" s="19">
        <v>0.2</v>
      </c>
      <c r="S274" s="21">
        <v>829.24</v>
      </c>
      <c r="T274">
        <v>4146.2</v>
      </c>
      <c r="U274" s="2">
        <v>3316.96</v>
      </c>
      <c r="V274">
        <v>71.61</v>
      </c>
      <c r="W274">
        <v>2228.27</v>
      </c>
      <c r="X274" s="2">
        <v>1017.08</v>
      </c>
      <c r="Y274">
        <v>0.30659999999999998</v>
      </c>
      <c r="Z274">
        <v>8</v>
      </c>
      <c r="AA274" t="s">
        <v>61</v>
      </c>
      <c r="AB274" t="s">
        <v>47</v>
      </c>
      <c r="AD274">
        <v>4</v>
      </c>
      <c r="AE274" s="2">
        <v>3012.34</v>
      </c>
      <c r="AF274">
        <v>1.1011</v>
      </c>
      <c r="AG274" t="s">
        <v>49</v>
      </c>
      <c r="AH274" s="23">
        <f>SUM(Amazon_Data_Set[[#This Row],[Gross Sales]]-Amazon_Data_Set[[#This Row],[Discount Amount]])</f>
        <v>3316.96</v>
      </c>
    </row>
    <row r="275" spans="1:34">
      <c r="A275" t="s">
        <v>926</v>
      </c>
      <c r="B275" s="1">
        <v>46300</v>
      </c>
      <c r="C275" t="str">
        <f>TEXT(Amazon_Data_Set[[#This Row],[Order Date]],"mmm")</f>
        <v>Oct</v>
      </c>
      <c r="D275" t="s">
        <v>160</v>
      </c>
      <c r="E275" t="s">
        <v>35</v>
      </c>
      <c r="F275" t="s">
        <v>36</v>
      </c>
      <c r="G275" t="s">
        <v>37</v>
      </c>
      <c r="H275" t="s">
        <v>38</v>
      </c>
      <c r="I275" t="s">
        <v>161</v>
      </c>
      <c r="J275" t="s">
        <v>223</v>
      </c>
      <c r="K275" t="s">
        <v>224</v>
      </c>
      <c r="L275" t="s">
        <v>927</v>
      </c>
      <c r="M275" t="s">
        <v>43</v>
      </c>
      <c r="N275" t="s">
        <v>70</v>
      </c>
      <c r="O275" t="s">
        <v>45</v>
      </c>
      <c r="P275">
        <v>1</v>
      </c>
      <c r="Q275">
        <v>692.88</v>
      </c>
      <c r="R275" s="19">
        <v>0</v>
      </c>
      <c r="S275" s="21">
        <v>0</v>
      </c>
      <c r="T275">
        <v>692.88</v>
      </c>
      <c r="U275" s="2">
        <v>692.88</v>
      </c>
      <c r="V275">
        <v>152.35</v>
      </c>
      <c r="W275">
        <v>454.23</v>
      </c>
      <c r="X275" s="2">
        <v>86.3</v>
      </c>
      <c r="Y275">
        <v>0.1246</v>
      </c>
      <c r="Z275">
        <v>7</v>
      </c>
      <c r="AA275" t="s">
        <v>61</v>
      </c>
      <c r="AB275" t="s">
        <v>47</v>
      </c>
      <c r="AD275">
        <v>4</v>
      </c>
      <c r="AE275" s="2">
        <v>812.25</v>
      </c>
      <c r="AF275">
        <v>0.85299999999999998</v>
      </c>
      <c r="AG275" t="s">
        <v>347</v>
      </c>
      <c r="AH275" s="23">
        <f>SUM(Amazon_Data_Set[[#This Row],[Gross Sales]]-Amazon_Data_Set[[#This Row],[Discount Amount]])</f>
        <v>692.88</v>
      </c>
    </row>
    <row r="276" spans="1:34">
      <c r="A276" t="s">
        <v>928</v>
      </c>
      <c r="B276" s="1">
        <v>46134</v>
      </c>
      <c r="C276" t="str">
        <f>TEXT(Amazon_Data_Set[[#This Row],[Order Date]],"mmm")</f>
        <v>Apr</v>
      </c>
      <c r="D276" t="s">
        <v>558</v>
      </c>
      <c r="E276" t="s">
        <v>194</v>
      </c>
      <c r="F276" t="s">
        <v>195</v>
      </c>
      <c r="G276" t="s">
        <v>111</v>
      </c>
      <c r="H276" t="s">
        <v>83</v>
      </c>
      <c r="I276" t="s">
        <v>102</v>
      </c>
      <c r="J276" t="s">
        <v>373</v>
      </c>
      <c r="K276" t="s">
        <v>374</v>
      </c>
      <c r="L276" t="s">
        <v>929</v>
      </c>
      <c r="M276" t="s">
        <v>106</v>
      </c>
      <c r="N276" t="s">
        <v>60</v>
      </c>
      <c r="O276" t="s">
        <v>130</v>
      </c>
      <c r="P276">
        <v>2</v>
      </c>
      <c r="Q276">
        <v>741.4</v>
      </c>
      <c r="R276" s="19">
        <v>0.2</v>
      </c>
      <c r="S276" s="21">
        <v>296.56</v>
      </c>
      <c r="T276">
        <v>1482.8</v>
      </c>
      <c r="U276" s="2">
        <v>1186.24</v>
      </c>
      <c r="V276">
        <v>102.95</v>
      </c>
      <c r="W276">
        <v>857.32</v>
      </c>
      <c r="X276" s="2">
        <v>225.97</v>
      </c>
      <c r="Y276">
        <v>0.1905</v>
      </c>
      <c r="Z276">
        <v>8</v>
      </c>
      <c r="AA276" t="s">
        <v>131</v>
      </c>
      <c r="AB276" t="s">
        <v>47</v>
      </c>
      <c r="AE276" s="2">
        <v>1054.74</v>
      </c>
      <c r="AF276">
        <v>1.1247</v>
      </c>
      <c r="AG276" t="s">
        <v>49</v>
      </c>
      <c r="AH276" s="23">
        <f>SUM(Amazon_Data_Set[[#This Row],[Gross Sales]]-Amazon_Data_Set[[#This Row],[Discount Amount]])</f>
        <v>1186.24</v>
      </c>
    </row>
    <row r="277" spans="1:34">
      <c r="A277" t="s">
        <v>930</v>
      </c>
      <c r="B277" s="1">
        <v>46380</v>
      </c>
      <c r="C277" t="str">
        <f>TEXT(Amazon_Data_Set[[#This Row],[Order Date]],"mmm")</f>
        <v>Dec</v>
      </c>
      <c r="D277" t="s">
        <v>586</v>
      </c>
      <c r="E277" t="s">
        <v>275</v>
      </c>
      <c r="F277" t="s">
        <v>276</v>
      </c>
      <c r="G277" t="s">
        <v>37</v>
      </c>
      <c r="H277" t="s">
        <v>55</v>
      </c>
      <c r="I277" t="s">
        <v>73</v>
      </c>
      <c r="J277" t="s">
        <v>230</v>
      </c>
      <c r="K277" t="s">
        <v>231</v>
      </c>
      <c r="L277" t="s">
        <v>931</v>
      </c>
      <c r="M277" t="s">
        <v>43</v>
      </c>
      <c r="N277" t="s">
        <v>44</v>
      </c>
      <c r="O277" t="s">
        <v>96</v>
      </c>
      <c r="P277">
        <v>2</v>
      </c>
      <c r="Q277">
        <v>1913.93</v>
      </c>
      <c r="R277" s="19">
        <v>0</v>
      </c>
      <c r="S277" s="21">
        <v>0</v>
      </c>
      <c r="T277">
        <v>3827.86</v>
      </c>
      <c r="U277" s="2">
        <v>3827.86</v>
      </c>
      <c r="V277">
        <v>116.16</v>
      </c>
      <c r="W277">
        <v>2759.55</v>
      </c>
      <c r="X277" s="2">
        <v>952.15</v>
      </c>
      <c r="Y277">
        <v>0.2487</v>
      </c>
      <c r="Z277">
        <v>0</v>
      </c>
      <c r="AA277" t="s">
        <v>97</v>
      </c>
      <c r="AB277" t="s">
        <v>47</v>
      </c>
      <c r="AE277" s="2">
        <v>3587.7</v>
      </c>
      <c r="AF277">
        <v>1.0669</v>
      </c>
      <c r="AG277" t="s">
        <v>347</v>
      </c>
      <c r="AH277" s="23">
        <f>SUM(Amazon_Data_Set[[#This Row],[Gross Sales]]-Amazon_Data_Set[[#This Row],[Discount Amount]])</f>
        <v>3827.86</v>
      </c>
    </row>
    <row r="278" spans="1:34">
      <c r="A278" t="s">
        <v>932</v>
      </c>
      <c r="B278" s="1">
        <v>46043</v>
      </c>
      <c r="C278" t="str">
        <f>TEXT(Amazon_Data_Set[[#This Row],[Order Date]],"mmm")</f>
        <v>Jan</v>
      </c>
      <c r="D278" t="s">
        <v>674</v>
      </c>
      <c r="E278" t="s">
        <v>194</v>
      </c>
      <c r="F278" t="s">
        <v>195</v>
      </c>
      <c r="G278" t="s">
        <v>111</v>
      </c>
      <c r="H278" t="s">
        <v>90</v>
      </c>
      <c r="I278" t="s">
        <v>112</v>
      </c>
      <c r="J278" t="s">
        <v>292</v>
      </c>
      <c r="K278" t="s">
        <v>293</v>
      </c>
      <c r="L278" t="s">
        <v>933</v>
      </c>
      <c r="M278" t="s">
        <v>106</v>
      </c>
      <c r="N278" t="s">
        <v>124</v>
      </c>
      <c r="O278" t="s">
        <v>130</v>
      </c>
      <c r="P278">
        <v>2</v>
      </c>
      <c r="Q278">
        <v>981.85</v>
      </c>
      <c r="R278" s="19">
        <v>0.25</v>
      </c>
      <c r="S278" s="21">
        <v>490.93</v>
      </c>
      <c r="T278">
        <v>1963.7</v>
      </c>
      <c r="U278" s="2">
        <v>1472.77</v>
      </c>
      <c r="V278">
        <v>234.43</v>
      </c>
      <c r="W278">
        <v>856.65</v>
      </c>
      <c r="X278" s="2">
        <v>381.69</v>
      </c>
      <c r="Y278">
        <v>0.25919999999999999</v>
      </c>
      <c r="Z278">
        <v>6</v>
      </c>
      <c r="AA278" t="s">
        <v>131</v>
      </c>
      <c r="AB278" t="s">
        <v>47</v>
      </c>
      <c r="AE278" s="2">
        <v>1340.62</v>
      </c>
      <c r="AF278">
        <v>1.0986</v>
      </c>
      <c r="AG278" t="s">
        <v>49</v>
      </c>
      <c r="AH278" s="23">
        <f>SUM(Amazon_Data_Set[[#This Row],[Gross Sales]]-Amazon_Data_Set[[#This Row],[Discount Amount]])</f>
        <v>1472.77</v>
      </c>
    </row>
    <row r="279" spans="1:34">
      <c r="A279" t="s">
        <v>934</v>
      </c>
      <c r="B279" s="1">
        <v>46030</v>
      </c>
      <c r="C279" t="str">
        <f>TEXT(Amazon_Data_Set[[#This Row],[Order Date]],"mmm")</f>
        <v>Jan</v>
      </c>
      <c r="D279" t="s">
        <v>935</v>
      </c>
      <c r="E279" t="s">
        <v>35</v>
      </c>
      <c r="F279" t="s">
        <v>36</v>
      </c>
      <c r="G279" t="s">
        <v>37</v>
      </c>
      <c r="H279" t="s">
        <v>142</v>
      </c>
      <c r="I279" t="s">
        <v>214</v>
      </c>
      <c r="J279" t="s">
        <v>350</v>
      </c>
      <c r="K279" t="s">
        <v>351</v>
      </c>
      <c r="L279" t="s">
        <v>936</v>
      </c>
      <c r="M279" t="s">
        <v>106</v>
      </c>
      <c r="N279" t="s">
        <v>77</v>
      </c>
      <c r="O279" t="s">
        <v>45</v>
      </c>
      <c r="P279">
        <v>5</v>
      </c>
      <c r="Q279">
        <v>5254.48</v>
      </c>
      <c r="R279" s="19">
        <v>0</v>
      </c>
      <c r="S279" s="21">
        <v>0</v>
      </c>
      <c r="T279">
        <v>26272.400000000001</v>
      </c>
      <c r="U279" s="2">
        <v>26272.400000000001</v>
      </c>
      <c r="V279">
        <v>109.36</v>
      </c>
      <c r="W279">
        <v>17829.150000000001</v>
      </c>
      <c r="X279" s="2">
        <v>8333.89</v>
      </c>
      <c r="Y279">
        <v>0.31719999999999998</v>
      </c>
      <c r="Z279">
        <v>1</v>
      </c>
      <c r="AA279" t="s">
        <v>46</v>
      </c>
      <c r="AB279" t="s">
        <v>47</v>
      </c>
      <c r="AD279">
        <v>4</v>
      </c>
      <c r="AE279" s="2">
        <v>30063.599999999999</v>
      </c>
      <c r="AF279">
        <v>0.87390000000000001</v>
      </c>
      <c r="AG279" t="s">
        <v>347</v>
      </c>
      <c r="AH279" s="23">
        <f>SUM(Amazon_Data_Set[[#This Row],[Gross Sales]]-Amazon_Data_Set[[#This Row],[Discount Amount]])</f>
        <v>26272.400000000001</v>
      </c>
    </row>
    <row r="280" spans="1:34">
      <c r="A280" t="s">
        <v>937</v>
      </c>
      <c r="B280" s="1">
        <v>46323</v>
      </c>
      <c r="C280" t="str">
        <f>TEXT(Amazon_Data_Set[[#This Row],[Order Date]],"mmm")</f>
        <v>Oct</v>
      </c>
      <c r="D280" t="s">
        <v>901</v>
      </c>
      <c r="E280" t="s">
        <v>228</v>
      </c>
      <c r="F280" t="s">
        <v>229</v>
      </c>
      <c r="G280" t="s">
        <v>37</v>
      </c>
      <c r="H280" t="s">
        <v>90</v>
      </c>
      <c r="I280" t="s">
        <v>112</v>
      </c>
      <c r="J280" t="s">
        <v>134</v>
      </c>
      <c r="K280" t="s">
        <v>135</v>
      </c>
      <c r="L280" t="s">
        <v>938</v>
      </c>
      <c r="M280" t="s">
        <v>106</v>
      </c>
      <c r="N280" t="s">
        <v>124</v>
      </c>
      <c r="O280" t="s">
        <v>45</v>
      </c>
      <c r="P280">
        <v>3</v>
      </c>
      <c r="Q280">
        <v>189.31</v>
      </c>
      <c r="R280" s="19">
        <v>0</v>
      </c>
      <c r="S280" s="21">
        <v>0</v>
      </c>
      <c r="T280">
        <v>567.92999999999995</v>
      </c>
      <c r="U280" s="2">
        <v>567.92999999999995</v>
      </c>
      <c r="V280">
        <v>158.63</v>
      </c>
      <c r="W280">
        <v>316.8</v>
      </c>
      <c r="X280" s="2">
        <v>92.5</v>
      </c>
      <c r="Y280">
        <v>0.16289999999999999</v>
      </c>
      <c r="Z280">
        <v>2</v>
      </c>
      <c r="AA280" t="s">
        <v>46</v>
      </c>
      <c r="AB280" t="s">
        <v>48</v>
      </c>
      <c r="AC280" t="s">
        <v>197</v>
      </c>
      <c r="AD280">
        <v>4</v>
      </c>
      <c r="AE280" s="2">
        <v>548.05999999999995</v>
      </c>
      <c r="AF280">
        <v>1.0363</v>
      </c>
      <c r="AG280" t="s">
        <v>828</v>
      </c>
      <c r="AH280" s="23">
        <f>SUM(Amazon_Data_Set[[#This Row],[Gross Sales]]-Amazon_Data_Set[[#This Row],[Discount Amount]])</f>
        <v>567.92999999999995</v>
      </c>
    </row>
    <row r="281" spans="1:34">
      <c r="A281" t="s">
        <v>939</v>
      </c>
      <c r="B281" s="1">
        <v>46275</v>
      </c>
      <c r="C281" t="str">
        <f>TEXT(Amazon_Data_Set[[#This Row],[Order Date]],"mmm")</f>
        <v>Sep</v>
      </c>
      <c r="D281" t="s">
        <v>780</v>
      </c>
      <c r="E281" t="s">
        <v>174</v>
      </c>
      <c r="F281" t="s">
        <v>175</v>
      </c>
      <c r="G281" t="s">
        <v>82</v>
      </c>
      <c r="H281" t="s">
        <v>83</v>
      </c>
      <c r="I281" t="s">
        <v>188</v>
      </c>
      <c r="J281" t="s">
        <v>690</v>
      </c>
      <c r="K281" t="s">
        <v>691</v>
      </c>
      <c r="L281" t="s">
        <v>940</v>
      </c>
      <c r="M281" t="s">
        <v>43</v>
      </c>
      <c r="N281" t="s">
        <v>70</v>
      </c>
      <c r="O281" t="s">
        <v>96</v>
      </c>
      <c r="P281">
        <v>4</v>
      </c>
      <c r="Q281">
        <v>1214.7</v>
      </c>
      <c r="R281" s="19">
        <v>0</v>
      </c>
      <c r="S281" s="21">
        <v>0</v>
      </c>
      <c r="T281">
        <v>4858.8</v>
      </c>
      <c r="U281" s="2">
        <v>4858.8</v>
      </c>
      <c r="V281">
        <v>75.13</v>
      </c>
      <c r="W281">
        <v>2404.7199999999998</v>
      </c>
      <c r="X281" s="2">
        <v>2378.9499999999998</v>
      </c>
      <c r="Y281">
        <v>0.48959999999999998</v>
      </c>
      <c r="Z281">
        <v>0</v>
      </c>
      <c r="AA281" t="s">
        <v>97</v>
      </c>
      <c r="AB281" t="s">
        <v>47</v>
      </c>
      <c r="AE281" s="2">
        <v>4586.6099999999997</v>
      </c>
      <c r="AF281">
        <v>1.0592999999999999</v>
      </c>
      <c r="AG281" t="s">
        <v>49</v>
      </c>
      <c r="AH281" s="23">
        <f>SUM(Amazon_Data_Set[[#This Row],[Gross Sales]]-Amazon_Data_Set[[#This Row],[Discount Amount]])</f>
        <v>4858.8</v>
      </c>
    </row>
    <row r="282" spans="1:34">
      <c r="A282" t="s">
        <v>941</v>
      </c>
      <c r="B282" s="1">
        <v>46100</v>
      </c>
      <c r="C282" t="str">
        <f>TEXT(Amazon_Data_Set[[#This Row],[Order Date]],"mmm")</f>
        <v>Mar</v>
      </c>
      <c r="D282" t="s">
        <v>865</v>
      </c>
      <c r="E282" t="s">
        <v>140</v>
      </c>
      <c r="F282" t="s">
        <v>141</v>
      </c>
      <c r="G282" t="s">
        <v>54</v>
      </c>
      <c r="H282" t="s">
        <v>83</v>
      </c>
      <c r="I282" t="s">
        <v>102</v>
      </c>
      <c r="J282" t="s">
        <v>103</v>
      </c>
      <c r="K282" t="s">
        <v>104</v>
      </c>
      <c r="L282" t="s">
        <v>942</v>
      </c>
      <c r="M282" t="s">
        <v>106</v>
      </c>
      <c r="N282" t="s">
        <v>77</v>
      </c>
      <c r="O282" t="s">
        <v>45</v>
      </c>
      <c r="P282">
        <v>4</v>
      </c>
      <c r="Q282">
        <v>2293.0700000000002</v>
      </c>
      <c r="R282" s="19">
        <v>0</v>
      </c>
      <c r="S282" s="21">
        <v>0</v>
      </c>
      <c r="T282">
        <v>9172.2800000000007</v>
      </c>
      <c r="U282" s="2">
        <v>9172.2800000000007</v>
      </c>
      <c r="V282">
        <v>108.39</v>
      </c>
      <c r="W282">
        <v>4883.09</v>
      </c>
      <c r="X282" s="2">
        <v>4180.8</v>
      </c>
      <c r="Y282">
        <v>0.45579999999999998</v>
      </c>
      <c r="Z282">
        <v>5</v>
      </c>
      <c r="AA282" t="s">
        <v>61</v>
      </c>
      <c r="AB282" t="s">
        <v>47</v>
      </c>
      <c r="AD282">
        <v>4</v>
      </c>
      <c r="AE282" s="2">
        <v>9192.99</v>
      </c>
      <c r="AF282">
        <v>0.99770000000000003</v>
      </c>
      <c r="AG282" t="s">
        <v>49</v>
      </c>
      <c r="AH282" s="23">
        <f>SUM(Amazon_Data_Set[[#This Row],[Gross Sales]]-Amazon_Data_Set[[#This Row],[Discount Amount]])</f>
        <v>9172.2800000000007</v>
      </c>
    </row>
    <row r="283" spans="1:34">
      <c r="A283" t="s">
        <v>943</v>
      </c>
      <c r="B283" s="1">
        <v>46162</v>
      </c>
      <c r="C283" t="str">
        <f>TEXT(Amazon_Data_Set[[#This Row],[Order Date]],"mmm")</f>
        <v>May</v>
      </c>
      <c r="D283" t="s">
        <v>643</v>
      </c>
      <c r="E283" t="s">
        <v>140</v>
      </c>
      <c r="F283" t="s">
        <v>141</v>
      </c>
      <c r="G283" t="s">
        <v>54</v>
      </c>
      <c r="H283" t="s">
        <v>142</v>
      </c>
      <c r="I283" t="s">
        <v>209</v>
      </c>
      <c r="J283" t="s">
        <v>210</v>
      </c>
      <c r="K283" t="s">
        <v>201</v>
      </c>
      <c r="L283" t="s">
        <v>944</v>
      </c>
      <c r="M283" t="s">
        <v>43</v>
      </c>
      <c r="N283" t="s">
        <v>95</v>
      </c>
      <c r="O283" t="s">
        <v>130</v>
      </c>
      <c r="P283">
        <v>5</v>
      </c>
      <c r="Q283">
        <v>2358.96</v>
      </c>
      <c r="R283" s="19">
        <v>0.25</v>
      </c>
      <c r="S283" s="21">
        <v>2948.7</v>
      </c>
      <c r="T283">
        <v>11794.8</v>
      </c>
      <c r="U283" s="2">
        <v>8846.1</v>
      </c>
      <c r="V283">
        <v>140.54</v>
      </c>
      <c r="W283">
        <v>5713.68</v>
      </c>
      <c r="X283" s="2">
        <v>2991.88</v>
      </c>
      <c r="Y283">
        <v>0.3382</v>
      </c>
      <c r="Z283">
        <v>5</v>
      </c>
      <c r="AA283" t="s">
        <v>131</v>
      </c>
      <c r="AB283" t="s">
        <v>47</v>
      </c>
      <c r="AE283" s="2">
        <v>8591.74</v>
      </c>
      <c r="AF283">
        <v>1.0296000000000001</v>
      </c>
      <c r="AG283" t="s">
        <v>49</v>
      </c>
      <c r="AH283" s="23">
        <f>SUM(Amazon_Data_Set[[#This Row],[Gross Sales]]-Amazon_Data_Set[[#This Row],[Discount Amount]])</f>
        <v>8846.0999999999985</v>
      </c>
    </row>
    <row r="284" spans="1:34">
      <c r="A284" t="s">
        <v>945</v>
      </c>
      <c r="B284" s="1">
        <v>46175</v>
      </c>
      <c r="C284" t="str">
        <f>TEXT(Amazon_Data_Set[[#This Row],[Order Date]],"mmm")</f>
        <v>Jun</v>
      </c>
      <c r="D284" t="s">
        <v>946</v>
      </c>
      <c r="E284" t="s">
        <v>235</v>
      </c>
      <c r="F284" t="s">
        <v>236</v>
      </c>
      <c r="G284" t="s">
        <v>82</v>
      </c>
      <c r="H284" t="s">
        <v>55</v>
      </c>
      <c r="I284" t="s">
        <v>73</v>
      </c>
      <c r="J284" t="s">
        <v>387</v>
      </c>
      <c r="K284" t="s">
        <v>388</v>
      </c>
      <c r="L284" t="s">
        <v>947</v>
      </c>
      <c r="M284" t="s">
        <v>43</v>
      </c>
      <c r="N284" t="s">
        <v>70</v>
      </c>
      <c r="O284" t="s">
        <v>45</v>
      </c>
      <c r="P284">
        <v>2</v>
      </c>
      <c r="Q284">
        <v>29393.09</v>
      </c>
      <c r="R284" s="19">
        <v>0.3</v>
      </c>
      <c r="S284" s="21">
        <v>17635.849999999999</v>
      </c>
      <c r="T284">
        <v>58786.18</v>
      </c>
      <c r="U284" s="2">
        <v>41150.33</v>
      </c>
      <c r="V284">
        <v>170.94</v>
      </c>
      <c r="W284">
        <v>27740.65</v>
      </c>
      <c r="X284" s="2">
        <v>13238.74</v>
      </c>
      <c r="Y284">
        <v>0.32169999999999999</v>
      </c>
      <c r="Z284">
        <v>6</v>
      </c>
      <c r="AA284" t="s">
        <v>61</v>
      </c>
      <c r="AB284" t="s">
        <v>47</v>
      </c>
      <c r="AD284">
        <v>4</v>
      </c>
      <c r="AE284" s="2">
        <v>46111.63</v>
      </c>
      <c r="AF284">
        <v>0.89239999999999997</v>
      </c>
      <c r="AG284" t="s">
        <v>49</v>
      </c>
      <c r="AH284" s="23">
        <f>SUM(Amazon_Data_Set[[#This Row],[Gross Sales]]-Amazon_Data_Set[[#This Row],[Discount Amount]])</f>
        <v>41150.33</v>
      </c>
    </row>
    <row r="285" spans="1:34">
      <c r="A285" t="s">
        <v>948</v>
      </c>
      <c r="B285" s="1">
        <v>46058</v>
      </c>
      <c r="C285" t="str">
        <f>TEXT(Amazon_Data_Set[[#This Row],[Order Date]],"mmm")</f>
        <v>Feb</v>
      </c>
      <c r="D285" t="s">
        <v>811</v>
      </c>
      <c r="E285" t="s">
        <v>100</v>
      </c>
      <c r="F285" t="s">
        <v>179</v>
      </c>
      <c r="G285" t="s">
        <v>54</v>
      </c>
      <c r="H285" t="s">
        <v>142</v>
      </c>
      <c r="I285" t="s">
        <v>143</v>
      </c>
      <c r="J285" t="s">
        <v>183</v>
      </c>
      <c r="K285" t="s">
        <v>184</v>
      </c>
      <c r="L285" t="s">
        <v>949</v>
      </c>
      <c r="M285" t="s">
        <v>106</v>
      </c>
      <c r="N285" t="s">
        <v>70</v>
      </c>
      <c r="O285" t="s">
        <v>96</v>
      </c>
      <c r="P285">
        <v>4</v>
      </c>
      <c r="Q285">
        <v>7718.37</v>
      </c>
      <c r="R285" s="19">
        <v>0.05</v>
      </c>
      <c r="S285" s="21">
        <v>1543.67</v>
      </c>
      <c r="T285">
        <v>30873.48</v>
      </c>
      <c r="U285" s="2">
        <v>29329.81</v>
      </c>
      <c r="V285">
        <v>240.26</v>
      </c>
      <c r="W285">
        <v>22835.57</v>
      </c>
      <c r="X285" s="2">
        <v>6253.98</v>
      </c>
      <c r="Y285">
        <v>0.2132</v>
      </c>
      <c r="Z285">
        <v>0</v>
      </c>
      <c r="AA285" t="s">
        <v>97</v>
      </c>
      <c r="AB285" t="s">
        <v>47</v>
      </c>
      <c r="AE285" s="2">
        <v>25345.61</v>
      </c>
      <c r="AF285">
        <v>1.1572</v>
      </c>
      <c r="AG285" t="s">
        <v>49</v>
      </c>
      <c r="AH285" s="23">
        <f>SUM(Amazon_Data_Set[[#This Row],[Gross Sales]]-Amazon_Data_Set[[#This Row],[Discount Amount]])</f>
        <v>29329.809999999998</v>
      </c>
    </row>
    <row r="286" spans="1:34">
      <c r="A286" t="s">
        <v>950</v>
      </c>
      <c r="B286" s="1">
        <v>46349</v>
      </c>
      <c r="C286" t="str">
        <f>TEXT(Amazon_Data_Set[[#This Row],[Order Date]],"mmm")</f>
        <v>Nov</v>
      </c>
      <c r="D286" t="s">
        <v>951</v>
      </c>
      <c r="E286" t="s">
        <v>194</v>
      </c>
      <c r="F286" t="s">
        <v>195</v>
      </c>
      <c r="G286" t="s">
        <v>111</v>
      </c>
      <c r="H286" t="s">
        <v>142</v>
      </c>
      <c r="I286" t="s">
        <v>214</v>
      </c>
      <c r="J286" t="s">
        <v>308</v>
      </c>
      <c r="K286" t="s">
        <v>309</v>
      </c>
      <c r="L286" t="s">
        <v>952</v>
      </c>
      <c r="M286" t="s">
        <v>43</v>
      </c>
      <c r="N286" t="s">
        <v>60</v>
      </c>
      <c r="O286" t="s">
        <v>96</v>
      </c>
      <c r="P286">
        <v>1</v>
      </c>
      <c r="Q286">
        <v>346.71</v>
      </c>
      <c r="R286" s="19">
        <v>0.05</v>
      </c>
      <c r="S286" s="21">
        <v>17.34</v>
      </c>
      <c r="T286">
        <v>346.71</v>
      </c>
      <c r="U286" s="2">
        <v>329.37</v>
      </c>
      <c r="V286">
        <v>40.33</v>
      </c>
      <c r="W286">
        <v>174.31</v>
      </c>
      <c r="X286" s="2">
        <v>114.73</v>
      </c>
      <c r="Y286">
        <v>0.3483</v>
      </c>
      <c r="Z286">
        <v>0</v>
      </c>
      <c r="AA286" t="s">
        <v>97</v>
      </c>
      <c r="AB286" t="s">
        <v>47</v>
      </c>
      <c r="AE286" s="2">
        <v>335.94</v>
      </c>
      <c r="AF286">
        <v>0.98040000000000005</v>
      </c>
      <c r="AG286" t="s">
        <v>49</v>
      </c>
      <c r="AH286" s="23">
        <f>SUM(Amazon_Data_Set[[#This Row],[Gross Sales]]-Amazon_Data_Set[[#This Row],[Discount Amount]])</f>
        <v>329.37</v>
      </c>
    </row>
    <row r="287" spans="1:34">
      <c r="A287" t="s">
        <v>953</v>
      </c>
      <c r="B287" s="1">
        <v>46075</v>
      </c>
      <c r="C287" t="str">
        <f>TEXT(Amazon_Data_Set[[#This Row],[Order Date]],"mmm")</f>
        <v>Feb</v>
      </c>
      <c r="D287" t="s">
        <v>758</v>
      </c>
      <c r="E287" t="s">
        <v>80</v>
      </c>
      <c r="F287" t="s">
        <v>81</v>
      </c>
      <c r="G287" t="s">
        <v>82</v>
      </c>
      <c r="H287" t="s">
        <v>90</v>
      </c>
      <c r="I287" t="s">
        <v>112</v>
      </c>
      <c r="J287" t="s">
        <v>113</v>
      </c>
      <c r="K287" t="s">
        <v>114</v>
      </c>
      <c r="L287" t="s">
        <v>954</v>
      </c>
      <c r="M287" t="s">
        <v>106</v>
      </c>
      <c r="N287" t="s">
        <v>60</v>
      </c>
      <c r="O287" t="s">
        <v>130</v>
      </c>
      <c r="P287">
        <v>4</v>
      </c>
      <c r="Q287">
        <v>218.19</v>
      </c>
      <c r="R287" s="19">
        <v>0.3</v>
      </c>
      <c r="S287" s="21">
        <v>261.83</v>
      </c>
      <c r="T287">
        <v>872.76</v>
      </c>
      <c r="U287" s="2">
        <v>610.92999999999995</v>
      </c>
      <c r="V287">
        <v>210.83</v>
      </c>
      <c r="W287">
        <v>368.92</v>
      </c>
      <c r="X287" s="2">
        <v>31.18</v>
      </c>
      <c r="Y287">
        <v>5.0999999999999997E-2</v>
      </c>
      <c r="Z287">
        <v>2</v>
      </c>
      <c r="AA287" t="s">
        <v>131</v>
      </c>
      <c r="AB287" t="s">
        <v>47</v>
      </c>
      <c r="AE287" s="2">
        <v>525.69000000000005</v>
      </c>
      <c r="AF287">
        <v>1.1620999999999999</v>
      </c>
      <c r="AG287" t="s">
        <v>49</v>
      </c>
      <c r="AH287" s="23">
        <f>SUM(Amazon_Data_Set[[#This Row],[Gross Sales]]-Amazon_Data_Set[[#This Row],[Discount Amount]])</f>
        <v>610.93000000000006</v>
      </c>
    </row>
    <row r="288" spans="1:34">
      <c r="A288" t="s">
        <v>955</v>
      </c>
      <c r="B288" s="1">
        <v>46333</v>
      </c>
      <c r="C288" t="str">
        <f>TEXT(Amazon_Data_Set[[#This Row],[Order Date]],"mmm")</f>
        <v>Nov</v>
      </c>
      <c r="D288" t="s">
        <v>182</v>
      </c>
      <c r="E288" t="s">
        <v>167</v>
      </c>
      <c r="F288" t="s">
        <v>168</v>
      </c>
      <c r="G288" t="s">
        <v>111</v>
      </c>
      <c r="H288" t="s">
        <v>83</v>
      </c>
      <c r="I288" t="s">
        <v>188</v>
      </c>
      <c r="J288" t="s">
        <v>475</v>
      </c>
      <c r="K288" t="s">
        <v>476</v>
      </c>
      <c r="L288" t="s">
        <v>956</v>
      </c>
      <c r="M288" t="s">
        <v>106</v>
      </c>
      <c r="N288" t="s">
        <v>77</v>
      </c>
      <c r="O288" t="s">
        <v>45</v>
      </c>
      <c r="P288">
        <v>2</v>
      </c>
      <c r="Q288">
        <v>659.38</v>
      </c>
      <c r="R288" s="19">
        <v>0.3</v>
      </c>
      <c r="S288" s="21">
        <v>395.63</v>
      </c>
      <c r="T288">
        <v>1318.76</v>
      </c>
      <c r="U288" s="2">
        <v>923.13</v>
      </c>
      <c r="V288">
        <v>22.59</v>
      </c>
      <c r="W288">
        <v>595.26</v>
      </c>
      <c r="X288" s="2">
        <v>305.27999999999997</v>
      </c>
      <c r="Y288">
        <v>0.33069999999999999</v>
      </c>
      <c r="Z288">
        <v>1</v>
      </c>
      <c r="AA288" t="s">
        <v>46</v>
      </c>
      <c r="AB288" t="s">
        <v>47</v>
      </c>
      <c r="AD288">
        <v>3</v>
      </c>
      <c r="AE288" s="2">
        <v>912.15</v>
      </c>
      <c r="AF288">
        <v>1.012</v>
      </c>
      <c r="AG288" t="s">
        <v>49</v>
      </c>
      <c r="AH288" s="23">
        <f>SUM(Amazon_Data_Set[[#This Row],[Gross Sales]]-Amazon_Data_Set[[#This Row],[Discount Amount]])</f>
        <v>923.13</v>
      </c>
    </row>
    <row r="289" spans="1:34">
      <c r="A289" t="s">
        <v>957</v>
      </c>
      <c r="B289" s="1">
        <v>46356</v>
      </c>
      <c r="C289" t="str">
        <f>TEXT(Amazon_Data_Set[[#This Row],[Order Date]],"mmm")</f>
        <v>Nov</v>
      </c>
      <c r="D289" t="s">
        <v>325</v>
      </c>
      <c r="E289" t="s">
        <v>100</v>
      </c>
      <c r="F289" t="s">
        <v>179</v>
      </c>
      <c r="G289" t="s">
        <v>54</v>
      </c>
      <c r="H289" t="s">
        <v>90</v>
      </c>
      <c r="I289" t="s">
        <v>112</v>
      </c>
      <c r="J289" t="s">
        <v>292</v>
      </c>
      <c r="K289" t="s">
        <v>293</v>
      </c>
      <c r="L289" t="s">
        <v>958</v>
      </c>
      <c r="M289" t="s">
        <v>43</v>
      </c>
      <c r="N289" t="s">
        <v>77</v>
      </c>
      <c r="O289" t="s">
        <v>130</v>
      </c>
      <c r="P289">
        <v>5</v>
      </c>
      <c r="Q289">
        <v>662.6</v>
      </c>
      <c r="R289" s="19">
        <v>0</v>
      </c>
      <c r="S289" s="21">
        <v>0</v>
      </c>
      <c r="T289">
        <v>3313</v>
      </c>
      <c r="U289" s="2">
        <v>3313</v>
      </c>
      <c r="V289">
        <v>234.29</v>
      </c>
      <c r="W289">
        <v>2552.9899999999998</v>
      </c>
      <c r="X289" s="2">
        <v>525.72</v>
      </c>
      <c r="Y289">
        <v>0.15870000000000001</v>
      </c>
      <c r="Z289">
        <v>1</v>
      </c>
      <c r="AA289" t="s">
        <v>131</v>
      </c>
      <c r="AB289" t="s">
        <v>47</v>
      </c>
      <c r="AE289" s="2">
        <v>4094.87</v>
      </c>
      <c r="AF289">
        <v>0.80910000000000004</v>
      </c>
      <c r="AG289" t="s">
        <v>49</v>
      </c>
      <c r="AH289" s="23">
        <f>SUM(Amazon_Data_Set[[#This Row],[Gross Sales]]-Amazon_Data_Set[[#This Row],[Discount Amount]])</f>
        <v>3313</v>
      </c>
    </row>
    <row r="290" spans="1:34">
      <c r="A290" t="s">
        <v>959</v>
      </c>
      <c r="B290" s="1">
        <v>46033</v>
      </c>
      <c r="C290" t="str">
        <f>TEXT(Amazon_Data_Set[[#This Row],[Order Date]],"mmm")</f>
        <v>Jan</v>
      </c>
      <c r="D290" t="s">
        <v>811</v>
      </c>
      <c r="E290" t="s">
        <v>235</v>
      </c>
      <c r="F290" t="s">
        <v>236</v>
      </c>
      <c r="G290" t="s">
        <v>82</v>
      </c>
      <c r="H290" t="s">
        <v>142</v>
      </c>
      <c r="I290" t="s">
        <v>214</v>
      </c>
      <c r="J290" t="s">
        <v>308</v>
      </c>
      <c r="K290" t="s">
        <v>309</v>
      </c>
      <c r="L290" t="s">
        <v>960</v>
      </c>
      <c r="M290" t="s">
        <v>106</v>
      </c>
      <c r="N290" t="s">
        <v>44</v>
      </c>
      <c r="O290" t="s">
        <v>45</v>
      </c>
      <c r="P290">
        <v>2</v>
      </c>
      <c r="Q290">
        <v>6895.27</v>
      </c>
      <c r="R290" s="19">
        <v>0</v>
      </c>
      <c r="S290" s="21">
        <v>0</v>
      </c>
      <c r="T290">
        <v>13790.54</v>
      </c>
      <c r="U290" s="2">
        <v>13790.54</v>
      </c>
      <c r="V290">
        <v>140.41</v>
      </c>
      <c r="W290">
        <v>6623.96</v>
      </c>
      <c r="X290" s="2">
        <v>7026.17</v>
      </c>
      <c r="Y290">
        <v>0.50949999999999995</v>
      </c>
      <c r="Z290">
        <v>3</v>
      </c>
      <c r="AA290" t="s">
        <v>46</v>
      </c>
      <c r="AB290" t="s">
        <v>47</v>
      </c>
      <c r="AD290">
        <v>3</v>
      </c>
      <c r="AE290" s="2">
        <v>12746.75</v>
      </c>
      <c r="AF290">
        <v>1.0819000000000001</v>
      </c>
      <c r="AG290" t="s">
        <v>49</v>
      </c>
      <c r="AH290" s="23">
        <f>SUM(Amazon_Data_Set[[#This Row],[Gross Sales]]-Amazon_Data_Set[[#This Row],[Discount Amount]])</f>
        <v>13790.54</v>
      </c>
    </row>
    <row r="291" spans="1:34">
      <c r="A291" t="s">
        <v>961</v>
      </c>
      <c r="B291" s="1">
        <v>46276</v>
      </c>
      <c r="C291" t="str">
        <f>TEXT(Amazon_Data_Set[[#This Row],[Order Date]],"mmm")</f>
        <v>Sep</v>
      </c>
      <c r="D291" t="s">
        <v>962</v>
      </c>
      <c r="E291" t="s">
        <v>275</v>
      </c>
      <c r="F291" t="s">
        <v>276</v>
      </c>
      <c r="G291" t="s">
        <v>37</v>
      </c>
      <c r="H291" t="s">
        <v>83</v>
      </c>
      <c r="I291" t="s">
        <v>188</v>
      </c>
      <c r="J291" t="s">
        <v>690</v>
      </c>
      <c r="K291" t="s">
        <v>691</v>
      </c>
      <c r="L291" t="s">
        <v>963</v>
      </c>
      <c r="M291" t="s">
        <v>43</v>
      </c>
      <c r="N291" t="s">
        <v>60</v>
      </c>
      <c r="O291" t="s">
        <v>45</v>
      </c>
      <c r="P291">
        <v>1</v>
      </c>
      <c r="Q291">
        <v>1305.3599999999999</v>
      </c>
      <c r="R291" s="19">
        <v>0.3</v>
      </c>
      <c r="S291" s="21">
        <v>391.61</v>
      </c>
      <c r="T291">
        <v>1305.3599999999999</v>
      </c>
      <c r="U291" s="2">
        <v>913.75</v>
      </c>
      <c r="V291">
        <v>95.83</v>
      </c>
      <c r="W291">
        <v>552.16999999999996</v>
      </c>
      <c r="X291" s="2">
        <v>265.75</v>
      </c>
      <c r="Y291">
        <v>0.2908</v>
      </c>
      <c r="Z291">
        <v>7</v>
      </c>
      <c r="AA291" t="s">
        <v>61</v>
      </c>
      <c r="AB291" t="s">
        <v>47</v>
      </c>
      <c r="AD291">
        <v>5</v>
      </c>
      <c r="AE291" s="2">
        <v>899.2</v>
      </c>
      <c r="AF291">
        <v>1.0162</v>
      </c>
      <c r="AG291" t="s">
        <v>49</v>
      </c>
      <c r="AH291" s="23">
        <f>SUM(Amazon_Data_Set[[#This Row],[Gross Sales]]-Amazon_Data_Set[[#This Row],[Discount Amount]])</f>
        <v>913.74999999999989</v>
      </c>
    </row>
    <row r="292" spans="1:34">
      <c r="A292" t="s">
        <v>964</v>
      </c>
      <c r="B292" s="1">
        <v>46362</v>
      </c>
      <c r="C292" t="str">
        <f>TEXT(Amazon_Data_Set[[#This Row],[Order Date]],"mmm")</f>
        <v>Dec</v>
      </c>
      <c r="D292" t="s">
        <v>924</v>
      </c>
      <c r="E292" t="s">
        <v>118</v>
      </c>
      <c r="F292" t="s">
        <v>119</v>
      </c>
      <c r="G292" t="s">
        <v>82</v>
      </c>
      <c r="H292" t="s">
        <v>55</v>
      </c>
      <c r="I292" t="s">
        <v>73</v>
      </c>
      <c r="J292" t="s">
        <v>247</v>
      </c>
      <c r="K292" t="s">
        <v>248</v>
      </c>
      <c r="L292" t="s">
        <v>965</v>
      </c>
      <c r="M292" t="s">
        <v>106</v>
      </c>
      <c r="N292" t="s">
        <v>60</v>
      </c>
      <c r="O292" t="s">
        <v>96</v>
      </c>
      <c r="P292">
        <v>3</v>
      </c>
      <c r="Q292">
        <v>600.24</v>
      </c>
      <c r="R292" s="19">
        <v>0.25</v>
      </c>
      <c r="S292" s="21">
        <v>450.18</v>
      </c>
      <c r="T292">
        <v>1800.72</v>
      </c>
      <c r="U292" s="2">
        <v>1350.54</v>
      </c>
      <c r="V292">
        <v>127.48</v>
      </c>
      <c r="W292">
        <v>663.82</v>
      </c>
      <c r="X292" s="2">
        <v>559.24</v>
      </c>
      <c r="Y292">
        <v>0.41410000000000002</v>
      </c>
      <c r="Z292">
        <v>0</v>
      </c>
      <c r="AA292" t="s">
        <v>97</v>
      </c>
      <c r="AB292" t="s">
        <v>47</v>
      </c>
      <c r="AE292" s="2">
        <v>1665.75</v>
      </c>
      <c r="AF292">
        <v>0.81079999999999997</v>
      </c>
      <c r="AG292" t="s">
        <v>49</v>
      </c>
      <c r="AH292" s="23">
        <f>SUM(Amazon_Data_Set[[#This Row],[Gross Sales]]-Amazon_Data_Set[[#This Row],[Discount Amount]])</f>
        <v>1350.54</v>
      </c>
    </row>
    <row r="293" spans="1:34">
      <c r="A293" t="s">
        <v>966</v>
      </c>
      <c r="B293" s="1">
        <v>46223</v>
      </c>
      <c r="C293" t="str">
        <f>TEXT(Amazon_Data_Set[[#This Row],[Order Date]],"mmm")</f>
        <v>Jul</v>
      </c>
      <c r="D293" t="s">
        <v>967</v>
      </c>
      <c r="E293" t="s">
        <v>228</v>
      </c>
      <c r="F293" t="s">
        <v>229</v>
      </c>
      <c r="G293" t="s">
        <v>37</v>
      </c>
      <c r="H293" t="s">
        <v>38</v>
      </c>
      <c r="I293" t="s">
        <v>66</v>
      </c>
      <c r="J293" t="s">
        <v>337</v>
      </c>
      <c r="K293" t="s">
        <v>224</v>
      </c>
      <c r="L293" t="s">
        <v>968</v>
      </c>
      <c r="M293" t="s">
        <v>106</v>
      </c>
      <c r="N293" t="s">
        <v>60</v>
      </c>
      <c r="O293" t="s">
        <v>130</v>
      </c>
      <c r="P293">
        <v>3</v>
      </c>
      <c r="Q293">
        <v>2067.41</v>
      </c>
      <c r="R293" s="19">
        <v>0</v>
      </c>
      <c r="S293" s="21">
        <v>0</v>
      </c>
      <c r="T293">
        <v>6202.23</v>
      </c>
      <c r="U293" s="2">
        <v>6202.23</v>
      </c>
      <c r="V293">
        <v>199.12</v>
      </c>
      <c r="W293">
        <v>3652.34</v>
      </c>
      <c r="X293" s="2">
        <v>2350.77</v>
      </c>
      <c r="Y293">
        <v>0.379</v>
      </c>
      <c r="Z293">
        <v>7</v>
      </c>
      <c r="AA293" t="s">
        <v>131</v>
      </c>
      <c r="AB293" t="s">
        <v>47</v>
      </c>
      <c r="AE293" s="2">
        <v>7530.02</v>
      </c>
      <c r="AF293">
        <v>0.82369999999999999</v>
      </c>
      <c r="AG293" t="s">
        <v>49</v>
      </c>
      <c r="AH293" s="23">
        <f>SUM(Amazon_Data_Set[[#This Row],[Gross Sales]]-Amazon_Data_Set[[#This Row],[Discount Amount]])</f>
        <v>6202.23</v>
      </c>
    </row>
    <row r="294" spans="1:34">
      <c r="A294" t="s">
        <v>969</v>
      </c>
      <c r="B294" s="1">
        <v>46176</v>
      </c>
      <c r="C294" t="str">
        <f>TEXT(Amazon_Data_Set[[#This Row],[Order Date]],"mmm")</f>
        <v>Jun</v>
      </c>
      <c r="D294" t="s">
        <v>898</v>
      </c>
      <c r="E294" t="s">
        <v>235</v>
      </c>
      <c r="F294" t="s">
        <v>236</v>
      </c>
      <c r="G294" t="s">
        <v>82</v>
      </c>
      <c r="H294" t="s">
        <v>83</v>
      </c>
      <c r="I294" t="s">
        <v>102</v>
      </c>
      <c r="J294" t="s">
        <v>103</v>
      </c>
      <c r="K294" t="s">
        <v>104</v>
      </c>
      <c r="L294" t="s">
        <v>970</v>
      </c>
      <c r="M294" t="s">
        <v>43</v>
      </c>
      <c r="N294" t="s">
        <v>70</v>
      </c>
      <c r="O294" t="s">
        <v>130</v>
      </c>
      <c r="P294">
        <v>3</v>
      </c>
      <c r="Q294">
        <v>823.58</v>
      </c>
      <c r="R294" s="19">
        <v>0.25</v>
      </c>
      <c r="S294" s="21">
        <v>617.67999999999995</v>
      </c>
      <c r="T294">
        <v>2470.7399999999998</v>
      </c>
      <c r="U294" s="2">
        <v>1853.06</v>
      </c>
      <c r="V294">
        <v>198.09</v>
      </c>
      <c r="W294">
        <v>1015.13</v>
      </c>
      <c r="X294" s="2">
        <v>639.84</v>
      </c>
      <c r="Y294">
        <v>0.3453</v>
      </c>
      <c r="Z294">
        <v>2</v>
      </c>
      <c r="AA294" t="s">
        <v>131</v>
      </c>
      <c r="AB294" t="s">
        <v>47</v>
      </c>
      <c r="AE294" s="2">
        <v>2158.0500000000002</v>
      </c>
      <c r="AF294">
        <v>0.85870000000000002</v>
      </c>
      <c r="AG294" t="s">
        <v>49</v>
      </c>
      <c r="AH294" s="23">
        <f>SUM(Amazon_Data_Set[[#This Row],[Gross Sales]]-Amazon_Data_Set[[#This Row],[Discount Amount]])</f>
        <v>1853.06</v>
      </c>
    </row>
    <row r="295" spans="1:34">
      <c r="A295" t="s">
        <v>971</v>
      </c>
      <c r="B295" s="1">
        <v>46277</v>
      </c>
      <c r="C295" t="str">
        <f>TEXT(Amazon_Data_Set[[#This Row],[Order Date]],"mmm")</f>
        <v>Sep</v>
      </c>
      <c r="D295" t="s">
        <v>553</v>
      </c>
      <c r="E295" t="s">
        <v>52</v>
      </c>
      <c r="F295" t="s">
        <v>53</v>
      </c>
      <c r="G295" t="s">
        <v>54</v>
      </c>
      <c r="H295" t="s">
        <v>38</v>
      </c>
      <c r="I295" t="s">
        <v>161</v>
      </c>
      <c r="J295" t="s">
        <v>223</v>
      </c>
      <c r="K295" t="s">
        <v>224</v>
      </c>
      <c r="L295" t="s">
        <v>972</v>
      </c>
      <c r="M295" t="s">
        <v>106</v>
      </c>
      <c r="N295" t="s">
        <v>77</v>
      </c>
      <c r="O295" t="s">
        <v>45</v>
      </c>
      <c r="P295">
        <v>1</v>
      </c>
      <c r="Q295">
        <v>354.03</v>
      </c>
      <c r="R295" s="19">
        <v>0.2</v>
      </c>
      <c r="S295" s="21">
        <v>70.81</v>
      </c>
      <c r="T295">
        <v>354.03</v>
      </c>
      <c r="U295" s="2">
        <v>283.22000000000003</v>
      </c>
      <c r="V295">
        <v>71.39</v>
      </c>
      <c r="W295">
        <v>220.88</v>
      </c>
      <c r="X295" s="2">
        <v>-9.0500000000000007</v>
      </c>
      <c r="Y295">
        <v>-3.2000000000000001E-2</v>
      </c>
      <c r="Z295">
        <v>3</v>
      </c>
      <c r="AA295" t="s">
        <v>46</v>
      </c>
      <c r="AB295" t="s">
        <v>47</v>
      </c>
      <c r="AD295">
        <v>4</v>
      </c>
      <c r="AE295" s="2">
        <v>336.27</v>
      </c>
      <c r="AF295">
        <v>0.84219999999999995</v>
      </c>
      <c r="AG295" t="s">
        <v>49</v>
      </c>
      <c r="AH295" s="23">
        <f>SUM(Amazon_Data_Set[[#This Row],[Gross Sales]]-Amazon_Data_Set[[#This Row],[Discount Amount]])</f>
        <v>283.21999999999997</v>
      </c>
    </row>
    <row r="296" spans="1:34">
      <c r="A296" t="s">
        <v>973</v>
      </c>
      <c r="B296" s="1">
        <v>46247</v>
      </c>
      <c r="C296" t="str">
        <f>TEXT(Amazon_Data_Set[[#This Row],[Order Date]],"mmm")</f>
        <v>Aug</v>
      </c>
      <c r="D296" t="s">
        <v>974</v>
      </c>
      <c r="E296" t="s">
        <v>100</v>
      </c>
      <c r="F296" t="s">
        <v>179</v>
      </c>
      <c r="G296" t="s">
        <v>54</v>
      </c>
      <c r="H296" t="s">
        <v>142</v>
      </c>
      <c r="I296" t="s">
        <v>214</v>
      </c>
      <c r="J296" t="s">
        <v>215</v>
      </c>
      <c r="K296" t="s">
        <v>216</v>
      </c>
      <c r="L296" t="s">
        <v>975</v>
      </c>
      <c r="M296" t="s">
        <v>43</v>
      </c>
      <c r="N296" t="s">
        <v>44</v>
      </c>
      <c r="O296" t="s">
        <v>45</v>
      </c>
      <c r="P296">
        <v>5</v>
      </c>
      <c r="Q296">
        <v>3898.68</v>
      </c>
      <c r="R296" s="19">
        <v>0</v>
      </c>
      <c r="S296" s="21">
        <v>0</v>
      </c>
      <c r="T296">
        <v>19493.400000000001</v>
      </c>
      <c r="U296" s="2">
        <v>19493.400000000001</v>
      </c>
      <c r="V296">
        <v>239.67</v>
      </c>
      <c r="W296">
        <v>14448.36</v>
      </c>
      <c r="X296" s="2">
        <v>4805.37</v>
      </c>
      <c r="Y296">
        <v>0.2465</v>
      </c>
      <c r="Z296">
        <v>2</v>
      </c>
      <c r="AA296" t="s">
        <v>46</v>
      </c>
      <c r="AB296" t="s">
        <v>47</v>
      </c>
      <c r="AD296">
        <v>4</v>
      </c>
      <c r="AE296" s="2">
        <v>22679.49</v>
      </c>
      <c r="AF296">
        <v>0.85950000000000004</v>
      </c>
      <c r="AG296" t="s">
        <v>49</v>
      </c>
      <c r="AH296" s="23">
        <f>SUM(Amazon_Data_Set[[#This Row],[Gross Sales]]-Amazon_Data_Set[[#This Row],[Discount Amount]])</f>
        <v>19493.400000000001</v>
      </c>
    </row>
    <row r="297" spans="1:34">
      <c r="A297" t="s">
        <v>976</v>
      </c>
      <c r="B297" s="1">
        <v>46108</v>
      </c>
      <c r="C297" t="str">
        <f>TEXT(Amazon_Data_Set[[#This Row],[Order Date]],"mmm")</f>
        <v>Mar</v>
      </c>
      <c r="D297" t="s">
        <v>133</v>
      </c>
      <c r="E297" t="s">
        <v>235</v>
      </c>
      <c r="F297" t="s">
        <v>236</v>
      </c>
      <c r="G297" t="s">
        <v>82</v>
      </c>
      <c r="H297" t="s">
        <v>55</v>
      </c>
      <c r="I297" t="s">
        <v>120</v>
      </c>
      <c r="J297" t="s">
        <v>121</v>
      </c>
      <c r="K297" t="s">
        <v>122</v>
      </c>
      <c r="L297" t="s">
        <v>977</v>
      </c>
      <c r="M297" t="s">
        <v>43</v>
      </c>
      <c r="N297" t="s">
        <v>60</v>
      </c>
      <c r="O297" t="s">
        <v>45</v>
      </c>
      <c r="P297">
        <v>5</v>
      </c>
      <c r="Q297">
        <v>39920.449999999997</v>
      </c>
      <c r="R297" s="19">
        <v>0.3</v>
      </c>
      <c r="S297" s="21">
        <v>59880.67</v>
      </c>
      <c r="T297">
        <v>199602.25</v>
      </c>
      <c r="U297" s="2">
        <v>139721.57999999999</v>
      </c>
      <c r="V297">
        <v>92.81</v>
      </c>
      <c r="W297">
        <v>96651.16</v>
      </c>
      <c r="X297" s="2">
        <v>42977.61</v>
      </c>
      <c r="Y297">
        <v>0.30759999999999998</v>
      </c>
      <c r="Z297">
        <v>4</v>
      </c>
      <c r="AA297" t="s">
        <v>46</v>
      </c>
      <c r="AB297" t="s">
        <v>47</v>
      </c>
      <c r="AD297">
        <v>4</v>
      </c>
      <c r="AE297" s="2">
        <v>148111.35</v>
      </c>
      <c r="AF297">
        <v>0.94340000000000002</v>
      </c>
      <c r="AG297" t="s">
        <v>49</v>
      </c>
      <c r="AH297" s="23">
        <f>SUM(Amazon_Data_Set[[#This Row],[Gross Sales]]-Amazon_Data_Set[[#This Row],[Discount Amount]])</f>
        <v>139721.58000000002</v>
      </c>
    </row>
    <row r="298" spans="1:34">
      <c r="A298" t="s">
        <v>978</v>
      </c>
      <c r="B298" s="1">
        <v>46284</v>
      </c>
      <c r="C298" t="str">
        <f>TEXT(Amazon_Data_Set[[#This Row],[Order Date]],"mmm")</f>
        <v>Sep</v>
      </c>
      <c r="D298" t="s">
        <v>51</v>
      </c>
      <c r="E298" t="s">
        <v>167</v>
      </c>
      <c r="F298" t="s">
        <v>168</v>
      </c>
      <c r="G298" t="s">
        <v>111</v>
      </c>
      <c r="H298" t="s">
        <v>83</v>
      </c>
      <c r="I298" t="s">
        <v>188</v>
      </c>
      <c r="J298" t="s">
        <v>475</v>
      </c>
      <c r="K298" t="s">
        <v>476</v>
      </c>
      <c r="L298" t="s">
        <v>979</v>
      </c>
      <c r="M298" t="s">
        <v>106</v>
      </c>
      <c r="N298" t="s">
        <v>95</v>
      </c>
      <c r="O298" t="s">
        <v>96</v>
      </c>
      <c r="P298">
        <v>1</v>
      </c>
      <c r="Q298">
        <v>166.99</v>
      </c>
      <c r="R298" s="19">
        <v>0.05</v>
      </c>
      <c r="S298" s="21">
        <v>8.35</v>
      </c>
      <c r="T298">
        <v>166.99</v>
      </c>
      <c r="U298" s="2">
        <v>158.63999999999999</v>
      </c>
      <c r="V298">
        <v>53.5</v>
      </c>
      <c r="W298">
        <v>115.75</v>
      </c>
      <c r="X298" s="2">
        <v>-10.61</v>
      </c>
      <c r="Y298">
        <v>-6.6900000000000001E-2</v>
      </c>
      <c r="Z298">
        <v>0</v>
      </c>
      <c r="AA298" t="s">
        <v>97</v>
      </c>
      <c r="AB298" t="s">
        <v>47</v>
      </c>
      <c r="AE298" s="2">
        <v>171.09</v>
      </c>
      <c r="AF298">
        <v>0.92720000000000002</v>
      </c>
      <c r="AG298" t="s">
        <v>49</v>
      </c>
      <c r="AH298" s="23">
        <f>SUM(Amazon_Data_Set[[#This Row],[Gross Sales]]-Amazon_Data_Set[[#This Row],[Discount Amount]])</f>
        <v>158.64000000000001</v>
      </c>
    </row>
    <row r="299" spans="1:34">
      <c r="A299" t="s">
        <v>980</v>
      </c>
      <c r="B299" s="1">
        <v>46149</v>
      </c>
      <c r="C299" t="str">
        <f>TEXT(Amazon_Data_Set[[#This Row],[Order Date]],"mmm")</f>
        <v>May</v>
      </c>
      <c r="D299" t="s">
        <v>837</v>
      </c>
      <c r="E299" t="s">
        <v>275</v>
      </c>
      <c r="F299" t="s">
        <v>276</v>
      </c>
      <c r="G299" t="s">
        <v>37</v>
      </c>
      <c r="H299" t="s">
        <v>83</v>
      </c>
      <c r="I299" t="s">
        <v>102</v>
      </c>
      <c r="J299" t="s">
        <v>259</v>
      </c>
      <c r="K299" t="s">
        <v>260</v>
      </c>
      <c r="L299" t="s">
        <v>981</v>
      </c>
      <c r="M299" t="s">
        <v>43</v>
      </c>
      <c r="N299" t="s">
        <v>77</v>
      </c>
      <c r="O299" t="s">
        <v>96</v>
      </c>
      <c r="P299">
        <v>5</v>
      </c>
      <c r="Q299">
        <v>877.16</v>
      </c>
      <c r="R299" s="19">
        <v>0.15</v>
      </c>
      <c r="S299" s="21">
        <v>657.87</v>
      </c>
      <c r="T299">
        <v>4385.8</v>
      </c>
      <c r="U299" s="2">
        <v>3727.93</v>
      </c>
      <c r="V299">
        <v>216.21</v>
      </c>
      <c r="W299">
        <v>2139.0500000000002</v>
      </c>
      <c r="X299" s="2">
        <v>1372.67</v>
      </c>
      <c r="Y299">
        <v>0.36820000000000003</v>
      </c>
      <c r="Z299">
        <v>0</v>
      </c>
      <c r="AA299" t="s">
        <v>97</v>
      </c>
      <c r="AB299" t="s">
        <v>47</v>
      </c>
      <c r="AE299" s="2">
        <v>3328.92</v>
      </c>
      <c r="AF299">
        <v>1.1198999999999999</v>
      </c>
      <c r="AG299" t="s">
        <v>49</v>
      </c>
      <c r="AH299" s="23">
        <f>SUM(Amazon_Data_Set[[#This Row],[Gross Sales]]-Amazon_Data_Set[[#This Row],[Discount Amount]])</f>
        <v>3727.9300000000003</v>
      </c>
    </row>
    <row r="300" spans="1:34">
      <c r="A300" t="s">
        <v>982</v>
      </c>
      <c r="B300" s="1">
        <v>46269</v>
      </c>
      <c r="C300" t="str">
        <f>TEXT(Amazon_Data_Set[[#This Row],[Order Date]],"mmm")</f>
        <v>Sep</v>
      </c>
      <c r="D300" t="s">
        <v>479</v>
      </c>
      <c r="E300" t="s">
        <v>228</v>
      </c>
      <c r="F300" t="s">
        <v>229</v>
      </c>
      <c r="G300" t="s">
        <v>37</v>
      </c>
      <c r="H300" t="s">
        <v>83</v>
      </c>
      <c r="I300" t="s">
        <v>84</v>
      </c>
      <c r="J300" t="s">
        <v>277</v>
      </c>
      <c r="K300" t="s">
        <v>86</v>
      </c>
      <c r="L300" t="s">
        <v>983</v>
      </c>
      <c r="M300" t="s">
        <v>106</v>
      </c>
      <c r="N300" t="s">
        <v>60</v>
      </c>
      <c r="O300" t="s">
        <v>45</v>
      </c>
      <c r="P300">
        <v>1</v>
      </c>
      <c r="Q300">
        <v>2212.12</v>
      </c>
      <c r="R300" s="19">
        <v>0</v>
      </c>
      <c r="S300" s="21">
        <v>0</v>
      </c>
      <c r="T300">
        <v>2212.12</v>
      </c>
      <c r="U300" s="2">
        <v>2212.12</v>
      </c>
      <c r="V300">
        <v>220.46</v>
      </c>
      <c r="W300">
        <v>1659.83</v>
      </c>
      <c r="X300" s="2">
        <v>331.83</v>
      </c>
      <c r="Y300">
        <v>0.15</v>
      </c>
      <c r="Z300">
        <v>7</v>
      </c>
      <c r="AA300" t="s">
        <v>61</v>
      </c>
      <c r="AB300" t="s">
        <v>47</v>
      </c>
      <c r="AD300">
        <v>3</v>
      </c>
      <c r="AE300" s="2">
        <v>1963.83</v>
      </c>
      <c r="AF300">
        <v>1.1264000000000001</v>
      </c>
      <c r="AG300" t="s">
        <v>49</v>
      </c>
      <c r="AH300" s="23">
        <f>SUM(Amazon_Data_Set[[#This Row],[Gross Sales]]-Amazon_Data_Set[[#This Row],[Discount Amount]])</f>
        <v>2212.12</v>
      </c>
    </row>
    <row r="301" spans="1:34">
      <c r="A301" t="s">
        <v>984</v>
      </c>
      <c r="B301" s="1">
        <v>46347</v>
      </c>
      <c r="C301" t="str">
        <f>TEXT(Amazon_Data_Set[[#This Row],[Order Date]],"mmm")</f>
        <v>Nov</v>
      </c>
      <c r="D301" t="s">
        <v>222</v>
      </c>
      <c r="E301" t="s">
        <v>35</v>
      </c>
      <c r="F301" t="s">
        <v>36</v>
      </c>
      <c r="G301" t="s">
        <v>37</v>
      </c>
      <c r="H301" t="s">
        <v>55</v>
      </c>
      <c r="I301" t="s">
        <v>120</v>
      </c>
      <c r="J301" t="s">
        <v>121</v>
      </c>
      <c r="K301" t="s">
        <v>122</v>
      </c>
      <c r="L301" t="s">
        <v>985</v>
      </c>
      <c r="M301" t="s">
        <v>106</v>
      </c>
      <c r="N301" t="s">
        <v>70</v>
      </c>
      <c r="O301" t="s">
        <v>45</v>
      </c>
      <c r="P301">
        <v>4</v>
      </c>
      <c r="Q301">
        <v>16131.21</v>
      </c>
      <c r="R301" s="19">
        <v>0.3</v>
      </c>
      <c r="S301" s="21">
        <v>19357.45</v>
      </c>
      <c r="T301">
        <v>64524.84</v>
      </c>
      <c r="U301" s="2">
        <v>45167.39</v>
      </c>
      <c r="V301">
        <v>88.95</v>
      </c>
      <c r="W301">
        <v>34571.589999999997</v>
      </c>
      <c r="X301" s="2">
        <v>10506.85</v>
      </c>
      <c r="Y301">
        <v>0.2326</v>
      </c>
      <c r="Z301">
        <v>7</v>
      </c>
      <c r="AA301" t="s">
        <v>61</v>
      </c>
      <c r="AB301" t="s">
        <v>47</v>
      </c>
      <c r="AD301">
        <v>5</v>
      </c>
      <c r="AE301" s="2">
        <v>47713.39</v>
      </c>
      <c r="AF301">
        <v>0.9466</v>
      </c>
      <c r="AG301" t="s">
        <v>49</v>
      </c>
      <c r="AH301" s="23">
        <f>SUM(Amazon_Data_Set[[#This Row],[Gross Sales]]-Amazon_Data_Set[[#This Row],[Discount Amount]])</f>
        <v>45167.39</v>
      </c>
    </row>
    <row r="302" spans="1:34">
      <c r="A302" t="s">
        <v>986</v>
      </c>
      <c r="B302" s="1">
        <v>46353</v>
      </c>
      <c r="C302" t="str">
        <f>TEXT(Amazon_Data_Set[[#This Row],[Order Date]],"mmm")</f>
        <v>Nov</v>
      </c>
      <c r="D302" t="s">
        <v>987</v>
      </c>
      <c r="E302" t="s">
        <v>235</v>
      </c>
      <c r="F302" t="s">
        <v>236</v>
      </c>
      <c r="G302" t="s">
        <v>82</v>
      </c>
      <c r="H302" t="s">
        <v>55</v>
      </c>
      <c r="I302" t="s">
        <v>73</v>
      </c>
      <c r="J302" t="s">
        <v>247</v>
      </c>
      <c r="K302" t="s">
        <v>248</v>
      </c>
      <c r="L302" t="s">
        <v>988</v>
      </c>
      <c r="M302" t="s">
        <v>43</v>
      </c>
      <c r="N302" t="s">
        <v>77</v>
      </c>
      <c r="O302" t="s">
        <v>45</v>
      </c>
      <c r="P302">
        <v>5</v>
      </c>
      <c r="Q302">
        <v>33156.83</v>
      </c>
      <c r="R302" s="19">
        <v>0.05</v>
      </c>
      <c r="S302" s="21">
        <v>8289.2099999999991</v>
      </c>
      <c r="T302">
        <v>165784.15</v>
      </c>
      <c r="U302" s="2">
        <v>157494.94</v>
      </c>
      <c r="V302">
        <v>213.74</v>
      </c>
      <c r="W302">
        <v>84554.81</v>
      </c>
      <c r="X302" s="2">
        <v>72726.39</v>
      </c>
      <c r="Y302">
        <v>0.46179999999999999</v>
      </c>
      <c r="Z302">
        <v>7</v>
      </c>
      <c r="AA302" t="s">
        <v>61</v>
      </c>
      <c r="AB302" t="s">
        <v>47</v>
      </c>
      <c r="AD302">
        <v>5</v>
      </c>
      <c r="AE302" s="2">
        <v>178915.36</v>
      </c>
      <c r="AF302">
        <v>0.88029999999999997</v>
      </c>
      <c r="AG302" t="s">
        <v>49</v>
      </c>
      <c r="AH302" s="23">
        <f>SUM(Amazon_Data_Set[[#This Row],[Gross Sales]]-Amazon_Data_Set[[#This Row],[Discount Amount]])</f>
        <v>157494.94</v>
      </c>
    </row>
    <row r="303" spans="1:34">
      <c r="A303" t="s">
        <v>989</v>
      </c>
      <c r="B303" s="1">
        <v>46032</v>
      </c>
      <c r="C303" t="str">
        <f>TEXT(Amazon_Data_Set[[#This Row],[Order Date]],"mmm")</f>
        <v>Jan</v>
      </c>
      <c r="D303" t="s">
        <v>990</v>
      </c>
      <c r="E303" t="s">
        <v>35</v>
      </c>
      <c r="F303" t="s">
        <v>36</v>
      </c>
      <c r="G303" t="s">
        <v>37</v>
      </c>
      <c r="H303" t="s">
        <v>90</v>
      </c>
      <c r="I303" t="s">
        <v>112</v>
      </c>
      <c r="J303" t="s">
        <v>113</v>
      </c>
      <c r="K303" t="s">
        <v>114</v>
      </c>
      <c r="L303" t="s">
        <v>991</v>
      </c>
      <c r="M303" t="s">
        <v>106</v>
      </c>
      <c r="N303" t="s">
        <v>44</v>
      </c>
      <c r="O303" t="s">
        <v>45</v>
      </c>
      <c r="P303">
        <v>2</v>
      </c>
      <c r="Q303">
        <v>769.97</v>
      </c>
      <c r="R303" s="19">
        <v>0</v>
      </c>
      <c r="S303" s="21">
        <v>0</v>
      </c>
      <c r="T303">
        <v>1539.94</v>
      </c>
      <c r="U303" s="2">
        <v>1539.94</v>
      </c>
      <c r="V303">
        <v>92.61</v>
      </c>
      <c r="W303">
        <v>1093.8499999999999</v>
      </c>
      <c r="X303" s="2">
        <v>353.48</v>
      </c>
      <c r="Y303">
        <v>0.22950000000000001</v>
      </c>
      <c r="Z303">
        <v>6</v>
      </c>
      <c r="AA303" t="s">
        <v>61</v>
      </c>
      <c r="AB303" t="s">
        <v>48</v>
      </c>
      <c r="AC303" t="s">
        <v>137</v>
      </c>
      <c r="AD303">
        <v>4</v>
      </c>
      <c r="AE303" s="2">
        <v>1879.96</v>
      </c>
      <c r="AF303">
        <v>0.81910000000000005</v>
      </c>
      <c r="AG303" t="s">
        <v>49</v>
      </c>
      <c r="AH303" s="23">
        <f>SUM(Amazon_Data_Set[[#This Row],[Gross Sales]]-Amazon_Data_Set[[#This Row],[Discount Amount]])</f>
        <v>1539.94</v>
      </c>
    </row>
    <row r="304" spans="1:34">
      <c r="A304" t="s">
        <v>992</v>
      </c>
      <c r="B304" s="1">
        <v>46223</v>
      </c>
      <c r="C304" t="str">
        <f>TEXT(Amazon_Data_Set[[#This Row],[Order Date]],"mmm")</f>
        <v>Jul</v>
      </c>
      <c r="D304" t="s">
        <v>993</v>
      </c>
      <c r="E304" t="s">
        <v>64</v>
      </c>
      <c r="F304" t="s">
        <v>65</v>
      </c>
      <c r="G304" t="s">
        <v>54</v>
      </c>
      <c r="H304" t="s">
        <v>38</v>
      </c>
      <c r="I304" t="s">
        <v>66</v>
      </c>
      <c r="J304" t="s">
        <v>318</v>
      </c>
      <c r="K304" t="s">
        <v>282</v>
      </c>
      <c r="L304" t="s">
        <v>994</v>
      </c>
      <c r="M304" t="s">
        <v>43</v>
      </c>
      <c r="N304" t="s">
        <v>70</v>
      </c>
      <c r="O304" t="s">
        <v>45</v>
      </c>
      <c r="P304">
        <v>1</v>
      </c>
      <c r="Q304">
        <v>2250.3000000000002</v>
      </c>
      <c r="R304" s="19">
        <v>0</v>
      </c>
      <c r="S304" s="21">
        <v>0</v>
      </c>
      <c r="T304">
        <v>2250.3000000000002</v>
      </c>
      <c r="U304" s="2">
        <v>2250.3000000000002</v>
      </c>
      <c r="V304">
        <v>63.58</v>
      </c>
      <c r="W304">
        <v>1267.8499999999999</v>
      </c>
      <c r="X304" s="2">
        <v>918.87</v>
      </c>
      <c r="Y304">
        <v>0.4083</v>
      </c>
      <c r="Z304">
        <v>7</v>
      </c>
      <c r="AA304" t="s">
        <v>61</v>
      </c>
      <c r="AB304" t="s">
        <v>47</v>
      </c>
      <c r="AD304">
        <v>3</v>
      </c>
      <c r="AE304" s="2">
        <v>2536.19</v>
      </c>
      <c r="AF304">
        <v>0.88729999999999998</v>
      </c>
      <c r="AG304" t="s">
        <v>49</v>
      </c>
      <c r="AH304" s="23">
        <f>SUM(Amazon_Data_Set[[#This Row],[Gross Sales]]-Amazon_Data_Set[[#This Row],[Discount Amount]])</f>
        <v>2250.3000000000002</v>
      </c>
    </row>
    <row r="305" spans="1:34">
      <c r="A305" t="s">
        <v>995</v>
      </c>
      <c r="B305" s="1">
        <v>46228</v>
      </c>
      <c r="C305" t="str">
        <f>TEXT(Amazon_Data_Set[[#This Row],[Order Date]],"mmm")</f>
        <v>Jul</v>
      </c>
      <c r="D305" t="s">
        <v>996</v>
      </c>
      <c r="E305" t="s">
        <v>80</v>
      </c>
      <c r="F305" t="s">
        <v>81</v>
      </c>
      <c r="G305" t="s">
        <v>82</v>
      </c>
      <c r="H305" t="s">
        <v>38</v>
      </c>
      <c r="I305" t="s">
        <v>39</v>
      </c>
      <c r="J305" t="s">
        <v>281</v>
      </c>
      <c r="K305" t="s">
        <v>282</v>
      </c>
      <c r="L305" t="s">
        <v>997</v>
      </c>
      <c r="M305" t="s">
        <v>43</v>
      </c>
      <c r="N305" t="s">
        <v>70</v>
      </c>
      <c r="O305" t="s">
        <v>45</v>
      </c>
      <c r="P305">
        <v>3</v>
      </c>
      <c r="Q305">
        <v>426.61</v>
      </c>
      <c r="R305" s="19">
        <v>0.1</v>
      </c>
      <c r="S305" s="21">
        <v>127.98</v>
      </c>
      <c r="T305">
        <v>1279.83</v>
      </c>
      <c r="U305" s="2">
        <v>1151.8499999999999</v>
      </c>
      <c r="V305">
        <v>19.04</v>
      </c>
      <c r="W305">
        <v>574.85</v>
      </c>
      <c r="X305" s="2">
        <v>557.96</v>
      </c>
      <c r="Y305">
        <v>0.4844</v>
      </c>
      <c r="Z305">
        <v>5</v>
      </c>
      <c r="AA305" t="s">
        <v>61</v>
      </c>
      <c r="AB305" t="s">
        <v>47</v>
      </c>
      <c r="AD305">
        <v>3</v>
      </c>
      <c r="AE305" s="2">
        <v>999.69</v>
      </c>
      <c r="AF305">
        <v>1.1521999999999999</v>
      </c>
      <c r="AG305" t="s">
        <v>49</v>
      </c>
      <c r="AH305" s="23">
        <f>SUM(Amazon_Data_Set[[#This Row],[Gross Sales]]-Amazon_Data_Set[[#This Row],[Discount Amount]])</f>
        <v>1151.8499999999999</v>
      </c>
    </row>
    <row r="306" spans="1:34">
      <c r="A306" t="s">
        <v>998</v>
      </c>
      <c r="B306" s="1">
        <v>46096</v>
      </c>
      <c r="C306" t="str">
        <f>TEXT(Amazon_Data_Set[[#This Row],[Order Date]],"mmm")</f>
        <v>Mar</v>
      </c>
      <c r="D306" t="s">
        <v>153</v>
      </c>
      <c r="E306" t="s">
        <v>149</v>
      </c>
      <c r="F306" t="s">
        <v>150</v>
      </c>
      <c r="G306" t="s">
        <v>37</v>
      </c>
      <c r="H306" t="s">
        <v>142</v>
      </c>
      <c r="I306" t="s">
        <v>209</v>
      </c>
      <c r="J306" t="s">
        <v>210</v>
      </c>
      <c r="K306" t="s">
        <v>201</v>
      </c>
      <c r="L306" t="s">
        <v>999</v>
      </c>
      <c r="M306" t="s">
        <v>106</v>
      </c>
      <c r="N306" t="s">
        <v>124</v>
      </c>
      <c r="O306" t="s">
        <v>45</v>
      </c>
      <c r="P306">
        <v>3</v>
      </c>
      <c r="Q306">
        <v>7683.8</v>
      </c>
      <c r="R306" s="19">
        <v>0.1</v>
      </c>
      <c r="S306" s="21">
        <v>2305.14</v>
      </c>
      <c r="T306">
        <v>23051.4</v>
      </c>
      <c r="U306" s="2">
        <v>20746.259999999998</v>
      </c>
      <c r="V306">
        <v>66.38</v>
      </c>
      <c r="W306">
        <v>10885.37</v>
      </c>
      <c r="X306" s="2">
        <v>9794.51</v>
      </c>
      <c r="Y306">
        <v>0.47210000000000002</v>
      </c>
      <c r="Z306">
        <v>8</v>
      </c>
      <c r="AA306" t="s">
        <v>61</v>
      </c>
      <c r="AB306" t="s">
        <v>47</v>
      </c>
      <c r="AD306">
        <v>4</v>
      </c>
      <c r="AE306" s="2">
        <v>19285.61</v>
      </c>
      <c r="AF306">
        <v>1.0757000000000001</v>
      </c>
      <c r="AG306" t="s">
        <v>49</v>
      </c>
      <c r="AH306" s="23">
        <f>SUM(Amazon_Data_Set[[#This Row],[Gross Sales]]-Amazon_Data_Set[[#This Row],[Discount Amount]])</f>
        <v>20746.260000000002</v>
      </c>
    </row>
    <row r="307" spans="1:34">
      <c r="A307" t="s">
        <v>1000</v>
      </c>
      <c r="B307" s="1">
        <v>46245</v>
      </c>
      <c r="C307" t="str">
        <f>TEXT(Amazon_Data_Set[[#This Row],[Order Date]],"mmm")</f>
        <v>Aug</v>
      </c>
      <c r="D307" t="s">
        <v>187</v>
      </c>
      <c r="E307" t="s">
        <v>167</v>
      </c>
      <c r="F307" t="s">
        <v>168</v>
      </c>
      <c r="G307" t="s">
        <v>111</v>
      </c>
      <c r="H307" t="s">
        <v>83</v>
      </c>
      <c r="I307" t="s">
        <v>84</v>
      </c>
      <c r="J307" t="s">
        <v>85</v>
      </c>
      <c r="K307" t="s">
        <v>86</v>
      </c>
      <c r="L307" t="s">
        <v>1001</v>
      </c>
      <c r="M307" t="s">
        <v>106</v>
      </c>
      <c r="N307" t="s">
        <v>124</v>
      </c>
      <c r="O307" t="s">
        <v>45</v>
      </c>
      <c r="P307">
        <v>5</v>
      </c>
      <c r="Q307">
        <v>2175.4499999999998</v>
      </c>
      <c r="R307" s="19">
        <v>0.25</v>
      </c>
      <c r="S307" s="21">
        <v>2719.31</v>
      </c>
      <c r="T307">
        <v>10877.25</v>
      </c>
      <c r="U307" s="2">
        <v>8157.94</v>
      </c>
      <c r="V307">
        <v>96.3</v>
      </c>
      <c r="W307">
        <v>6130.13</v>
      </c>
      <c r="X307" s="2">
        <v>1931.51</v>
      </c>
      <c r="Y307">
        <v>0.23680000000000001</v>
      </c>
      <c r="Z307">
        <v>7</v>
      </c>
      <c r="AA307" t="s">
        <v>61</v>
      </c>
      <c r="AB307" t="s">
        <v>47</v>
      </c>
      <c r="AD307">
        <v>5</v>
      </c>
      <c r="AE307" s="2">
        <v>7847.09</v>
      </c>
      <c r="AF307">
        <v>1.0396000000000001</v>
      </c>
      <c r="AG307" t="s">
        <v>49</v>
      </c>
      <c r="AH307" s="23">
        <f>SUM(Amazon_Data_Set[[#This Row],[Gross Sales]]-Amazon_Data_Set[[#This Row],[Discount Amount]])</f>
        <v>8157.9400000000005</v>
      </c>
    </row>
    <row r="308" spans="1:34">
      <c r="A308" t="s">
        <v>1002</v>
      </c>
      <c r="B308" s="1">
        <v>46301</v>
      </c>
      <c r="C308" t="str">
        <f>TEXT(Amazon_Data_Set[[#This Row],[Order Date]],"mmm")</f>
        <v>Oct</v>
      </c>
      <c r="D308" t="s">
        <v>793</v>
      </c>
      <c r="E308" t="s">
        <v>167</v>
      </c>
      <c r="F308" t="s">
        <v>168</v>
      </c>
      <c r="G308" t="s">
        <v>111</v>
      </c>
      <c r="H308" t="s">
        <v>83</v>
      </c>
      <c r="I308" t="s">
        <v>102</v>
      </c>
      <c r="J308" t="s">
        <v>103</v>
      </c>
      <c r="K308" t="s">
        <v>104</v>
      </c>
      <c r="L308" t="s">
        <v>1003</v>
      </c>
      <c r="M308" t="s">
        <v>106</v>
      </c>
      <c r="N308" t="s">
        <v>70</v>
      </c>
      <c r="O308" t="s">
        <v>96</v>
      </c>
      <c r="P308">
        <v>3</v>
      </c>
      <c r="Q308">
        <v>1282.8900000000001</v>
      </c>
      <c r="R308" s="19">
        <v>0</v>
      </c>
      <c r="S308" s="21">
        <v>0</v>
      </c>
      <c r="T308">
        <v>3848.67</v>
      </c>
      <c r="U308" s="2">
        <v>3848.67</v>
      </c>
      <c r="V308">
        <v>91.65</v>
      </c>
      <c r="W308">
        <v>1971.4</v>
      </c>
      <c r="X308" s="2">
        <v>1785.62</v>
      </c>
      <c r="Y308">
        <v>0.46400000000000002</v>
      </c>
      <c r="Z308">
        <v>0</v>
      </c>
      <c r="AA308" t="s">
        <v>97</v>
      </c>
      <c r="AB308" t="s">
        <v>47</v>
      </c>
      <c r="AE308" s="2">
        <v>4109.16</v>
      </c>
      <c r="AF308">
        <v>0.93659999999999999</v>
      </c>
      <c r="AG308" t="s">
        <v>347</v>
      </c>
      <c r="AH308" s="23">
        <f>SUM(Amazon_Data_Set[[#This Row],[Gross Sales]]-Amazon_Data_Set[[#This Row],[Discount Amount]])</f>
        <v>3848.67</v>
      </c>
    </row>
    <row r="309" spans="1:34">
      <c r="A309" t="s">
        <v>1004</v>
      </c>
      <c r="B309" s="1">
        <v>46282</v>
      </c>
      <c r="C309" t="str">
        <f>TEXT(Amazon_Data_Set[[#This Row],[Order Date]],"mmm")</f>
        <v>Sep</v>
      </c>
      <c r="D309" t="s">
        <v>1005</v>
      </c>
      <c r="E309" t="s">
        <v>80</v>
      </c>
      <c r="F309" t="s">
        <v>81</v>
      </c>
      <c r="G309" t="s">
        <v>82</v>
      </c>
      <c r="H309" t="s">
        <v>55</v>
      </c>
      <c r="I309" t="s">
        <v>120</v>
      </c>
      <c r="J309" t="s">
        <v>344</v>
      </c>
      <c r="K309" t="s">
        <v>345</v>
      </c>
      <c r="L309" t="s">
        <v>1006</v>
      </c>
      <c r="M309" t="s">
        <v>43</v>
      </c>
      <c r="N309" t="s">
        <v>60</v>
      </c>
      <c r="O309" t="s">
        <v>45</v>
      </c>
      <c r="P309">
        <v>4</v>
      </c>
      <c r="Q309">
        <v>13780.77</v>
      </c>
      <c r="R309" s="19">
        <v>0.2</v>
      </c>
      <c r="S309" s="21">
        <v>11024.62</v>
      </c>
      <c r="T309">
        <v>55123.08</v>
      </c>
      <c r="U309" s="2">
        <v>44098.46</v>
      </c>
      <c r="V309">
        <v>150.58000000000001</v>
      </c>
      <c r="W309">
        <v>27160.73</v>
      </c>
      <c r="X309" s="2">
        <v>16787.150000000001</v>
      </c>
      <c r="Y309">
        <v>0.38069999999999998</v>
      </c>
      <c r="Z309">
        <v>8</v>
      </c>
      <c r="AA309" t="s">
        <v>61</v>
      </c>
      <c r="AB309" t="s">
        <v>47</v>
      </c>
      <c r="AD309">
        <v>4</v>
      </c>
      <c r="AE309" s="2">
        <v>43890.2</v>
      </c>
      <c r="AF309">
        <v>1.0046999999999999</v>
      </c>
      <c r="AG309" t="s">
        <v>49</v>
      </c>
      <c r="AH309" s="23">
        <f>SUM(Amazon_Data_Set[[#This Row],[Gross Sales]]-Amazon_Data_Set[[#This Row],[Discount Amount]])</f>
        <v>44098.46</v>
      </c>
    </row>
    <row r="310" spans="1:34">
      <c r="A310" t="s">
        <v>1007</v>
      </c>
      <c r="B310" s="1">
        <v>46044</v>
      </c>
      <c r="C310" t="str">
        <f>TEXT(Amazon_Data_Set[[#This Row],[Order Date]],"mmm")</f>
        <v>Jan</v>
      </c>
      <c r="D310" t="s">
        <v>468</v>
      </c>
      <c r="E310" t="s">
        <v>109</v>
      </c>
      <c r="F310" t="s">
        <v>154</v>
      </c>
      <c r="G310" t="s">
        <v>111</v>
      </c>
      <c r="H310" t="s">
        <v>90</v>
      </c>
      <c r="I310" t="s">
        <v>112</v>
      </c>
      <c r="J310" t="s">
        <v>134</v>
      </c>
      <c r="K310" t="s">
        <v>135</v>
      </c>
      <c r="L310" t="s">
        <v>1008</v>
      </c>
      <c r="M310" t="s">
        <v>43</v>
      </c>
      <c r="N310" t="s">
        <v>70</v>
      </c>
      <c r="O310" t="s">
        <v>130</v>
      </c>
      <c r="P310">
        <v>4</v>
      </c>
      <c r="Q310">
        <v>159.43</v>
      </c>
      <c r="R310" s="19">
        <v>0.05</v>
      </c>
      <c r="S310" s="21">
        <v>31.89</v>
      </c>
      <c r="T310">
        <v>637.72</v>
      </c>
      <c r="U310" s="2">
        <v>605.83000000000004</v>
      </c>
      <c r="V310">
        <v>23.08</v>
      </c>
      <c r="W310">
        <v>356.42</v>
      </c>
      <c r="X310" s="2">
        <v>226.33</v>
      </c>
      <c r="Y310">
        <v>0.37359999999999999</v>
      </c>
      <c r="Z310">
        <v>6</v>
      </c>
      <c r="AA310" t="s">
        <v>131</v>
      </c>
      <c r="AB310" t="s">
        <v>47</v>
      </c>
      <c r="AE310" s="2">
        <v>667.94</v>
      </c>
      <c r="AF310">
        <v>0.90700000000000003</v>
      </c>
      <c r="AG310" t="s">
        <v>49</v>
      </c>
      <c r="AH310" s="23">
        <f>SUM(Amazon_Data_Set[[#This Row],[Gross Sales]]-Amazon_Data_Set[[#This Row],[Discount Amount]])</f>
        <v>605.83000000000004</v>
      </c>
    </row>
    <row r="311" spans="1:34">
      <c r="A311" t="s">
        <v>1009</v>
      </c>
      <c r="B311" s="1">
        <v>46164</v>
      </c>
      <c r="C311" t="str">
        <f>TEXT(Amazon_Data_Set[[#This Row],[Order Date]],"mmm")</f>
        <v>May</v>
      </c>
      <c r="D311" t="s">
        <v>1010</v>
      </c>
      <c r="E311" t="s">
        <v>109</v>
      </c>
      <c r="F311" t="s">
        <v>154</v>
      </c>
      <c r="G311" t="s">
        <v>111</v>
      </c>
      <c r="H311" t="s">
        <v>38</v>
      </c>
      <c r="I311" t="s">
        <v>66</v>
      </c>
      <c r="J311" t="s">
        <v>67</v>
      </c>
      <c r="K311" t="s">
        <v>68</v>
      </c>
      <c r="L311" t="s">
        <v>1011</v>
      </c>
      <c r="M311" t="s">
        <v>106</v>
      </c>
      <c r="N311" t="s">
        <v>77</v>
      </c>
      <c r="O311" t="s">
        <v>45</v>
      </c>
      <c r="P311">
        <v>1</v>
      </c>
      <c r="Q311">
        <v>916.62</v>
      </c>
      <c r="R311" s="19">
        <v>0.2</v>
      </c>
      <c r="S311" s="21">
        <v>183.32</v>
      </c>
      <c r="T311">
        <v>916.62</v>
      </c>
      <c r="U311" s="2">
        <v>733.3</v>
      </c>
      <c r="V311">
        <v>11.87</v>
      </c>
      <c r="W311">
        <v>493.22</v>
      </c>
      <c r="X311" s="2">
        <v>228.21</v>
      </c>
      <c r="Y311">
        <v>0.31119999999999998</v>
      </c>
      <c r="Z311">
        <v>1</v>
      </c>
      <c r="AA311" t="s">
        <v>46</v>
      </c>
      <c r="AB311" t="s">
        <v>47</v>
      </c>
      <c r="AD311">
        <v>5</v>
      </c>
      <c r="AE311" s="2">
        <v>916.1</v>
      </c>
      <c r="AF311">
        <v>0.80049999999999999</v>
      </c>
      <c r="AG311" t="s">
        <v>49</v>
      </c>
      <c r="AH311" s="23">
        <f>SUM(Amazon_Data_Set[[#This Row],[Gross Sales]]-Amazon_Data_Set[[#This Row],[Discount Amount]])</f>
        <v>733.3</v>
      </c>
    </row>
    <row r="312" spans="1:34">
      <c r="A312" t="s">
        <v>1012</v>
      </c>
      <c r="B312" s="1">
        <v>46353</v>
      </c>
      <c r="C312" t="str">
        <f>TEXT(Amazon_Data_Set[[#This Row],[Order Date]],"mmm")</f>
        <v>Nov</v>
      </c>
      <c r="D312" t="s">
        <v>802</v>
      </c>
      <c r="E312" t="s">
        <v>100</v>
      </c>
      <c r="F312" t="s">
        <v>179</v>
      </c>
      <c r="G312" t="s">
        <v>54</v>
      </c>
      <c r="H312" t="s">
        <v>90</v>
      </c>
      <c r="I312" t="s">
        <v>112</v>
      </c>
      <c r="J312" t="s">
        <v>134</v>
      </c>
      <c r="K312" t="s">
        <v>135</v>
      </c>
      <c r="L312" t="s">
        <v>1013</v>
      </c>
      <c r="M312" t="s">
        <v>106</v>
      </c>
      <c r="N312" t="s">
        <v>95</v>
      </c>
      <c r="O312" t="s">
        <v>45</v>
      </c>
      <c r="P312">
        <v>4</v>
      </c>
      <c r="Q312">
        <v>192.66</v>
      </c>
      <c r="R312" s="19">
        <v>0.2</v>
      </c>
      <c r="S312" s="21">
        <v>154.13</v>
      </c>
      <c r="T312">
        <v>770.64</v>
      </c>
      <c r="U312" s="2">
        <v>616.51</v>
      </c>
      <c r="V312">
        <v>49.52</v>
      </c>
      <c r="W312">
        <v>365.54</v>
      </c>
      <c r="X312" s="2">
        <v>201.45</v>
      </c>
      <c r="Y312">
        <v>0.32679999999999998</v>
      </c>
      <c r="Z312">
        <v>4</v>
      </c>
      <c r="AA312" t="s">
        <v>46</v>
      </c>
      <c r="AB312" t="s">
        <v>47</v>
      </c>
      <c r="AD312">
        <v>5</v>
      </c>
      <c r="AE312" s="2">
        <v>556.04</v>
      </c>
      <c r="AF312">
        <v>1.1088</v>
      </c>
      <c r="AG312" t="s">
        <v>49</v>
      </c>
      <c r="AH312" s="23">
        <f>SUM(Amazon_Data_Set[[#This Row],[Gross Sales]]-Amazon_Data_Set[[#This Row],[Discount Amount]])</f>
        <v>616.51</v>
      </c>
    </row>
    <row r="313" spans="1:34">
      <c r="A313" t="s">
        <v>1014</v>
      </c>
      <c r="B313" s="1">
        <v>46339</v>
      </c>
      <c r="C313" t="str">
        <f>TEXT(Amazon_Data_Set[[#This Row],[Order Date]],"mmm")</f>
        <v>Nov</v>
      </c>
      <c r="D313" t="s">
        <v>1015</v>
      </c>
      <c r="E313" t="s">
        <v>149</v>
      </c>
      <c r="F313" t="s">
        <v>150</v>
      </c>
      <c r="G313" t="s">
        <v>37</v>
      </c>
      <c r="H313" t="s">
        <v>142</v>
      </c>
      <c r="I313" t="s">
        <v>214</v>
      </c>
      <c r="J313" t="s">
        <v>308</v>
      </c>
      <c r="K313" t="s">
        <v>309</v>
      </c>
      <c r="L313" t="s">
        <v>1016</v>
      </c>
      <c r="M313" t="s">
        <v>106</v>
      </c>
      <c r="N313" t="s">
        <v>77</v>
      </c>
      <c r="O313" t="s">
        <v>45</v>
      </c>
      <c r="P313">
        <v>1</v>
      </c>
      <c r="Q313">
        <v>292.81</v>
      </c>
      <c r="R313" s="19">
        <v>0.15</v>
      </c>
      <c r="S313" s="21">
        <v>43.92</v>
      </c>
      <c r="T313">
        <v>292.81</v>
      </c>
      <c r="U313" s="2">
        <v>248.89</v>
      </c>
      <c r="V313">
        <v>109.6</v>
      </c>
      <c r="W313">
        <v>174.16</v>
      </c>
      <c r="X313" s="2">
        <v>-34.869999999999997</v>
      </c>
      <c r="Y313">
        <v>-0.1401</v>
      </c>
      <c r="Z313">
        <v>1</v>
      </c>
      <c r="AA313" t="s">
        <v>46</v>
      </c>
      <c r="AB313" t="s">
        <v>48</v>
      </c>
      <c r="AC313" t="s">
        <v>203</v>
      </c>
      <c r="AD313">
        <v>5</v>
      </c>
      <c r="AE313" s="2">
        <v>287.36</v>
      </c>
      <c r="AF313">
        <v>0.86609999999999998</v>
      </c>
      <c r="AG313" t="s">
        <v>49</v>
      </c>
      <c r="AH313" s="23">
        <f>SUM(Amazon_Data_Set[[#This Row],[Gross Sales]]-Amazon_Data_Set[[#This Row],[Discount Amount]])</f>
        <v>248.89</v>
      </c>
    </row>
    <row r="314" spans="1:34">
      <c r="A314" t="s">
        <v>1017</v>
      </c>
      <c r="B314" s="1">
        <v>46238</v>
      </c>
      <c r="C314" t="str">
        <f>TEXT(Amazon_Data_Set[[#This Row],[Order Date]],"mmm")</f>
        <v>Aug</v>
      </c>
      <c r="D314" t="s">
        <v>703</v>
      </c>
      <c r="E314" t="s">
        <v>235</v>
      </c>
      <c r="F314" t="s">
        <v>236</v>
      </c>
      <c r="G314" t="s">
        <v>82</v>
      </c>
      <c r="H314" t="s">
        <v>38</v>
      </c>
      <c r="I314" t="s">
        <v>39</v>
      </c>
      <c r="J314" t="s">
        <v>281</v>
      </c>
      <c r="K314" t="s">
        <v>282</v>
      </c>
      <c r="L314" t="s">
        <v>1018</v>
      </c>
      <c r="M314" t="s">
        <v>43</v>
      </c>
      <c r="N314" t="s">
        <v>44</v>
      </c>
      <c r="O314" t="s">
        <v>45</v>
      </c>
      <c r="P314">
        <v>4</v>
      </c>
      <c r="Q314">
        <v>1817.89</v>
      </c>
      <c r="R314" s="19">
        <v>0.2</v>
      </c>
      <c r="S314" s="21">
        <v>1454.31</v>
      </c>
      <c r="T314">
        <v>7271.56</v>
      </c>
      <c r="U314" s="2">
        <v>5817.25</v>
      </c>
      <c r="V314">
        <v>206.66</v>
      </c>
      <c r="W314">
        <v>4525.6000000000004</v>
      </c>
      <c r="X314" s="2">
        <v>1084.99</v>
      </c>
      <c r="Y314">
        <v>0.1865</v>
      </c>
      <c r="Z314">
        <v>5</v>
      </c>
      <c r="AA314" t="s">
        <v>61</v>
      </c>
      <c r="AB314" t="s">
        <v>47</v>
      </c>
      <c r="AD314">
        <v>5</v>
      </c>
      <c r="AE314" s="2">
        <v>7108.06</v>
      </c>
      <c r="AF314">
        <v>0.81840000000000002</v>
      </c>
      <c r="AG314" t="s">
        <v>49</v>
      </c>
      <c r="AH314" s="23">
        <f>SUM(Amazon_Data_Set[[#This Row],[Gross Sales]]-Amazon_Data_Set[[#This Row],[Discount Amount]])</f>
        <v>5817.25</v>
      </c>
    </row>
    <row r="315" spans="1:34">
      <c r="A315" t="s">
        <v>1019</v>
      </c>
      <c r="B315" s="1">
        <v>46117</v>
      </c>
      <c r="C315" t="str">
        <f>TEXT(Amazon_Data_Set[[#This Row],[Order Date]],"mmm")</f>
        <v>Apr</v>
      </c>
      <c r="D315" t="s">
        <v>442</v>
      </c>
      <c r="E315" t="s">
        <v>167</v>
      </c>
      <c r="F315" t="s">
        <v>168</v>
      </c>
      <c r="G315" t="s">
        <v>111</v>
      </c>
      <c r="H315" t="s">
        <v>38</v>
      </c>
      <c r="I315" t="s">
        <v>66</v>
      </c>
      <c r="J315" t="s">
        <v>67</v>
      </c>
      <c r="K315" t="s">
        <v>68</v>
      </c>
      <c r="L315" t="s">
        <v>1020</v>
      </c>
      <c r="M315" t="s">
        <v>106</v>
      </c>
      <c r="N315" t="s">
        <v>44</v>
      </c>
      <c r="O315" t="s">
        <v>45</v>
      </c>
      <c r="P315">
        <v>4</v>
      </c>
      <c r="Q315">
        <v>3991.37</v>
      </c>
      <c r="R315" s="19">
        <v>0</v>
      </c>
      <c r="S315" s="21">
        <v>0</v>
      </c>
      <c r="T315">
        <v>15965.48</v>
      </c>
      <c r="U315" s="2">
        <v>15965.48</v>
      </c>
      <c r="V315">
        <v>106.06</v>
      </c>
      <c r="W315">
        <v>10666.7</v>
      </c>
      <c r="X315" s="2">
        <v>5192.72</v>
      </c>
      <c r="Y315">
        <v>0.32519999999999999</v>
      </c>
      <c r="Z315">
        <v>7</v>
      </c>
      <c r="AA315" t="s">
        <v>61</v>
      </c>
      <c r="AB315" t="s">
        <v>48</v>
      </c>
      <c r="AC315" t="s">
        <v>320</v>
      </c>
      <c r="AD315">
        <v>3</v>
      </c>
      <c r="AE315" s="2">
        <v>17357.599999999999</v>
      </c>
      <c r="AF315">
        <v>0.91979999999999995</v>
      </c>
      <c r="AG315" t="s">
        <v>347</v>
      </c>
      <c r="AH315" s="23">
        <f>SUM(Amazon_Data_Set[[#This Row],[Gross Sales]]-Amazon_Data_Set[[#This Row],[Discount Amount]])</f>
        <v>15965.48</v>
      </c>
    </row>
    <row r="316" spans="1:34">
      <c r="A316" t="s">
        <v>1021</v>
      </c>
      <c r="B316" s="1">
        <v>46359</v>
      </c>
      <c r="C316" t="str">
        <f>TEXT(Amazon_Data_Set[[#This Row],[Order Date]],"mmm")</f>
        <v>Dec</v>
      </c>
      <c r="D316" t="s">
        <v>1022</v>
      </c>
      <c r="E316" t="s">
        <v>109</v>
      </c>
      <c r="F316" t="s">
        <v>154</v>
      </c>
      <c r="G316" t="s">
        <v>111</v>
      </c>
      <c r="H316" t="s">
        <v>55</v>
      </c>
      <c r="I316" t="s">
        <v>120</v>
      </c>
      <c r="J316" t="s">
        <v>121</v>
      </c>
      <c r="K316" t="s">
        <v>122</v>
      </c>
      <c r="L316" t="s">
        <v>1023</v>
      </c>
      <c r="M316" t="s">
        <v>106</v>
      </c>
      <c r="N316" t="s">
        <v>60</v>
      </c>
      <c r="O316" t="s">
        <v>45</v>
      </c>
      <c r="P316">
        <v>3</v>
      </c>
      <c r="Q316">
        <v>27457.35</v>
      </c>
      <c r="R316" s="19">
        <v>0</v>
      </c>
      <c r="S316" s="21">
        <v>0</v>
      </c>
      <c r="T316">
        <v>82372.05</v>
      </c>
      <c r="U316" s="2">
        <v>82372.05</v>
      </c>
      <c r="V316">
        <v>36.979999999999997</v>
      </c>
      <c r="W316">
        <v>54679.35</v>
      </c>
      <c r="X316" s="2">
        <v>27655.72</v>
      </c>
      <c r="Y316">
        <v>0.3357</v>
      </c>
      <c r="Z316">
        <v>6</v>
      </c>
      <c r="AA316" t="s">
        <v>61</v>
      </c>
      <c r="AB316" t="s">
        <v>47</v>
      </c>
      <c r="AD316">
        <v>5</v>
      </c>
      <c r="AE316" s="2">
        <v>88149.56</v>
      </c>
      <c r="AF316">
        <v>0.9345</v>
      </c>
      <c r="AG316" t="s">
        <v>347</v>
      </c>
      <c r="AH316" s="23">
        <f>SUM(Amazon_Data_Set[[#This Row],[Gross Sales]]-Amazon_Data_Set[[#This Row],[Discount Amount]])</f>
        <v>82372.05</v>
      </c>
    </row>
    <row r="317" spans="1:34">
      <c r="A317" t="s">
        <v>1024</v>
      </c>
      <c r="B317" s="1">
        <v>46250</v>
      </c>
      <c r="C317" t="str">
        <f>TEXT(Amazon_Data_Set[[#This Row],[Order Date]],"mmm")</f>
        <v>Aug</v>
      </c>
      <c r="D317" t="s">
        <v>884</v>
      </c>
      <c r="E317" t="s">
        <v>174</v>
      </c>
      <c r="F317" t="s">
        <v>175</v>
      </c>
      <c r="G317" t="s">
        <v>82</v>
      </c>
      <c r="H317" t="s">
        <v>83</v>
      </c>
      <c r="I317" t="s">
        <v>188</v>
      </c>
      <c r="J317" t="s">
        <v>690</v>
      </c>
      <c r="K317" t="s">
        <v>691</v>
      </c>
      <c r="L317" t="s">
        <v>1025</v>
      </c>
      <c r="M317" t="s">
        <v>43</v>
      </c>
      <c r="N317" t="s">
        <v>77</v>
      </c>
      <c r="O317" t="s">
        <v>45</v>
      </c>
      <c r="P317">
        <v>3</v>
      </c>
      <c r="Q317">
        <v>1792.59</v>
      </c>
      <c r="R317" s="19">
        <v>0.1</v>
      </c>
      <c r="S317" s="21">
        <v>537.78</v>
      </c>
      <c r="T317">
        <v>5377.77</v>
      </c>
      <c r="U317" s="2">
        <v>4839.99</v>
      </c>
      <c r="V317">
        <v>233.11</v>
      </c>
      <c r="W317">
        <v>2402.44</v>
      </c>
      <c r="X317" s="2">
        <v>2204.44</v>
      </c>
      <c r="Y317">
        <v>0.45550000000000002</v>
      </c>
      <c r="Z317">
        <v>1</v>
      </c>
      <c r="AA317" t="s">
        <v>46</v>
      </c>
      <c r="AB317" t="s">
        <v>47</v>
      </c>
      <c r="AD317">
        <v>4</v>
      </c>
      <c r="AE317" s="2">
        <v>5139.33</v>
      </c>
      <c r="AF317">
        <v>0.94179999999999997</v>
      </c>
      <c r="AG317" t="s">
        <v>49</v>
      </c>
      <c r="AH317" s="23">
        <f>SUM(Amazon_Data_Set[[#This Row],[Gross Sales]]-Amazon_Data_Set[[#This Row],[Discount Amount]])</f>
        <v>4839.9900000000007</v>
      </c>
    </row>
    <row r="318" spans="1:34">
      <c r="A318" t="s">
        <v>1026</v>
      </c>
      <c r="B318" s="1">
        <v>46160</v>
      </c>
      <c r="C318" t="str">
        <f>TEXT(Amazon_Data_Set[[#This Row],[Order Date]],"mmm")</f>
        <v>May</v>
      </c>
      <c r="D318" t="s">
        <v>501</v>
      </c>
      <c r="E318" t="s">
        <v>149</v>
      </c>
      <c r="F318" t="s">
        <v>150</v>
      </c>
      <c r="G318" t="s">
        <v>37</v>
      </c>
      <c r="H318" t="s">
        <v>38</v>
      </c>
      <c r="I318" t="s">
        <v>161</v>
      </c>
      <c r="J318" t="s">
        <v>162</v>
      </c>
      <c r="K318" t="s">
        <v>163</v>
      </c>
      <c r="L318" t="s">
        <v>1027</v>
      </c>
      <c r="M318" t="s">
        <v>106</v>
      </c>
      <c r="N318" t="s">
        <v>60</v>
      </c>
      <c r="O318" t="s">
        <v>45</v>
      </c>
      <c r="P318">
        <v>3</v>
      </c>
      <c r="Q318">
        <v>799.63</v>
      </c>
      <c r="R318" s="19">
        <v>0.1</v>
      </c>
      <c r="S318" s="21">
        <v>239.89</v>
      </c>
      <c r="T318">
        <v>2398.89</v>
      </c>
      <c r="U318" s="2">
        <v>2159</v>
      </c>
      <c r="V318">
        <v>147.86000000000001</v>
      </c>
      <c r="W318">
        <v>1203.95</v>
      </c>
      <c r="X318" s="2">
        <v>807.19</v>
      </c>
      <c r="Y318">
        <v>0.37390000000000001</v>
      </c>
      <c r="Z318">
        <v>6</v>
      </c>
      <c r="AA318" t="s">
        <v>61</v>
      </c>
      <c r="AB318" t="s">
        <v>47</v>
      </c>
      <c r="AD318">
        <v>4</v>
      </c>
      <c r="AE318" s="2">
        <v>2422.29</v>
      </c>
      <c r="AF318">
        <v>0.89129999999999998</v>
      </c>
      <c r="AG318" t="s">
        <v>49</v>
      </c>
      <c r="AH318" s="23">
        <f>SUM(Amazon_Data_Set[[#This Row],[Gross Sales]]-Amazon_Data_Set[[#This Row],[Discount Amount]])</f>
        <v>2159</v>
      </c>
    </row>
    <row r="319" spans="1:34">
      <c r="A319" t="s">
        <v>1028</v>
      </c>
      <c r="B319" s="1">
        <v>46291</v>
      </c>
      <c r="C319" t="str">
        <f>TEXT(Amazon_Data_Set[[#This Row],[Order Date]],"mmm")</f>
        <v>Sep</v>
      </c>
      <c r="D319" t="s">
        <v>108</v>
      </c>
      <c r="E319" t="s">
        <v>275</v>
      </c>
      <c r="F319" t="s">
        <v>276</v>
      </c>
      <c r="G319" t="s">
        <v>37</v>
      </c>
      <c r="H319" t="s">
        <v>90</v>
      </c>
      <c r="I319" t="s">
        <v>91</v>
      </c>
      <c r="J319" t="s">
        <v>313</v>
      </c>
      <c r="K319" t="s">
        <v>314</v>
      </c>
      <c r="L319" t="s">
        <v>1029</v>
      </c>
      <c r="M319" t="s">
        <v>106</v>
      </c>
      <c r="N319" t="s">
        <v>60</v>
      </c>
      <c r="O319" t="s">
        <v>45</v>
      </c>
      <c r="P319">
        <v>1</v>
      </c>
      <c r="Q319">
        <v>1139.5</v>
      </c>
      <c r="R319" s="19">
        <v>0.15</v>
      </c>
      <c r="S319" s="21">
        <v>170.92</v>
      </c>
      <c r="T319">
        <v>1139.5</v>
      </c>
      <c r="U319" s="2">
        <v>968.58</v>
      </c>
      <c r="V319">
        <v>58.81</v>
      </c>
      <c r="W319">
        <v>527.72</v>
      </c>
      <c r="X319" s="2">
        <v>382.05</v>
      </c>
      <c r="Y319">
        <v>0.39439999999999997</v>
      </c>
      <c r="Z319">
        <v>5</v>
      </c>
      <c r="AA319" t="s">
        <v>61</v>
      </c>
      <c r="AB319" t="s">
        <v>47</v>
      </c>
      <c r="AD319">
        <v>5</v>
      </c>
      <c r="AE319" s="2">
        <v>954.99</v>
      </c>
      <c r="AF319">
        <v>1.0142</v>
      </c>
      <c r="AG319" t="s">
        <v>49</v>
      </c>
      <c r="AH319" s="23">
        <f>SUM(Amazon_Data_Set[[#This Row],[Gross Sales]]-Amazon_Data_Set[[#This Row],[Discount Amount]])</f>
        <v>968.58</v>
      </c>
    </row>
    <row r="320" spans="1:34">
      <c r="A320" t="s">
        <v>1030</v>
      </c>
      <c r="B320" s="1">
        <v>46319</v>
      </c>
      <c r="C320" t="str">
        <f>TEXT(Amazon_Data_Set[[#This Row],[Order Date]],"mmm")</f>
        <v>Oct</v>
      </c>
      <c r="D320" t="s">
        <v>336</v>
      </c>
      <c r="E320" t="s">
        <v>174</v>
      </c>
      <c r="F320" t="s">
        <v>175</v>
      </c>
      <c r="G320" t="s">
        <v>82</v>
      </c>
      <c r="H320" t="s">
        <v>142</v>
      </c>
      <c r="I320" t="s">
        <v>209</v>
      </c>
      <c r="J320" t="s">
        <v>243</v>
      </c>
      <c r="K320" t="s">
        <v>145</v>
      </c>
      <c r="L320" t="s">
        <v>1031</v>
      </c>
      <c r="M320" t="s">
        <v>43</v>
      </c>
      <c r="N320" t="s">
        <v>44</v>
      </c>
      <c r="O320" t="s">
        <v>45</v>
      </c>
      <c r="P320">
        <v>1</v>
      </c>
      <c r="Q320">
        <v>5063.79</v>
      </c>
      <c r="R320" s="19">
        <v>0</v>
      </c>
      <c r="S320" s="21">
        <v>0</v>
      </c>
      <c r="T320">
        <v>5063.79</v>
      </c>
      <c r="U320" s="2">
        <v>5063.79</v>
      </c>
      <c r="V320">
        <v>43.3</v>
      </c>
      <c r="W320">
        <v>3726.11</v>
      </c>
      <c r="X320" s="2">
        <v>1294.3800000000001</v>
      </c>
      <c r="Y320">
        <v>0.25559999999999999</v>
      </c>
      <c r="Z320">
        <v>5</v>
      </c>
      <c r="AA320" t="s">
        <v>61</v>
      </c>
      <c r="AB320" t="s">
        <v>47</v>
      </c>
      <c r="AD320">
        <v>4</v>
      </c>
      <c r="AE320" s="2">
        <v>5722.69</v>
      </c>
      <c r="AF320">
        <v>0.88490000000000002</v>
      </c>
      <c r="AG320" t="s">
        <v>49</v>
      </c>
      <c r="AH320" s="23">
        <f>SUM(Amazon_Data_Set[[#This Row],[Gross Sales]]-Amazon_Data_Set[[#This Row],[Discount Amount]])</f>
        <v>5063.79</v>
      </c>
    </row>
    <row r="321" spans="1:34">
      <c r="A321" t="s">
        <v>1032</v>
      </c>
      <c r="B321" s="1">
        <v>46249</v>
      </c>
      <c r="C321" t="str">
        <f>TEXT(Amazon_Data_Set[[#This Row],[Order Date]],"mmm")</f>
        <v>Aug</v>
      </c>
      <c r="D321" t="s">
        <v>79</v>
      </c>
      <c r="E321" t="s">
        <v>275</v>
      </c>
      <c r="F321" t="s">
        <v>276</v>
      </c>
      <c r="G321" t="s">
        <v>37</v>
      </c>
      <c r="H321" t="s">
        <v>142</v>
      </c>
      <c r="I321" t="s">
        <v>143</v>
      </c>
      <c r="J321" t="s">
        <v>183</v>
      </c>
      <c r="K321" t="s">
        <v>184</v>
      </c>
      <c r="L321" t="s">
        <v>1033</v>
      </c>
      <c r="M321" t="s">
        <v>106</v>
      </c>
      <c r="N321" t="s">
        <v>77</v>
      </c>
      <c r="O321" t="s">
        <v>45</v>
      </c>
      <c r="P321">
        <v>4</v>
      </c>
      <c r="Q321">
        <v>7257.54</v>
      </c>
      <c r="R321" s="19">
        <v>0.2</v>
      </c>
      <c r="S321" s="21">
        <v>5806.03</v>
      </c>
      <c r="T321">
        <v>29030.16</v>
      </c>
      <c r="U321" s="2">
        <v>23224.13</v>
      </c>
      <c r="V321">
        <v>55.27</v>
      </c>
      <c r="W321">
        <v>11857.11</v>
      </c>
      <c r="X321" s="2">
        <v>11311.75</v>
      </c>
      <c r="Y321">
        <v>0.48709999999999998</v>
      </c>
      <c r="Z321">
        <v>5</v>
      </c>
      <c r="AA321" t="s">
        <v>61</v>
      </c>
      <c r="AB321" t="s">
        <v>48</v>
      </c>
      <c r="AC321" t="s">
        <v>158</v>
      </c>
      <c r="AD321">
        <v>4</v>
      </c>
      <c r="AE321" s="2">
        <v>25742.11</v>
      </c>
      <c r="AF321">
        <v>0.9022</v>
      </c>
      <c r="AG321" t="s">
        <v>347</v>
      </c>
      <c r="AH321" s="23">
        <f>SUM(Amazon_Data_Set[[#This Row],[Gross Sales]]-Amazon_Data_Set[[#This Row],[Discount Amount]])</f>
        <v>23224.13</v>
      </c>
    </row>
    <row r="322" spans="1:34">
      <c r="A322" t="s">
        <v>1034</v>
      </c>
      <c r="B322" s="1">
        <v>46367</v>
      </c>
      <c r="C322" t="str">
        <f>TEXT(Amazon_Data_Set[[#This Row],[Order Date]],"mmm")</f>
        <v>Dec</v>
      </c>
      <c r="D322" t="s">
        <v>534</v>
      </c>
      <c r="E322" t="s">
        <v>149</v>
      </c>
      <c r="F322" t="s">
        <v>150</v>
      </c>
      <c r="G322" t="s">
        <v>37</v>
      </c>
      <c r="H322" t="s">
        <v>83</v>
      </c>
      <c r="I322" t="s">
        <v>102</v>
      </c>
      <c r="J322" t="s">
        <v>373</v>
      </c>
      <c r="K322" t="s">
        <v>374</v>
      </c>
      <c r="L322" t="s">
        <v>1035</v>
      </c>
      <c r="M322" t="s">
        <v>43</v>
      </c>
      <c r="N322" t="s">
        <v>124</v>
      </c>
      <c r="O322" t="s">
        <v>45</v>
      </c>
      <c r="P322">
        <v>4</v>
      </c>
      <c r="Q322">
        <v>677.22</v>
      </c>
      <c r="R322" s="19">
        <v>0.05</v>
      </c>
      <c r="S322" s="21">
        <v>135.44</v>
      </c>
      <c r="T322">
        <v>2708.88</v>
      </c>
      <c r="U322" s="2">
        <v>2573.44</v>
      </c>
      <c r="V322">
        <v>211.69</v>
      </c>
      <c r="W322">
        <v>1559.81</v>
      </c>
      <c r="X322" s="2">
        <v>801.94</v>
      </c>
      <c r="Y322">
        <v>0.31159999999999999</v>
      </c>
      <c r="Z322">
        <v>2</v>
      </c>
      <c r="AA322" t="s">
        <v>46</v>
      </c>
      <c r="AB322" t="s">
        <v>47</v>
      </c>
      <c r="AD322">
        <v>5</v>
      </c>
      <c r="AE322" s="2">
        <v>2818.25</v>
      </c>
      <c r="AF322">
        <v>0.91310000000000002</v>
      </c>
      <c r="AG322" t="s">
        <v>49</v>
      </c>
      <c r="AH322" s="23">
        <f>SUM(Amazon_Data_Set[[#This Row],[Gross Sales]]-Amazon_Data_Set[[#This Row],[Discount Amount]])</f>
        <v>2573.44</v>
      </c>
    </row>
    <row r="323" spans="1:34">
      <c r="A323" t="s">
        <v>1036</v>
      </c>
      <c r="B323" s="1">
        <v>46367</v>
      </c>
      <c r="C323" t="str">
        <f>TEXT(Amazon_Data_Set[[#This Row],[Order Date]],"mmm")</f>
        <v>Dec</v>
      </c>
      <c r="D323" t="s">
        <v>1037</v>
      </c>
      <c r="E323" t="s">
        <v>275</v>
      </c>
      <c r="F323" t="s">
        <v>276</v>
      </c>
      <c r="G323" t="s">
        <v>37</v>
      </c>
      <c r="H323" t="s">
        <v>83</v>
      </c>
      <c r="I323" t="s">
        <v>188</v>
      </c>
      <c r="J323" t="s">
        <v>475</v>
      </c>
      <c r="K323" t="s">
        <v>476</v>
      </c>
      <c r="L323" t="s">
        <v>1038</v>
      </c>
      <c r="M323" t="s">
        <v>43</v>
      </c>
      <c r="N323" t="s">
        <v>77</v>
      </c>
      <c r="O323" t="s">
        <v>45</v>
      </c>
      <c r="P323">
        <v>1</v>
      </c>
      <c r="Q323">
        <v>353.05</v>
      </c>
      <c r="R323" s="19">
        <v>0.3</v>
      </c>
      <c r="S323" s="21">
        <v>105.92</v>
      </c>
      <c r="T323">
        <v>353.05</v>
      </c>
      <c r="U323" s="2">
        <v>247.13</v>
      </c>
      <c r="V323">
        <v>115.52</v>
      </c>
      <c r="W323">
        <v>169.74</v>
      </c>
      <c r="X323" s="2">
        <v>-38.130000000000003</v>
      </c>
      <c r="Y323">
        <v>-0.15429999999999999</v>
      </c>
      <c r="Z323">
        <v>2</v>
      </c>
      <c r="AA323" t="s">
        <v>46</v>
      </c>
      <c r="AB323" t="s">
        <v>47</v>
      </c>
      <c r="AD323">
        <v>5</v>
      </c>
      <c r="AE323" s="2">
        <v>223.24</v>
      </c>
      <c r="AF323">
        <v>1.107</v>
      </c>
      <c r="AG323" t="s">
        <v>49</v>
      </c>
      <c r="AH323" s="23">
        <f>SUM(Amazon_Data_Set[[#This Row],[Gross Sales]]-Amazon_Data_Set[[#This Row],[Discount Amount]])</f>
        <v>247.13</v>
      </c>
    </row>
    <row r="324" spans="1:34">
      <c r="A324" t="s">
        <v>1039</v>
      </c>
      <c r="B324" s="1">
        <v>46308</v>
      </c>
      <c r="C324" t="str">
        <f>TEXT(Amazon_Data_Set[[#This Row],[Order Date]],"mmm")</f>
        <v>Oct</v>
      </c>
      <c r="D324" t="s">
        <v>1040</v>
      </c>
      <c r="E324" t="s">
        <v>118</v>
      </c>
      <c r="F324" t="s">
        <v>119</v>
      </c>
      <c r="G324" t="s">
        <v>82</v>
      </c>
      <c r="H324" t="s">
        <v>142</v>
      </c>
      <c r="I324" t="s">
        <v>209</v>
      </c>
      <c r="J324" t="s">
        <v>511</v>
      </c>
      <c r="K324" t="s">
        <v>512</v>
      </c>
      <c r="L324" t="s">
        <v>1041</v>
      </c>
      <c r="M324" t="s">
        <v>106</v>
      </c>
      <c r="N324" t="s">
        <v>77</v>
      </c>
      <c r="O324" t="s">
        <v>45</v>
      </c>
      <c r="P324">
        <v>1</v>
      </c>
      <c r="Q324">
        <v>1980.41</v>
      </c>
      <c r="R324" s="19">
        <v>0.2</v>
      </c>
      <c r="S324" s="21">
        <v>396.08</v>
      </c>
      <c r="T324">
        <v>1980.41</v>
      </c>
      <c r="U324" s="2">
        <v>1584.33</v>
      </c>
      <c r="V324">
        <v>76.89</v>
      </c>
      <c r="W324">
        <v>977.55</v>
      </c>
      <c r="X324" s="2">
        <v>529.89</v>
      </c>
      <c r="Y324">
        <v>0.33450000000000002</v>
      </c>
      <c r="Z324">
        <v>3</v>
      </c>
      <c r="AA324" t="s">
        <v>46</v>
      </c>
      <c r="AB324" t="s">
        <v>47</v>
      </c>
      <c r="AD324">
        <v>5</v>
      </c>
      <c r="AE324" s="2">
        <v>1897.12</v>
      </c>
      <c r="AF324">
        <v>0.83509999999999995</v>
      </c>
      <c r="AG324" t="s">
        <v>49</v>
      </c>
      <c r="AH324" s="23">
        <f>SUM(Amazon_Data_Set[[#This Row],[Gross Sales]]-Amazon_Data_Set[[#This Row],[Discount Amount]])</f>
        <v>1584.3300000000002</v>
      </c>
    </row>
    <row r="325" spans="1:34">
      <c r="A325" t="s">
        <v>1042</v>
      </c>
      <c r="B325" s="1">
        <v>46118</v>
      </c>
      <c r="C325" t="str">
        <f>TEXT(Amazon_Data_Set[[#This Row],[Order Date]],"mmm")</f>
        <v>Apr</v>
      </c>
      <c r="D325" t="s">
        <v>251</v>
      </c>
      <c r="E325" t="s">
        <v>149</v>
      </c>
      <c r="F325" t="s">
        <v>150</v>
      </c>
      <c r="G325" t="s">
        <v>37</v>
      </c>
      <c r="H325" t="s">
        <v>38</v>
      </c>
      <c r="I325" t="s">
        <v>161</v>
      </c>
      <c r="J325" t="s">
        <v>223</v>
      </c>
      <c r="K325" t="s">
        <v>224</v>
      </c>
      <c r="L325" t="s">
        <v>1043</v>
      </c>
      <c r="M325" t="s">
        <v>43</v>
      </c>
      <c r="N325" t="s">
        <v>77</v>
      </c>
      <c r="O325" t="s">
        <v>130</v>
      </c>
      <c r="P325">
        <v>5</v>
      </c>
      <c r="Q325">
        <v>2423.0700000000002</v>
      </c>
      <c r="R325" s="19">
        <v>0</v>
      </c>
      <c r="S325" s="21">
        <v>0</v>
      </c>
      <c r="T325">
        <v>12115.35</v>
      </c>
      <c r="U325" s="2">
        <v>12115.35</v>
      </c>
      <c r="V325">
        <v>25.42</v>
      </c>
      <c r="W325">
        <v>6842.95</v>
      </c>
      <c r="X325" s="2">
        <v>5246.98</v>
      </c>
      <c r="Y325">
        <v>0.43309999999999998</v>
      </c>
      <c r="Z325">
        <v>3</v>
      </c>
      <c r="AA325" t="s">
        <v>131</v>
      </c>
      <c r="AB325" t="s">
        <v>47</v>
      </c>
      <c r="AE325" s="2">
        <v>12539.78</v>
      </c>
      <c r="AF325">
        <v>0.96619999999999995</v>
      </c>
      <c r="AG325" t="s">
        <v>347</v>
      </c>
      <c r="AH325" s="23">
        <f>SUM(Amazon_Data_Set[[#This Row],[Gross Sales]]-Amazon_Data_Set[[#This Row],[Discount Amount]])</f>
        <v>12115.35</v>
      </c>
    </row>
    <row r="326" spans="1:34">
      <c r="A326" t="s">
        <v>1044</v>
      </c>
      <c r="B326" s="1">
        <v>46085</v>
      </c>
      <c r="C326" t="str">
        <f>TEXT(Amazon_Data_Set[[#This Row],[Order Date]],"mmm")</f>
        <v>Mar</v>
      </c>
      <c r="D326" t="s">
        <v>1045</v>
      </c>
      <c r="E326" t="s">
        <v>275</v>
      </c>
      <c r="F326" t="s">
        <v>276</v>
      </c>
      <c r="G326" t="s">
        <v>37</v>
      </c>
      <c r="H326" t="s">
        <v>142</v>
      </c>
      <c r="I326" t="s">
        <v>214</v>
      </c>
      <c r="J326" t="s">
        <v>350</v>
      </c>
      <c r="K326" t="s">
        <v>351</v>
      </c>
      <c r="L326" t="s">
        <v>1046</v>
      </c>
      <c r="M326" t="s">
        <v>43</v>
      </c>
      <c r="N326" t="s">
        <v>95</v>
      </c>
      <c r="O326" t="s">
        <v>45</v>
      </c>
      <c r="P326">
        <v>4</v>
      </c>
      <c r="Q326">
        <v>8017.01</v>
      </c>
      <c r="R326" s="19">
        <v>0.15</v>
      </c>
      <c r="S326" s="21">
        <v>4810.21</v>
      </c>
      <c r="T326">
        <v>32068.04</v>
      </c>
      <c r="U326" s="2">
        <v>27257.83</v>
      </c>
      <c r="V326">
        <v>46.41</v>
      </c>
      <c r="W326">
        <v>14412.83</v>
      </c>
      <c r="X326" s="2">
        <v>12798.59</v>
      </c>
      <c r="Y326">
        <v>0.46949999999999997</v>
      </c>
      <c r="Z326">
        <v>4</v>
      </c>
      <c r="AA326" t="s">
        <v>46</v>
      </c>
      <c r="AB326" t="s">
        <v>47</v>
      </c>
      <c r="AD326">
        <v>3</v>
      </c>
      <c r="AE326" s="2">
        <v>29776.400000000001</v>
      </c>
      <c r="AF326">
        <v>0.91539999999999999</v>
      </c>
      <c r="AG326" t="s">
        <v>49</v>
      </c>
      <c r="AH326" s="23">
        <f>SUM(Amazon_Data_Set[[#This Row],[Gross Sales]]-Amazon_Data_Set[[#This Row],[Discount Amount]])</f>
        <v>27257.83</v>
      </c>
    </row>
    <row r="327" spans="1:34">
      <c r="A327" t="s">
        <v>1047</v>
      </c>
      <c r="B327" s="1">
        <v>46254</v>
      </c>
      <c r="C327" t="str">
        <f>TEXT(Amazon_Data_Set[[#This Row],[Order Date]],"mmm")</f>
        <v>Aug</v>
      </c>
      <c r="D327" t="s">
        <v>1048</v>
      </c>
      <c r="E327" t="s">
        <v>109</v>
      </c>
      <c r="F327" t="s">
        <v>110</v>
      </c>
      <c r="G327" t="s">
        <v>111</v>
      </c>
      <c r="H327" t="s">
        <v>55</v>
      </c>
      <c r="I327" t="s">
        <v>120</v>
      </c>
      <c r="J327" t="s">
        <v>169</v>
      </c>
      <c r="K327" t="s">
        <v>170</v>
      </c>
      <c r="L327" t="s">
        <v>1049</v>
      </c>
      <c r="M327" t="s">
        <v>106</v>
      </c>
      <c r="N327" t="s">
        <v>95</v>
      </c>
      <c r="O327" t="s">
        <v>96</v>
      </c>
      <c r="P327">
        <v>2</v>
      </c>
      <c r="Q327">
        <v>28906.639999999999</v>
      </c>
      <c r="R327" s="19">
        <v>0.15</v>
      </c>
      <c r="S327" s="21">
        <v>8671.99</v>
      </c>
      <c r="T327">
        <v>57813.279999999999</v>
      </c>
      <c r="U327" s="2">
        <v>49141.29</v>
      </c>
      <c r="V327">
        <v>235.99</v>
      </c>
      <c r="W327">
        <v>24893.18</v>
      </c>
      <c r="X327" s="2">
        <v>24012.12</v>
      </c>
      <c r="Y327">
        <v>0.48859999999999998</v>
      </c>
      <c r="Z327">
        <v>0</v>
      </c>
      <c r="AA327" t="s">
        <v>97</v>
      </c>
      <c r="AB327" t="s">
        <v>47</v>
      </c>
      <c r="AE327" s="2">
        <v>58302.73</v>
      </c>
      <c r="AF327">
        <v>0.84289999999999998</v>
      </c>
      <c r="AG327" t="s">
        <v>49</v>
      </c>
      <c r="AH327" s="23">
        <f>SUM(Amazon_Data_Set[[#This Row],[Gross Sales]]-Amazon_Data_Set[[#This Row],[Discount Amount]])</f>
        <v>49141.29</v>
      </c>
    </row>
    <row r="328" spans="1:34">
      <c r="A328" t="s">
        <v>1050</v>
      </c>
      <c r="B328" s="1">
        <v>46365</v>
      </c>
      <c r="C328" t="str">
        <f>TEXT(Amazon_Data_Set[[#This Row],[Order Date]],"mmm")</f>
        <v>Dec</v>
      </c>
      <c r="D328" t="s">
        <v>133</v>
      </c>
      <c r="E328" t="s">
        <v>275</v>
      </c>
      <c r="F328" t="s">
        <v>276</v>
      </c>
      <c r="G328" t="s">
        <v>37</v>
      </c>
      <c r="H328" t="s">
        <v>55</v>
      </c>
      <c r="I328" t="s">
        <v>120</v>
      </c>
      <c r="J328" t="s">
        <v>169</v>
      </c>
      <c r="K328" t="s">
        <v>170</v>
      </c>
      <c r="L328" t="s">
        <v>1051</v>
      </c>
      <c r="M328" t="s">
        <v>106</v>
      </c>
      <c r="N328" t="s">
        <v>70</v>
      </c>
      <c r="O328" t="s">
        <v>130</v>
      </c>
      <c r="P328">
        <v>5</v>
      </c>
      <c r="Q328">
        <v>671.12</v>
      </c>
      <c r="R328" s="19">
        <v>0.2</v>
      </c>
      <c r="S328" s="21">
        <v>671.12</v>
      </c>
      <c r="T328">
        <v>3355.6</v>
      </c>
      <c r="U328" s="2">
        <v>2684.48</v>
      </c>
      <c r="V328">
        <v>158.15</v>
      </c>
      <c r="W328">
        <v>2062.5300000000002</v>
      </c>
      <c r="X328" s="2">
        <v>463.8</v>
      </c>
      <c r="Y328">
        <v>0.17280000000000001</v>
      </c>
      <c r="Z328">
        <v>6</v>
      </c>
      <c r="AA328" t="s">
        <v>131</v>
      </c>
      <c r="AB328" t="s">
        <v>47</v>
      </c>
      <c r="AE328" s="2">
        <v>3154.75</v>
      </c>
      <c r="AF328">
        <v>0.85089999999999999</v>
      </c>
      <c r="AG328" t="s">
        <v>49</v>
      </c>
      <c r="AH328" s="23">
        <f>SUM(Amazon_Data_Set[[#This Row],[Gross Sales]]-Amazon_Data_Set[[#This Row],[Discount Amount]])</f>
        <v>2684.48</v>
      </c>
    </row>
    <row r="329" spans="1:34">
      <c r="A329" t="s">
        <v>1052</v>
      </c>
      <c r="B329" s="1">
        <v>46053</v>
      </c>
      <c r="C329" t="str">
        <f>TEXT(Amazon_Data_Set[[#This Row],[Order Date]],"mmm")</f>
        <v>Jan</v>
      </c>
      <c r="D329" t="s">
        <v>1010</v>
      </c>
      <c r="E329" t="s">
        <v>149</v>
      </c>
      <c r="F329" t="s">
        <v>150</v>
      </c>
      <c r="G329" t="s">
        <v>37</v>
      </c>
      <c r="H329" t="s">
        <v>90</v>
      </c>
      <c r="I329" t="s">
        <v>91</v>
      </c>
      <c r="J329" t="s">
        <v>443</v>
      </c>
      <c r="K329" t="s">
        <v>444</v>
      </c>
      <c r="L329" t="s">
        <v>1053</v>
      </c>
      <c r="M329" t="s">
        <v>43</v>
      </c>
      <c r="N329" t="s">
        <v>77</v>
      </c>
      <c r="O329" t="s">
        <v>130</v>
      </c>
      <c r="P329">
        <v>5</v>
      </c>
      <c r="Q329">
        <v>1589.77</v>
      </c>
      <c r="R329" s="19">
        <v>0.25</v>
      </c>
      <c r="S329" s="21">
        <v>1987.21</v>
      </c>
      <c r="T329">
        <v>7948.85</v>
      </c>
      <c r="U329" s="2">
        <v>5961.64</v>
      </c>
      <c r="V329">
        <v>59.61</v>
      </c>
      <c r="W329">
        <v>3590.09</v>
      </c>
      <c r="X329" s="2">
        <v>2311.94</v>
      </c>
      <c r="Y329">
        <v>0.38779999999999998</v>
      </c>
      <c r="Z329">
        <v>1</v>
      </c>
      <c r="AA329" t="s">
        <v>131</v>
      </c>
      <c r="AB329" t="s">
        <v>47</v>
      </c>
      <c r="AE329" s="2">
        <v>5491.08</v>
      </c>
      <c r="AF329">
        <v>1.0857000000000001</v>
      </c>
      <c r="AG329" t="s">
        <v>49</v>
      </c>
      <c r="AH329" s="23">
        <f>SUM(Amazon_Data_Set[[#This Row],[Gross Sales]]-Amazon_Data_Set[[#This Row],[Discount Amount]])</f>
        <v>5961.64</v>
      </c>
    </row>
    <row r="330" spans="1:34">
      <c r="A330" t="s">
        <v>1054</v>
      </c>
      <c r="B330" s="1">
        <v>46169</v>
      </c>
      <c r="C330" t="str">
        <f>TEXT(Amazon_Data_Set[[#This Row],[Order Date]],"mmm")</f>
        <v>May</v>
      </c>
      <c r="D330" t="s">
        <v>266</v>
      </c>
      <c r="E330" t="s">
        <v>109</v>
      </c>
      <c r="F330" t="s">
        <v>110</v>
      </c>
      <c r="G330" t="s">
        <v>111</v>
      </c>
      <c r="H330" t="s">
        <v>38</v>
      </c>
      <c r="I330" t="s">
        <v>161</v>
      </c>
      <c r="J330" t="s">
        <v>162</v>
      </c>
      <c r="K330" t="s">
        <v>163</v>
      </c>
      <c r="L330" t="s">
        <v>1055</v>
      </c>
      <c r="M330" t="s">
        <v>106</v>
      </c>
      <c r="N330" t="s">
        <v>60</v>
      </c>
      <c r="O330" t="s">
        <v>45</v>
      </c>
      <c r="P330">
        <v>4</v>
      </c>
      <c r="Q330">
        <v>1225.54</v>
      </c>
      <c r="R330" s="19">
        <v>0.2</v>
      </c>
      <c r="S330" s="21">
        <v>980.43</v>
      </c>
      <c r="T330">
        <v>4902.16</v>
      </c>
      <c r="U330" s="2">
        <v>3921.73</v>
      </c>
      <c r="V330">
        <v>1.62</v>
      </c>
      <c r="W330">
        <v>2215.44</v>
      </c>
      <c r="X330" s="2">
        <v>1704.67</v>
      </c>
      <c r="Y330">
        <v>0.43469999999999998</v>
      </c>
      <c r="Z330">
        <v>7</v>
      </c>
      <c r="AA330" t="s">
        <v>61</v>
      </c>
      <c r="AB330" t="s">
        <v>47</v>
      </c>
      <c r="AD330">
        <v>5</v>
      </c>
      <c r="AE330" s="2">
        <v>4187.3100000000004</v>
      </c>
      <c r="AF330">
        <v>0.93659999999999999</v>
      </c>
      <c r="AG330" t="s">
        <v>49</v>
      </c>
      <c r="AH330" s="23">
        <f>SUM(Amazon_Data_Set[[#This Row],[Gross Sales]]-Amazon_Data_Set[[#This Row],[Discount Amount]])</f>
        <v>3921.73</v>
      </c>
    </row>
    <row r="331" spans="1:34">
      <c r="A331" t="s">
        <v>1056</v>
      </c>
      <c r="B331" s="1">
        <v>46379</v>
      </c>
      <c r="C331" t="str">
        <f>TEXT(Amazon_Data_Set[[#This Row],[Order Date]],"mmm")</f>
        <v>Dec</v>
      </c>
      <c r="D331" t="s">
        <v>1057</v>
      </c>
      <c r="E331" t="s">
        <v>109</v>
      </c>
      <c r="F331" t="s">
        <v>154</v>
      </c>
      <c r="G331" t="s">
        <v>111</v>
      </c>
      <c r="H331" t="s">
        <v>142</v>
      </c>
      <c r="I331" t="s">
        <v>143</v>
      </c>
      <c r="J331" t="s">
        <v>200</v>
      </c>
      <c r="K331" t="s">
        <v>201</v>
      </c>
      <c r="L331" t="s">
        <v>1058</v>
      </c>
      <c r="M331" t="s">
        <v>106</v>
      </c>
      <c r="N331" t="s">
        <v>77</v>
      </c>
      <c r="O331" t="s">
        <v>45</v>
      </c>
      <c r="P331">
        <v>2</v>
      </c>
      <c r="Q331">
        <v>8364.43</v>
      </c>
      <c r="R331" s="19">
        <v>0.05</v>
      </c>
      <c r="S331" s="21">
        <v>836.44</v>
      </c>
      <c r="T331">
        <v>16728.86</v>
      </c>
      <c r="U331" s="2">
        <v>15892.42</v>
      </c>
      <c r="V331">
        <v>31.23</v>
      </c>
      <c r="W331">
        <v>10205.41</v>
      </c>
      <c r="X331" s="2">
        <v>5655.78</v>
      </c>
      <c r="Y331">
        <v>0.35589999999999999</v>
      </c>
      <c r="Z331">
        <v>8</v>
      </c>
      <c r="AA331" t="s">
        <v>61</v>
      </c>
      <c r="AB331" t="s">
        <v>47</v>
      </c>
      <c r="AD331">
        <v>4</v>
      </c>
      <c r="AE331" s="2">
        <v>17338.79</v>
      </c>
      <c r="AF331">
        <v>0.91659999999999997</v>
      </c>
      <c r="AG331" t="s">
        <v>49</v>
      </c>
      <c r="AH331" s="23">
        <f>SUM(Amazon_Data_Set[[#This Row],[Gross Sales]]-Amazon_Data_Set[[#This Row],[Discount Amount]])</f>
        <v>15892.42</v>
      </c>
    </row>
    <row r="332" spans="1:34">
      <c r="A332" t="s">
        <v>1059</v>
      </c>
      <c r="B332" s="1">
        <v>46102</v>
      </c>
      <c r="C332" t="str">
        <f>TEXT(Amazon_Data_Set[[#This Row],[Order Date]],"mmm")</f>
        <v>Mar</v>
      </c>
      <c r="D332" t="s">
        <v>1060</v>
      </c>
      <c r="E332" t="s">
        <v>64</v>
      </c>
      <c r="F332" t="s">
        <v>65</v>
      </c>
      <c r="G332" t="s">
        <v>54</v>
      </c>
      <c r="H332" t="s">
        <v>83</v>
      </c>
      <c r="I332" t="s">
        <v>188</v>
      </c>
      <c r="J332" t="s">
        <v>690</v>
      </c>
      <c r="K332" t="s">
        <v>691</v>
      </c>
      <c r="L332" t="s">
        <v>1061</v>
      </c>
      <c r="M332" t="s">
        <v>43</v>
      </c>
      <c r="N332" t="s">
        <v>95</v>
      </c>
      <c r="O332" t="s">
        <v>45</v>
      </c>
      <c r="P332">
        <v>1</v>
      </c>
      <c r="Q332">
        <v>1620.35</v>
      </c>
      <c r="R332" s="19">
        <v>0.1</v>
      </c>
      <c r="S332" s="21">
        <v>162.03</v>
      </c>
      <c r="T332">
        <v>1620.35</v>
      </c>
      <c r="U332" s="2">
        <v>1458.32</v>
      </c>
      <c r="V332">
        <v>118.24</v>
      </c>
      <c r="W332">
        <v>749.71</v>
      </c>
      <c r="X332" s="2">
        <v>590.37</v>
      </c>
      <c r="Y332">
        <v>0.40479999999999999</v>
      </c>
      <c r="Z332">
        <v>3</v>
      </c>
      <c r="AA332" t="s">
        <v>46</v>
      </c>
      <c r="AB332" t="s">
        <v>47</v>
      </c>
      <c r="AD332">
        <v>5</v>
      </c>
      <c r="AE332" s="2">
        <v>1690.83</v>
      </c>
      <c r="AF332">
        <v>0.86250000000000004</v>
      </c>
      <c r="AG332" t="s">
        <v>49</v>
      </c>
      <c r="AH332" s="23">
        <f>SUM(Amazon_Data_Set[[#This Row],[Gross Sales]]-Amazon_Data_Set[[#This Row],[Discount Amount]])</f>
        <v>1458.32</v>
      </c>
    </row>
    <row r="333" spans="1:34">
      <c r="A333" t="s">
        <v>1062</v>
      </c>
      <c r="B333" s="1">
        <v>46268</v>
      </c>
      <c r="C333" t="str">
        <f>TEXT(Amazon_Data_Set[[#This Row],[Order Date]],"mmm")</f>
        <v>Sep</v>
      </c>
      <c r="D333" t="s">
        <v>908</v>
      </c>
      <c r="E333" t="s">
        <v>235</v>
      </c>
      <c r="F333" t="s">
        <v>236</v>
      </c>
      <c r="G333" t="s">
        <v>82</v>
      </c>
      <c r="H333" t="s">
        <v>90</v>
      </c>
      <c r="I333" t="s">
        <v>91</v>
      </c>
      <c r="J333" t="s">
        <v>92</v>
      </c>
      <c r="K333" t="s">
        <v>93</v>
      </c>
      <c r="L333" t="s">
        <v>1063</v>
      </c>
      <c r="M333" t="s">
        <v>106</v>
      </c>
      <c r="N333" t="s">
        <v>70</v>
      </c>
      <c r="O333" t="s">
        <v>45</v>
      </c>
      <c r="P333">
        <v>4</v>
      </c>
      <c r="Q333">
        <v>482.7</v>
      </c>
      <c r="R333" s="19">
        <v>0.1</v>
      </c>
      <c r="S333" s="21">
        <v>193.08</v>
      </c>
      <c r="T333">
        <v>1930.8</v>
      </c>
      <c r="U333" s="2">
        <v>1737.72</v>
      </c>
      <c r="V333">
        <v>101.96</v>
      </c>
      <c r="W333">
        <v>1349.77</v>
      </c>
      <c r="X333" s="2">
        <v>285.99</v>
      </c>
      <c r="Y333">
        <v>0.1646</v>
      </c>
      <c r="Z333">
        <v>1</v>
      </c>
      <c r="AA333" t="s">
        <v>46</v>
      </c>
      <c r="AB333" t="s">
        <v>47</v>
      </c>
      <c r="AD333">
        <v>5</v>
      </c>
      <c r="AE333" s="2">
        <v>2035.37</v>
      </c>
      <c r="AF333">
        <v>0.8538</v>
      </c>
      <c r="AG333" t="s">
        <v>49</v>
      </c>
      <c r="AH333" s="23">
        <f>SUM(Amazon_Data_Set[[#This Row],[Gross Sales]]-Amazon_Data_Set[[#This Row],[Discount Amount]])</f>
        <v>1737.72</v>
      </c>
    </row>
    <row r="334" spans="1:34">
      <c r="A334" t="s">
        <v>1064</v>
      </c>
      <c r="B334" s="1">
        <v>46128</v>
      </c>
      <c r="C334" t="str">
        <f>TEXT(Amazon_Data_Set[[#This Row],[Order Date]],"mmm")</f>
        <v>Apr</v>
      </c>
      <c r="D334" t="s">
        <v>354</v>
      </c>
      <c r="E334" t="s">
        <v>275</v>
      </c>
      <c r="F334" t="s">
        <v>276</v>
      </c>
      <c r="G334" t="s">
        <v>37</v>
      </c>
      <c r="H334" t="s">
        <v>55</v>
      </c>
      <c r="I334" t="s">
        <v>73</v>
      </c>
      <c r="J334" t="s">
        <v>230</v>
      </c>
      <c r="K334" t="s">
        <v>231</v>
      </c>
      <c r="L334" t="s">
        <v>1065</v>
      </c>
      <c r="M334" t="s">
        <v>43</v>
      </c>
      <c r="N334" t="s">
        <v>77</v>
      </c>
      <c r="O334" t="s">
        <v>96</v>
      </c>
      <c r="P334">
        <v>3</v>
      </c>
      <c r="Q334">
        <v>55377.82</v>
      </c>
      <c r="R334" s="19">
        <v>0.3</v>
      </c>
      <c r="S334" s="21">
        <v>49840.04</v>
      </c>
      <c r="T334">
        <v>166133.46</v>
      </c>
      <c r="U334" s="2">
        <v>116293.42</v>
      </c>
      <c r="V334">
        <v>86.54</v>
      </c>
      <c r="W334">
        <v>57917.43</v>
      </c>
      <c r="X334" s="2">
        <v>58289.45</v>
      </c>
      <c r="Y334">
        <v>0.50119999999999998</v>
      </c>
      <c r="Z334">
        <v>0</v>
      </c>
      <c r="AA334" t="s">
        <v>97</v>
      </c>
      <c r="AB334" t="s">
        <v>47</v>
      </c>
      <c r="AE334" s="2">
        <v>105260.96</v>
      </c>
      <c r="AF334">
        <v>1.1048</v>
      </c>
      <c r="AG334" t="s">
        <v>49</v>
      </c>
      <c r="AH334" s="23">
        <f>SUM(Amazon_Data_Set[[#This Row],[Gross Sales]]-Amazon_Data_Set[[#This Row],[Discount Amount]])</f>
        <v>116293.41999999998</v>
      </c>
    </row>
    <row r="335" spans="1:34">
      <c r="A335" t="s">
        <v>1066</v>
      </c>
      <c r="B335" s="1">
        <v>46114</v>
      </c>
      <c r="C335" t="str">
        <f>TEXT(Amazon_Data_Set[[#This Row],[Order Date]],"mmm")</f>
        <v>Apr</v>
      </c>
      <c r="D335" t="s">
        <v>537</v>
      </c>
      <c r="E335" t="s">
        <v>235</v>
      </c>
      <c r="F335" t="s">
        <v>236</v>
      </c>
      <c r="G335" t="s">
        <v>82</v>
      </c>
      <c r="H335" t="s">
        <v>55</v>
      </c>
      <c r="I335" t="s">
        <v>56</v>
      </c>
      <c r="J335" t="s">
        <v>448</v>
      </c>
      <c r="K335" t="s">
        <v>170</v>
      </c>
      <c r="L335" t="s">
        <v>1067</v>
      </c>
      <c r="M335" t="s">
        <v>106</v>
      </c>
      <c r="N335" t="s">
        <v>60</v>
      </c>
      <c r="O335" t="s">
        <v>96</v>
      </c>
      <c r="P335">
        <v>2</v>
      </c>
      <c r="Q335">
        <v>3902.03</v>
      </c>
      <c r="R335" s="19">
        <v>0.25</v>
      </c>
      <c r="S335" s="21">
        <v>1951.02</v>
      </c>
      <c r="T335">
        <v>7804.06</v>
      </c>
      <c r="U335" s="2">
        <v>5853.04</v>
      </c>
      <c r="V335">
        <v>233.66</v>
      </c>
      <c r="W335">
        <v>3074.93</v>
      </c>
      <c r="X335" s="2">
        <v>2544.4499999999998</v>
      </c>
      <c r="Y335">
        <v>0.43469999999999998</v>
      </c>
      <c r="Z335">
        <v>0</v>
      </c>
      <c r="AA335" t="s">
        <v>97</v>
      </c>
      <c r="AB335" t="s">
        <v>47</v>
      </c>
      <c r="AE335" s="2">
        <v>6386.08</v>
      </c>
      <c r="AF335">
        <v>0.91649999999999998</v>
      </c>
      <c r="AG335" t="s">
        <v>49</v>
      </c>
      <c r="AH335" s="23">
        <f>SUM(Amazon_Data_Set[[#This Row],[Gross Sales]]-Amazon_Data_Set[[#This Row],[Discount Amount]])</f>
        <v>5853.0400000000009</v>
      </c>
    </row>
    <row r="336" spans="1:34">
      <c r="A336" t="s">
        <v>1068</v>
      </c>
      <c r="B336" s="1">
        <v>46372</v>
      </c>
      <c r="C336" t="str">
        <f>TEXT(Amazon_Data_Set[[#This Row],[Order Date]],"mmm")</f>
        <v>Dec</v>
      </c>
      <c r="D336" t="s">
        <v>423</v>
      </c>
      <c r="E336" t="s">
        <v>275</v>
      </c>
      <c r="F336" t="s">
        <v>276</v>
      </c>
      <c r="G336" t="s">
        <v>37</v>
      </c>
      <c r="H336" t="s">
        <v>38</v>
      </c>
      <c r="I336" t="s">
        <v>161</v>
      </c>
      <c r="J336" t="s">
        <v>297</v>
      </c>
      <c r="K336" t="s">
        <v>298</v>
      </c>
      <c r="L336" t="s">
        <v>1069</v>
      </c>
      <c r="M336" t="s">
        <v>43</v>
      </c>
      <c r="N336" t="s">
        <v>60</v>
      </c>
      <c r="O336" t="s">
        <v>130</v>
      </c>
      <c r="P336">
        <v>2</v>
      </c>
      <c r="Q336">
        <v>2976.17</v>
      </c>
      <c r="R336" s="19">
        <v>0.1</v>
      </c>
      <c r="S336" s="21">
        <v>595.23</v>
      </c>
      <c r="T336">
        <v>5952.34</v>
      </c>
      <c r="U336" s="2">
        <v>5357.11</v>
      </c>
      <c r="V336">
        <v>149.77000000000001</v>
      </c>
      <c r="W336">
        <v>3695.13</v>
      </c>
      <c r="X336" s="2">
        <v>1512.21</v>
      </c>
      <c r="Y336">
        <v>0.2823</v>
      </c>
      <c r="Z336">
        <v>5</v>
      </c>
      <c r="AA336" t="s">
        <v>131</v>
      </c>
      <c r="AB336" t="s">
        <v>47</v>
      </c>
      <c r="AE336" s="2">
        <v>4964.97</v>
      </c>
      <c r="AF336">
        <v>1.079</v>
      </c>
      <c r="AG336" t="s">
        <v>49</v>
      </c>
      <c r="AH336" s="23">
        <f>SUM(Amazon_Data_Set[[#This Row],[Gross Sales]]-Amazon_Data_Set[[#This Row],[Discount Amount]])</f>
        <v>5357.1100000000006</v>
      </c>
    </row>
    <row r="337" spans="1:34">
      <c r="A337" t="s">
        <v>1070</v>
      </c>
      <c r="B337" s="1">
        <v>46262</v>
      </c>
      <c r="C337" t="str">
        <f>TEXT(Amazon_Data_Set[[#This Row],[Order Date]],"mmm")</f>
        <v>Aug</v>
      </c>
      <c r="D337" t="s">
        <v>1071</v>
      </c>
      <c r="E337" t="s">
        <v>64</v>
      </c>
      <c r="F337" t="s">
        <v>65</v>
      </c>
      <c r="G337" t="s">
        <v>54</v>
      </c>
      <c r="H337" t="s">
        <v>142</v>
      </c>
      <c r="I337" t="s">
        <v>209</v>
      </c>
      <c r="J337" t="s">
        <v>210</v>
      </c>
      <c r="K337" t="s">
        <v>201</v>
      </c>
      <c r="L337" t="s">
        <v>1072</v>
      </c>
      <c r="M337" t="s">
        <v>106</v>
      </c>
      <c r="N337" t="s">
        <v>60</v>
      </c>
      <c r="O337" t="s">
        <v>45</v>
      </c>
      <c r="P337">
        <v>2</v>
      </c>
      <c r="Q337">
        <v>5047.8</v>
      </c>
      <c r="R337" s="19">
        <v>0</v>
      </c>
      <c r="S337" s="21">
        <v>0</v>
      </c>
      <c r="T337">
        <v>10095.6</v>
      </c>
      <c r="U337" s="2">
        <v>10095.6</v>
      </c>
      <c r="V337">
        <v>178.18</v>
      </c>
      <c r="W337">
        <v>7354.65</v>
      </c>
      <c r="X337" s="2">
        <v>2562.77</v>
      </c>
      <c r="Y337">
        <v>0.25390000000000001</v>
      </c>
      <c r="Z337">
        <v>4</v>
      </c>
      <c r="AA337" t="s">
        <v>46</v>
      </c>
      <c r="AB337" t="s">
        <v>47</v>
      </c>
      <c r="AD337">
        <v>5</v>
      </c>
      <c r="AE337" s="2">
        <v>9639.9599999999991</v>
      </c>
      <c r="AF337">
        <v>1.0472999999999999</v>
      </c>
      <c r="AG337" t="s">
        <v>49</v>
      </c>
      <c r="AH337" s="23">
        <f>SUM(Amazon_Data_Set[[#This Row],[Gross Sales]]-Amazon_Data_Set[[#This Row],[Discount Amount]])</f>
        <v>10095.6</v>
      </c>
    </row>
    <row r="338" spans="1:34">
      <c r="A338" t="s">
        <v>1073</v>
      </c>
      <c r="B338" s="1">
        <v>46370</v>
      </c>
      <c r="C338" t="str">
        <f>TEXT(Amazon_Data_Set[[#This Row],[Order Date]],"mmm")</f>
        <v>Dec</v>
      </c>
      <c r="D338" t="s">
        <v>1074</v>
      </c>
      <c r="E338" t="s">
        <v>149</v>
      </c>
      <c r="F338" t="s">
        <v>150</v>
      </c>
      <c r="G338" t="s">
        <v>37</v>
      </c>
      <c r="H338" t="s">
        <v>90</v>
      </c>
      <c r="I338" t="s">
        <v>252</v>
      </c>
      <c r="J338" t="s">
        <v>253</v>
      </c>
      <c r="K338" t="s">
        <v>254</v>
      </c>
      <c r="L338" t="s">
        <v>1075</v>
      </c>
      <c r="M338" t="s">
        <v>106</v>
      </c>
      <c r="N338" t="s">
        <v>70</v>
      </c>
      <c r="O338" t="s">
        <v>45</v>
      </c>
      <c r="P338">
        <v>5</v>
      </c>
      <c r="Q338">
        <v>483.07</v>
      </c>
      <c r="R338" s="19">
        <v>0.25</v>
      </c>
      <c r="S338" s="21">
        <v>603.84</v>
      </c>
      <c r="T338">
        <v>2415.35</v>
      </c>
      <c r="U338" s="2">
        <v>1811.51</v>
      </c>
      <c r="V338">
        <v>173.34</v>
      </c>
      <c r="W338">
        <v>1365.72</v>
      </c>
      <c r="X338" s="2">
        <v>272.45</v>
      </c>
      <c r="Y338">
        <v>0.15040000000000001</v>
      </c>
      <c r="Z338">
        <v>7</v>
      </c>
      <c r="AA338" t="s">
        <v>61</v>
      </c>
      <c r="AB338" t="s">
        <v>47</v>
      </c>
      <c r="AD338">
        <v>4</v>
      </c>
      <c r="AE338" s="2">
        <v>1635.39</v>
      </c>
      <c r="AF338">
        <v>1.1076999999999999</v>
      </c>
      <c r="AG338" t="s">
        <v>49</v>
      </c>
      <c r="AH338" s="23">
        <f>SUM(Amazon_Data_Set[[#This Row],[Gross Sales]]-Amazon_Data_Set[[#This Row],[Discount Amount]])</f>
        <v>1811.5099999999998</v>
      </c>
    </row>
    <row r="339" spans="1:34">
      <c r="A339" t="s">
        <v>1076</v>
      </c>
      <c r="B339" s="1">
        <v>46241</v>
      </c>
      <c r="C339" t="str">
        <f>TEXT(Amazon_Data_Set[[#This Row],[Order Date]],"mmm")</f>
        <v>Aug</v>
      </c>
      <c r="D339" t="s">
        <v>246</v>
      </c>
      <c r="E339" t="s">
        <v>100</v>
      </c>
      <c r="F339" t="s">
        <v>101</v>
      </c>
      <c r="G339" t="s">
        <v>54</v>
      </c>
      <c r="H339" t="s">
        <v>83</v>
      </c>
      <c r="I339" t="s">
        <v>84</v>
      </c>
      <c r="J339" t="s">
        <v>85</v>
      </c>
      <c r="K339" t="s">
        <v>86</v>
      </c>
      <c r="L339" t="s">
        <v>1077</v>
      </c>
      <c r="M339" t="s">
        <v>106</v>
      </c>
      <c r="N339" t="s">
        <v>70</v>
      </c>
      <c r="O339" t="s">
        <v>45</v>
      </c>
      <c r="P339">
        <v>2</v>
      </c>
      <c r="Q339">
        <v>2256.6999999999998</v>
      </c>
      <c r="R339" s="19">
        <v>0</v>
      </c>
      <c r="S339" s="21">
        <v>0</v>
      </c>
      <c r="T339">
        <v>4513.3999999999996</v>
      </c>
      <c r="U339" s="2">
        <v>4513.3999999999996</v>
      </c>
      <c r="V339">
        <v>245.4</v>
      </c>
      <c r="W339">
        <v>2326.02</v>
      </c>
      <c r="X339" s="2">
        <v>1941.98</v>
      </c>
      <c r="Y339">
        <v>0.43030000000000002</v>
      </c>
      <c r="Z339">
        <v>5</v>
      </c>
      <c r="AA339" t="s">
        <v>61</v>
      </c>
      <c r="AB339" t="s">
        <v>47</v>
      </c>
      <c r="AD339">
        <v>5</v>
      </c>
      <c r="AE339" s="2">
        <v>5032.6099999999997</v>
      </c>
      <c r="AF339">
        <v>0.89680000000000004</v>
      </c>
      <c r="AG339" t="s">
        <v>49</v>
      </c>
      <c r="AH339" s="23">
        <f>SUM(Amazon_Data_Set[[#This Row],[Gross Sales]]-Amazon_Data_Set[[#This Row],[Discount Amount]])</f>
        <v>4513.3999999999996</v>
      </c>
    </row>
    <row r="340" spans="1:34">
      <c r="A340" t="s">
        <v>1078</v>
      </c>
      <c r="B340" s="1">
        <v>46244</v>
      </c>
      <c r="C340" t="str">
        <f>TEXT(Amazon_Data_Set[[#This Row],[Order Date]],"mmm")</f>
        <v>Aug</v>
      </c>
      <c r="D340" t="s">
        <v>1079</v>
      </c>
      <c r="E340" t="s">
        <v>235</v>
      </c>
      <c r="F340" t="s">
        <v>236</v>
      </c>
      <c r="G340" t="s">
        <v>82</v>
      </c>
      <c r="H340" t="s">
        <v>38</v>
      </c>
      <c r="I340" t="s">
        <v>66</v>
      </c>
      <c r="J340" t="s">
        <v>337</v>
      </c>
      <c r="K340" t="s">
        <v>224</v>
      </c>
      <c r="L340" t="s">
        <v>1080</v>
      </c>
      <c r="M340" t="s">
        <v>106</v>
      </c>
      <c r="N340" t="s">
        <v>60</v>
      </c>
      <c r="O340" t="s">
        <v>45</v>
      </c>
      <c r="P340">
        <v>2</v>
      </c>
      <c r="Q340">
        <v>2124.3200000000002</v>
      </c>
      <c r="R340" s="19">
        <v>0</v>
      </c>
      <c r="S340" s="21">
        <v>0</v>
      </c>
      <c r="T340">
        <v>4248.6400000000003</v>
      </c>
      <c r="U340" s="2">
        <v>4248.6400000000003</v>
      </c>
      <c r="V340">
        <v>1.04</v>
      </c>
      <c r="W340">
        <v>2534.0100000000002</v>
      </c>
      <c r="X340" s="2">
        <v>1713.59</v>
      </c>
      <c r="Y340">
        <v>0.40329999999999999</v>
      </c>
      <c r="Z340">
        <v>2</v>
      </c>
      <c r="AA340" t="s">
        <v>46</v>
      </c>
      <c r="AB340" t="s">
        <v>47</v>
      </c>
      <c r="AD340">
        <v>4</v>
      </c>
      <c r="AE340" s="2">
        <v>3931.26</v>
      </c>
      <c r="AF340">
        <v>1.0807</v>
      </c>
      <c r="AG340" t="s">
        <v>49</v>
      </c>
      <c r="AH340" s="23">
        <f>SUM(Amazon_Data_Set[[#This Row],[Gross Sales]]-Amazon_Data_Set[[#This Row],[Discount Amount]])</f>
        <v>4248.6400000000003</v>
      </c>
    </row>
    <row r="341" spans="1:34">
      <c r="A341" t="s">
        <v>1081</v>
      </c>
      <c r="B341" s="1">
        <v>46157</v>
      </c>
      <c r="C341" t="str">
        <f>TEXT(Amazon_Data_Set[[#This Row],[Order Date]],"mmm")</f>
        <v>May</v>
      </c>
      <c r="D341" t="s">
        <v>79</v>
      </c>
      <c r="E341" t="s">
        <v>174</v>
      </c>
      <c r="F341" t="s">
        <v>175</v>
      </c>
      <c r="G341" t="s">
        <v>82</v>
      </c>
      <c r="H341" t="s">
        <v>55</v>
      </c>
      <c r="I341" t="s">
        <v>56</v>
      </c>
      <c r="J341" t="s">
        <v>57</v>
      </c>
      <c r="K341" t="s">
        <v>58</v>
      </c>
      <c r="L341" t="s">
        <v>1082</v>
      </c>
      <c r="M341" t="s">
        <v>43</v>
      </c>
      <c r="N341" t="s">
        <v>77</v>
      </c>
      <c r="O341" t="s">
        <v>45</v>
      </c>
      <c r="P341">
        <v>5</v>
      </c>
      <c r="Q341">
        <v>5151.8</v>
      </c>
      <c r="R341" s="19">
        <v>0</v>
      </c>
      <c r="S341" s="21">
        <v>0</v>
      </c>
      <c r="T341">
        <v>25759</v>
      </c>
      <c r="U341" s="2">
        <v>25759</v>
      </c>
      <c r="V341">
        <v>106.46</v>
      </c>
      <c r="W341">
        <v>14699.66</v>
      </c>
      <c r="X341" s="2">
        <v>10952.88</v>
      </c>
      <c r="Y341">
        <v>0.42520000000000002</v>
      </c>
      <c r="Z341">
        <v>1</v>
      </c>
      <c r="AA341" t="s">
        <v>46</v>
      </c>
      <c r="AB341" t="s">
        <v>47</v>
      </c>
      <c r="AD341">
        <v>4</v>
      </c>
      <c r="AE341" s="2">
        <v>31769.72</v>
      </c>
      <c r="AF341">
        <v>0.81079999999999997</v>
      </c>
      <c r="AG341" t="s">
        <v>49</v>
      </c>
      <c r="AH341" s="23">
        <f>SUM(Amazon_Data_Set[[#This Row],[Gross Sales]]-Amazon_Data_Set[[#This Row],[Discount Amount]])</f>
        <v>25759</v>
      </c>
    </row>
    <row r="342" spans="1:34">
      <c r="A342" t="s">
        <v>1083</v>
      </c>
      <c r="B342" s="1">
        <v>46299</v>
      </c>
      <c r="C342" t="str">
        <f>TEXT(Amazon_Data_Set[[#This Row],[Order Date]],"mmm")</f>
        <v>Oct</v>
      </c>
      <c r="D342" t="s">
        <v>711</v>
      </c>
      <c r="E342" t="s">
        <v>235</v>
      </c>
      <c r="F342" t="s">
        <v>236</v>
      </c>
      <c r="G342" t="s">
        <v>82</v>
      </c>
      <c r="H342" t="s">
        <v>55</v>
      </c>
      <c r="I342" t="s">
        <v>56</v>
      </c>
      <c r="J342" t="s">
        <v>366</v>
      </c>
      <c r="K342" t="s">
        <v>367</v>
      </c>
      <c r="L342" t="s">
        <v>1084</v>
      </c>
      <c r="M342" t="s">
        <v>106</v>
      </c>
      <c r="N342" t="s">
        <v>124</v>
      </c>
      <c r="O342" t="s">
        <v>45</v>
      </c>
      <c r="P342">
        <v>3</v>
      </c>
      <c r="Q342">
        <v>15652.21</v>
      </c>
      <c r="R342" s="19">
        <v>0</v>
      </c>
      <c r="S342" s="21">
        <v>0</v>
      </c>
      <c r="T342">
        <v>46956.63</v>
      </c>
      <c r="U342" s="2">
        <v>46956.63</v>
      </c>
      <c r="V342">
        <v>4.26</v>
      </c>
      <c r="W342">
        <v>29233.61</v>
      </c>
      <c r="X342" s="2">
        <v>17718.759999999998</v>
      </c>
      <c r="Y342">
        <v>0.37730000000000002</v>
      </c>
      <c r="Z342">
        <v>1</v>
      </c>
      <c r="AA342" t="s">
        <v>46</v>
      </c>
      <c r="AB342" t="s">
        <v>48</v>
      </c>
      <c r="AC342" t="s">
        <v>197</v>
      </c>
      <c r="AD342">
        <v>5</v>
      </c>
      <c r="AE342" s="2">
        <v>44285.440000000002</v>
      </c>
      <c r="AF342">
        <v>1.0603</v>
      </c>
      <c r="AG342" t="s">
        <v>347</v>
      </c>
      <c r="AH342" s="23">
        <f>SUM(Amazon_Data_Set[[#This Row],[Gross Sales]]-Amazon_Data_Set[[#This Row],[Discount Amount]])</f>
        <v>46956.63</v>
      </c>
    </row>
    <row r="343" spans="1:34">
      <c r="A343" t="s">
        <v>1085</v>
      </c>
      <c r="B343" s="1">
        <v>46025</v>
      </c>
      <c r="C343" t="str">
        <f>TEXT(Amazon_Data_Set[[#This Row],[Order Date]],"mmm")</f>
        <v>Jan</v>
      </c>
      <c r="D343" t="s">
        <v>706</v>
      </c>
      <c r="E343" t="s">
        <v>109</v>
      </c>
      <c r="F343" t="s">
        <v>110</v>
      </c>
      <c r="G343" t="s">
        <v>111</v>
      </c>
      <c r="H343" t="s">
        <v>90</v>
      </c>
      <c r="I343" t="s">
        <v>252</v>
      </c>
      <c r="J343" t="s">
        <v>528</v>
      </c>
      <c r="K343" t="s">
        <v>529</v>
      </c>
      <c r="L343" t="s">
        <v>1086</v>
      </c>
      <c r="M343" t="s">
        <v>43</v>
      </c>
      <c r="N343" t="s">
        <v>44</v>
      </c>
      <c r="O343" t="s">
        <v>96</v>
      </c>
      <c r="P343">
        <v>3</v>
      </c>
      <c r="Q343">
        <v>632.32000000000005</v>
      </c>
      <c r="R343" s="19">
        <v>0</v>
      </c>
      <c r="S343" s="21">
        <v>0</v>
      </c>
      <c r="T343">
        <v>1896.96</v>
      </c>
      <c r="U343" s="2">
        <v>1896.96</v>
      </c>
      <c r="V343">
        <v>68.91</v>
      </c>
      <c r="W343">
        <v>1051.57</v>
      </c>
      <c r="X343" s="2">
        <v>776.48</v>
      </c>
      <c r="Y343">
        <v>0.4093</v>
      </c>
      <c r="Z343">
        <v>0</v>
      </c>
      <c r="AA343" t="s">
        <v>97</v>
      </c>
      <c r="AB343" t="s">
        <v>47</v>
      </c>
      <c r="AE343" s="2">
        <v>1684.54</v>
      </c>
      <c r="AF343">
        <v>1.1261000000000001</v>
      </c>
      <c r="AG343" t="s">
        <v>49</v>
      </c>
      <c r="AH343" s="23">
        <f>SUM(Amazon_Data_Set[[#This Row],[Gross Sales]]-Amazon_Data_Set[[#This Row],[Discount Amount]])</f>
        <v>1896.96</v>
      </c>
    </row>
    <row r="344" spans="1:34">
      <c r="A344" t="s">
        <v>1087</v>
      </c>
      <c r="B344" s="1">
        <v>46329</v>
      </c>
      <c r="C344" t="str">
        <f>TEXT(Amazon_Data_Set[[#This Row],[Order Date]],"mmm")</f>
        <v>Nov</v>
      </c>
      <c r="D344" t="s">
        <v>328</v>
      </c>
      <c r="E344" t="s">
        <v>167</v>
      </c>
      <c r="F344" t="s">
        <v>168</v>
      </c>
      <c r="G344" t="s">
        <v>111</v>
      </c>
      <c r="H344" t="s">
        <v>142</v>
      </c>
      <c r="I344" t="s">
        <v>209</v>
      </c>
      <c r="J344" t="s">
        <v>243</v>
      </c>
      <c r="K344" t="s">
        <v>145</v>
      </c>
      <c r="L344" t="s">
        <v>1088</v>
      </c>
      <c r="M344" t="s">
        <v>43</v>
      </c>
      <c r="N344" t="s">
        <v>70</v>
      </c>
      <c r="O344" t="s">
        <v>45</v>
      </c>
      <c r="P344">
        <v>4</v>
      </c>
      <c r="Q344">
        <v>10385.35</v>
      </c>
      <c r="R344" s="19">
        <v>0.25</v>
      </c>
      <c r="S344" s="21">
        <v>10385.35</v>
      </c>
      <c r="T344">
        <v>41541.4</v>
      </c>
      <c r="U344" s="2">
        <v>31156.05</v>
      </c>
      <c r="V344">
        <v>230.12</v>
      </c>
      <c r="W344">
        <v>19435.689999999999</v>
      </c>
      <c r="X344" s="2">
        <v>11490.24</v>
      </c>
      <c r="Y344">
        <v>0.36880000000000002</v>
      </c>
      <c r="Z344">
        <v>5</v>
      </c>
      <c r="AA344" t="s">
        <v>61</v>
      </c>
      <c r="AB344" t="s">
        <v>48</v>
      </c>
      <c r="AC344" t="s">
        <v>197</v>
      </c>
      <c r="AD344">
        <v>4</v>
      </c>
      <c r="AE344" s="2">
        <v>33993.620000000003</v>
      </c>
      <c r="AF344">
        <v>0.91649999999999998</v>
      </c>
      <c r="AG344" t="s">
        <v>49</v>
      </c>
      <c r="AH344" s="23">
        <f>SUM(Amazon_Data_Set[[#This Row],[Gross Sales]]-Amazon_Data_Set[[#This Row],[Discount Amount]])</f>
        <v>31156.050000000003</v>
      </c>
    </row>
    <row r="345" spans="1:34">
      <c r="A345" t="s">
        <v>1089</v>
      </c>
      <c r="B345" s="1">
        <v>46351</v>
      </c>
      <c r="C345" t="str">
        <f>TEXT(Amazon_Data_Set[[#This Row],[Order Date]],"mmm")</f>
        <v>Nov</v>
      </c>
      <c r="D345" t="s">
        <v>1090</v>
      </c>
      <c r="E345" t="s">
        <v>52</v>
      </c>
      <c r="F345" t="s">
        <v>53</v>
      </c>
      <c r="G345" t="s">
        <v>54</v>
      </c>
      <c r="H345" t="s">
        <v>38</v>
      </c>
      <c r="I345" t="s">
        <v>161</v>
      </c>
      <c r="J345" t="s">
        <v>223</v>
      </c>
      <c r="K345" t="s">
        <v>224</v>
      </c>
      <c r="L345" t="s">
        <v>1091</v>
      </c>
      <c r="M345" t="s">
        <v>106</v>
      </c>
      <c r="N345" t="s">
        <v>70</v>
      </c>
      <c r="O345" t="s">
        <v>45</v>
      </c>
      <c r="P345">
        <v>5</v>
      </c>
      <c r="Q345">
        <v>2310.1999999999998</v>
      </c>
      <c r="R345" s="19">
        <v>0.3</v>
      </c>
      <c r="S345" s="21">
        <v>3465.3</v>
      </c>
      <c r="T345">
        <v>11551</v>
      </c>
      <c r="U345" s="2">
        <v>8085.7</v>
      </c>
      <c r="V345">
        <v>1.46</v>
      </c>
      <c r="W345">
        <v>4626.97</v>
      </c>
      <c r="X345" s="2">
        <v>3457.27</v>
      </c>
      <c r="Y345">
        <v>0.42759999999999998</v>
      </c>
      <c r="Z345">
        <v>3</v>
      </c>
      <c r="AA345" t="s">
        <v>46</v>
      </c>
      <c r="AB345" t="s">
        <v>47</v>
      </c>
      <c r="AD345">
        <v>5</v>
      </c>
      <c r="AE345" s="2">
        <v>7045.76</v>
      </c>
      <c r="AF345">
        <v>1.1476</v>
      </c>
      <c r="AG345" t="s">
        <v>49</v>
      </c>
      <c r="AH345" s="23">
        <f>SUM(Amazon_Data_Set[[#This Row],[Gross Sales]]-Amazon_Data_Set[[#This Row],[Discount Amount]])</f>
        <v>8085.7</v>
      </c>
    </row>
    <row r="346" spans="1:34">
      <c r="A346" t="s">
        <v>1092</v>
      </c>
      <c r="B346" s="1">
        <v>46153</v>
      </c>
      <c r="C346" t="str">
        <f>TEXT(Amazon_Data_Set[[#This Row],[Order Date]],"mmm")</f>
        <v>May</v>
      </c>
      <c r="D346" t="s">
        <v>1093</v>
      </c>
      <c r="E346" t="s">
        <v>100</v>
      </c>
      <c r="F346" t="s">
        <v>101</v>
      </c>
      <c r="G346" t="s">
        <v>54</v>
      </c>
      <c r="H346" t="s">
        <v>55</v>
      </c>
      <c r="I346" t="s">
        <v>120</v>
      </c>
      <c r="J346" t="s">
        <v>169</v>
      </c>
      <c r="K346" t="s">
        <v>170</v>
      </c>
      <c r="L346" t="s">
        <v>1094</v>
      </c>
      <c r="M346" t="s">
        <v>106</v>
      </c>
      <c r="N346" t="s">
        <v>60</v>
      </c>
      <c r="O346" t="s">
        <v>45</v>
      </c>
      <c r="P346">
        <v>3</v>
      </c>
      <c r="Q346">
        <v>22794.04</v>
      </c>
      <c r="R346" s="19">
        <v>0</v>
      </c>
      <c r="S346" s="21">
        <v>0</v>
      </c>
      <c r="T346">
        <v>68382.12</v>
      </c>
      <c r="U346" s="2">
        <v>68382.12</v>
      </c>
      <c r="V346">
        <v>117</v>
      </c>
      <c r="W346">
        <v>46631.92</v>
      </c>
      <c r="X346" s="2">
        <v>21633.200000000001</v>
      </c>
      <c r="Y346">
        <v>0.31640000000000001</v>
      </c>
      <c r="Z346">
        <v>7</v>
      </c>
      <c r="AA346" t="s">
        <v>61</v>
      </c>
      <c r="AB346" t="s">
        <v>47</v>
      </c>
      <c r="AD346">
        <v>3</v>
      </c>
      <c r="AE346" s="2">
        <v>76408.92</v>
      </c>
      <c r="AF346">
        <v>0.89490000000000003</v>
      </c>
      <c r="AG346" t="s">
        <v>49</v>
      </c>
      <c r="AH346" s="23">
        <f>SUM(Amazon_Data_Set[[#This Row],[Gross Sales]]-Amazon_Data_Set[[#This Row],[Discount Amount]])</f>
        <v>68382.12</v>
      </c>
    </row>
    <row r="347" spans="1:34">
      <c r="A347" t="s">
        <v>1095</v>
      </c>
      <c r="B347" s="1">
        <v>46205</v>
      </c>
      <c r="C347" t="str">
        <f>TEXT(Amazon_Data_Set[[#This Row],[Order Date]],"mmm")</f>
        <v>Jul</v>
      </c>
      <c r="D347" t="s">
        <v>1040</v>
      </c>
      <c r="E347" t="s">
        <v>64</v>
      </c>
      <c r="F347" t="s">
        <v>65</v>
      </c>
      <c r="G347" t="s">
        <v>54</v>
      </c>
      <c r="H347" t="s">
        <v>90</v>
      </c>
      <c r="I347" t="s">
        <v>112</v>
      </c>
      <c r="J347" t="s">
        <v>292</v>
      </c>
      <c r="K347" t="s">
        <v>293</v>
      </c>
      <c r="L347" t="s">
        <v>1096</v>
      </c>
      <c r="M347" t="s">
        <v>106</v>
      </c>
      <c r="N347" t="s">
        <v>70</v>
      </c>
      <c r="O347" t="s">
        <v>45</v>
      </c>
      <c r="P347">
        <v>4</v>
      </c>
      <c r="Q347">
        <v>693.99</v>
      </c>
      <c r="R347" s="19">
        <v>0.25</v>
      </c>
      <c r="S347" s="21">
        <v>693.99</v>
      </c>
      <c r="T347">
        <v>2775.96</v>
      </c>
      <c r="U347" s="2">
        <v>2081.9699999999998</v>
      </c>
      <c r="V347">
        <v>178.29</v>
      </c>
      <c r="W347">
        <v>1308.95</v>
      </c>
      <c r="X347" s="2">
        <v>594.73</v>
      </c>
      <c r="Y347">
        <v>0.28570000000000001</v>
      </c>
      <c r="Z347">
        <v>3</v>
      </c>
      <c r="AA347" t="s">
        <v>46</v>
      </c>
      <c r="AB347" t="s">
        <v>47</v>
      </c>
      <c r="AD347">
        <v>5</v>
      </c>
      <c r="AE347" s="2">
        <v>2439.5100000000002</v>
      </c>
      <c r="AF347">
        <v>0.85340000000000005</v>
      </c>
      <c r="AG347" t="s">
        <v>49</v>
      </c>
      <c r="AH347" s="23">
        <f>SUM(Amazon_Data_Set[[#This Row],[Gross Sales]]-Amazon_Data_Set[[#This Row],[Discount Amount]])</f>
        <v>2081.9700000000003</v>
      </c>
    </row>
    <row r="348" spans="1:34">
      <c r="A348" t="s">
        <v>1097</v>
      </c>
      <c r="B348" s="1">
        <v>46303</v>
      </c>
      <c r="C348" t="str">
        <f>TEXT(Amazon_Data_Set[[#This Row],[Order Date]],"mmm")</f>
        <v>Oct</v>
      </c>
      <c r="D348" t="s">
        <v>1098</v>
      </c>
      <c r="E348" t="s">
        <v>140</v>
      </c>
      <c r="F348" t="s">
        <v>141</v>
      </c>
      <c r="G348" t="s">
        <v>54</v>
      </c>
      <c r="H348" t="s">
        <v>83</v>
      </c>
      <c r="I348" t="s">
        <v>84</v>
      </c>
      <c r="J348" t="s">
        <v>332</v>
      </c>
      <c r="K348" t="s">
        <v>333</v>
      </c>
      <c r="L348" t="s">
        <v>1099</v>
      </c>
      <c r="M348" t="s">
        <v>43</v>
      </c>
      <c r="N348" t="s">
        <v>77</v>
      </c>
      <c r="O348" t="s">
        <v>96</v>
      </c>
      <c r="P348">
        <v>4</v>
      </c>
      <c r="Q348">
        <v>1313.22</v>
      </c>
      <c r="R348" s="19">
        <v>0</v>
      </c>
      <c r="S348" s="21">
        <v>0</v>
      </c>
      <c r="T348">
        <v>5252.88</v>
      </c>
      <c r="U348" s="2">
        <v>5252.88</v>
      </c>
      <c r="V348">
        <v>11.53</v>
      </c>
      <c r="W348">
        <v>3571.01</v>
      </c>
      <c r="X348" s="2">
        <v>1670.34</v>
      </c>
      <c r="Y348">
        <v>0.318</v>
      </c>
      <c r="Z348">
        <v>0</v>
      </c>
      <c r="AA348" t="s">
        <v>97</v>
      </c>
      <c r="AB348" t="s">
        <v>47</v>
      </c>
      <c r="AE348" s="2">
        <v>5069.5</v>
      </c>
      <c r="AF348">
        <v>1.0362</v>
      </c>
      <c r="AG348" t="s">
        <v>49</v>
      </c>
      <c r="AH348" s="23">
        <f>SUM(Amazon_Data_Set[[#This Row],[Gross Sales]]-Amazon_Data_Set[[#This Row],[Discount Amount]])</f>
        <v>5252.88</v>
      </c>
    </row>
    <row r="349" spans="1:34">
      <c r="A349" t="s">
        <v>1100</v>
      </c>
      <c r="B349" s="1">
        <v>46382</v>
      </c>
      <c r="C349" t="str">
        <f>TEXT(Amazon_Data_Set[[#This Row],[Order Date]],"mmm")</f>
        <v>Dec</v>
      </c>
      <c r="D349" t="s">
        <v>802</v>
      </c>
      <c r="E349" t="s">
        <v>149</v>
      </c>
      <c r="F349" t="s">
        <v>150</v>
      </c>
      <c r="G349" t="s">
        <v>37</v>
      </c>
      <c r="H349" t="s">
        <v>55</v>
      </c>
      <c r="I349" t="s">
        <v>120</v>
      </c>
      <c r="J349" t="s">
        <v>169</v>
      </c>
      <c r="K349" t="s">
        <v>170</v>
      </c>
      <c r="L349" t="s">
        <v>1101</v>
      </c>
      <c r="M349" t="s">
        <v>43</v>
      </c>
      <c r="N349" t="s">
        <v>124</v>
      </c>
      <c r="O349" t="s">
        <v>45</v>
      </c>
      <c r="P349">
        <v>2</v>
      </c>
      <c r="Q349">
        <v>20260.03</v>
      </c>
      <c r="R349" s="19">
        <v>0</v>
      </c>
      <c r="S349" s="21">
        <v>0</v>
      </c>
      <c r="T349">
        <v>40520.06</v>
      </c>
      <c r="U349" s="2">
        <v>40520.06</v>
      </c>
      <c r="V349">
        <v>122.5</v>
      </c>
      <c r="W349">
        <v>27341.46</v>
      </c>
      <c r="X349" s="2">
        <v>13056.1</v>
      </c>
      <c r="Y349">
        <v>0.32219999999999999</v>
      </c>
      <c r="Z349">
        <v>3</v>
      </c>
      <c r="AA349" t="s">
        <v>46</v>
      </c>
      <c r="AB349" t="s">
        <v>47</v>
      </c>
      <c r="AD349">
        <v>5</v>
      </c>
      <c r="AE349" s="2">
        <v>49371.48</v>
      </c>
      <c r="AF349">
        <v>0.82069999999999999</v>
      </c>
      <c r="AG349" t="s">
        <v>49</v>
      </c>
      <c r="AH349" s="23">
        <f>SUM(Amazon_Data_Set[[#This Row],[Gross Sales]]-Amazon_Data_Set[[#This Row],[Discount Amount]])</f>
        <v>40520.06</v>
      </c>
    </row>
    <row r="350" spans="1:34">
      <c r="A350" t="s">
        <v>1102</v>
      </c>
      <c r="B350" s="1">
        <v>46348</v>
      </c>
      <c r="C350" t="str">
        <f>TEXT(Amazon_Data_Set[[#This Row],[Order Date]],"mmm")</f>
        <v>Nov</v>
      </c>
      <c r="D350" t="s">
        <v>732</v>
      </c>
      <c r="E350" t="s">
        <v>228</v>
      </c>
      <c r="F350" t="s">
        <v>229</v>
      </c>
      <c r="G350" t="s">
        <v>37</v>
      </c>
      <c r="H350" t="s">
        <v>55</v>
      </c>
      <c r="I350" t="s">
        <v>120</v>
      </c>
      <c r="J350" t="s">
        <v>169</v>
      </c>
      <c r="K350" t="s">
        <v>170</v>
      </c>
      <c r="L350" t="s">
        <v>1103</v>
      </c>
      <c r="M350" t="s">
        <v>106</v>
      </c>
      <c r="N350" t="s">
        <v>124</v>
      </c>
      <c r="O350" t="s">
        <v>45</v>
      </c>
      <c r="P350">
        <v>3</v>
      </c>
      <c r="Q350">
        <v>47783.26</v>
      </c>
      <c r="R350" s="19">
        <v>0.1</v>
      </c>
      <c r="S350" s="21">
        <v>14334.98</v>
      </c>
      <c r="T350">
        <v>143349.78</v>
      </c>
      <c r="U350" s="2">
        <v>129014.8</v>
      </c>
      <c r="V350">
        <v>219.63</v>
      </c>
      <c r="W350">
        <v>80960.62</v>
      </c>
      <c r="X350" s="2">
        <v>47834.55</v>
      </c>
      <c r="Y350">
        <v>0.37080000000000002</v>
      </c>
      <c r="Z350">
        <v>4</v>
      </c>
      <c r="AA350" t="s">
        <v>46</v>
      </c>
      <c r="AB350" t="s">
        <v>47</v>
      </c>
      <c r="AD350">
        <v>5</v>
      </c>
      <c r="AE350" s="2">
        <v>116605.62</v>
      </c>
      <c r="AF350">
        <v>1.1064000000000001</v>
      </c>
      <c r="AG350" t="s">
        <v>49</v>
      </c>
      <c r="AH350" s="23">
        <f>SUM(Amazon_Data_Set[[#This Row],[Gross Sales]]-Amazon_Data_Set[[#This Row],[Discount Amount]])</f>
        <v>129014.8</v>
      </c>
    </row>
    <row r="351" spans="1:34">
      <c r="A351" t="s">
        <v>1104</v>
      </c>
      <c r="B351" s="1">
        <v>46284</v>
      </c>
      <c r="C351" t="str">
        <f>TEXT(Amazon_Data_Set[[#This Row],[Order Date]],"mmm")</f>
        <v>Sep</v>
      </c>
      <c r="D351" t="s">
        <v>99</v>
      </c>
      <c r="E351" t="s">
        <v>167</v>
      </c>
      <c r="F351" t="s">
        <v>168</v>
      </c>
      <c r="G351" t="s">
        <v>111</v>
      </c>
      <c r="H351" t="s">
        <v>38</v>
      </c>
      <c r="I351" t="s">
        <v>39</v>
      </c>
      <c r="J351" t="s">
        <v>40</v>
      </c>
      <c r="K351" t="s">
        <v>41</v>
      </c>
      <c r="L351" t="s">
        <v>1105</v>
      </c>
      <c r="M351" t="s">
        <v>106</v>
      </c>
      <c r="N351" t="s">
        <v>44</v>
      </c>
      <c r="O351" t="s">
        <v>96</v>
      </c>
      <c r="P351">
        <v>1</v>
      </c>
      <c r="Q351">
        <v>1286.6400000000001</v>
      </c>
      <c r="R351" s="19">
        <v>0.1</v>
      </c>
      <c r="S351" s="21">
        <v>128.66</v>
      </c>
      <c r="T351">
        <v>1286.6400000000001</v>
      </c>
      <c r="U351" s="2">
        <v>1157.98</v>
      </c>
      <c r="V351">
        <v>31.9</v>
      </c>
      <c r="W351">
        <v>859.98</v>
      </c>
      <c r="X351" s="2">
        <v>266.10000000000002</v>
      </c>
      <c r="Y351">
        <v>0.2298</v>
      </c>
      <c r="Z351">
        <v>0</v>
      </c>
      <c r="AA351" t="s">
        <v>97</v>
      </c>
      <c r="AB351" t="s">
        <v>47</v>
      </c>
      <c r="AE351" s="2">
        <v>1315.38</v>
      </c>
      <c r="AF351">
        <v>0.88029999999999997</v>
      </c>
      <c r="AG351" t="s">
        <v>347</v>
      </c>
      <c r="AH351" s="23">
        <f>SUM(Amazon_Data_Set[[#This Row],[Gross Sales]]-Amazon_Data_Set[[#This Row],[Discount Amount]])</f>
        <v>1157.98</v>
      </c>
    </row>
    <row r="352" spans="1:34">
      <c r="A352" t="s">
        <v>1106</v>
      </c>
      <c r="B352" s="1">
        <v>46226</v>
      </c>
      <c r="C352" t="str">
        <f>TEXT(Amazon_Data_Set[[#This Row],[Order Date]],"mmm")</f>
        <v>Jul</v>
      </c>
      <c r="D352" t="s">
        <v>643</v>
      </c>
      <c r="E352" t="s">
        <v>80</v>
      </c>
      <c r="F352" t="s">
        <v>81</v>
      </c>
      <c r="G352" t="s">
        <v>82</v>
      </c>
      <c r="H352" t="s">
        <v>38</v>
      </c>
      <c r="I352" t="s">
        <v>161</v>
      </c>
      <c r="J352" t="s">
        <v>162</v>
      </c>
      <c r="K352" t="s">
        <v>163</v>
      </c>
      <c r="L352" t="s">
        <v>1107</v>
      </c>
      <c r="M352" t="s">
        <v>106</v>
      </c>
      <c r="N352" t="s">
        <v>77</v>
      </c>
      <c r="O352" t="s">
        <v>96</v>
      </c>
      <c r="P352">
        <v>2</v>
      </c>
      <c r="Q352">
        <v>2652.82</v>
      </c>
      <c r="R352" s="19">
        <v>0.15</v>
      </c>
      <c r="S352" s="21">
        <v>795.85</v>
      </c>
      <c r="T352">
        <v>5305.64</v>
      </c>
      <c r="U352" s="2">
        <v>4509.79</v>
      </c>
      <c r="V352">
        <v>114.88</v>
      </c>
      <c r="W352">
        <v>2304.7399999999998</v>
      </c>
      <c r="X352" s="2">
        <v>2090.17</v>
      </c>
      <c r="Y352">
        <v>0.46350000000000002</v>
      </c>
      <c r="Z352">
        <v>0</v>
      </c>
      <c r="AA352" t="s">
        <v>97</v>
      </c>
      <c r="AB352" t="s">
        <v>47</v>
      </c>
      <c r="AE352" s="2">
        <v>4143.38</v>
      </c>
      <c r="AF352">
        <v>1.0884</v>
      </c>
      <c r="AG352" t="s">
        <v>49</v>
      </c>
      <c r="AH352" s="23">
        <f>SUM(Amazon_Data_Set[[#This Row],[Gross Sales]]-Amazon_Data_Set[[#This Row],[Discount Amount]])</f>
        <v>4509.79</v>
      </c>
    </row>
    <row r="353" spans="1:34">
      <c r="A353" t="s">
        <v>1108</v>
      </c>
      <c r="B353" s="1">
        <v>46127</v>
      </c>
      <c r="C353" t="str">
        <f>TEXT(Amazon_Data_Set[[#This Row],[Order Date]],"mmm")</f>
        <v>Apr</v>
      </c>
      <c r="D353" t="s">
        <v>148</v>
      </c>
      <c r="E353" t="s">
        <v>80</v>
      </c>
      <c r="F353" t="s">
        <v>81</v>
      </c>
      <c r="G353" t="s">
        <v>82</v>
      </c>
      <c r="H353" t="s">
        <v>142</v>
      </c>
      <c r="I353" t="s">
        <v>214</v>
      </c>
      <c r="J353" t="s">
        <v>308</v>
      </c>
      <c r="K353" t="s">
        <v>309</v>
      </c>
      <c r="L353" t="s">
        <v>1109</v>
      </c>
      <c r="M353" t="s">
        <v>106</v>
      </c>
      <c r="N353" t="s">
        <v>77</v>
      </c>
      <c r="O353" t="s">
        <v>96</v>
      </c>
      <c r="P353">
        <v>1</v>
      </c>
      <c r="Q353">
        <v>5743.41</v>
      </c>
      <c r="R353" s="19">
        <v>0.3</v>
      </c>
      <c r="S353" s="21">
        <v>1723.02</v>
      </c>
      <c r="T353">
        <v>5743.41</v>
      </c>
      <c r="U353" s="2">
        <v>4020.39</v>
      </c>
      <c r="V353">
        <v>48.64</v>
      </c>
      <c r="W353">
        <v>2252.52</v>
      </c>
      <c r="X353" s="2">
        <v>1719.23</v>
      </c>
      <c r="Y353">
        <v>0.42759999999999998</v>
      </c>
      <c r="Z353">
        <v>0</v>
      </c>
      <c r="AA353" t="s">
        <v>97</v>
      </c>
      <c r="AB353" t="s">
        <v>47</v>
      </c>
      <c r="AE353" s="2">
        <v>3791.17</v>
      </c>
      <c r="AF353">
        <v>1.0605</v>
      </c>
      <c r="AG353" t="s">
        <v>49</v>
      </c>
      <c r="AH353" s="23">
        <f>SUM(Amazon_Data_Set[[#This Row],[Gross Sales]]-Amazon_Data_Set[[#This Row],[Discount Amount]])</f>
        <v>4020.39</v>
      </c>
    </row>
    <row r="354" spans="1:34">
      <c r="A354" t="s">
        <v>1110</v>
      </c>
      <c r="B354" s="1">
        <v>46385</v>
      </c>
      <c r="C354" t="str">
        <f>TEXT(Amazon_Data_Set[[#This Row],[Order Date]],"mmm")</f>
        <v>Dec</v>
      </c>
      <c r="D354" t="s">
        <v>108</v>
      </c>
      <c r="E354" t="s">
        <v>118</v>
      </c>
      <c r="F354" t="s">
        <v>119</v>
      </c>
      <c r="G354" t="s">
        <v>82</v>
      </c>
      <c r="H354" t="s">
        <v>38</v>
      </c>
      <c r="I354" t="s">
        <v>161</v>
      </c>
      <c r="J354" t="s">
        <v>297</v>
      </c>
      <c r="K354" t="s">
        <v>298</v>
      </c>
      <c r="L354" t="s">
        <v>1111</v>
      </c>
      <c r="M354" t="s">
        <v>106</v>
      </c>
      <c r="N354" t="s">
        <v>124</v>
      </c>
      <c r="O354" t="s">
        <v>45</v>
      </c>
      <c r="P354">
        <v>1</v>
      </c>
      <c r="Q354">
        <v>1497.46</v>
      </c>
      <c r="R354" s="19">
        <v>0.1</v>
      </c>
      <c r="S354" s="21">
        <v>149.75</v>
      </c>
      <c r="T354">
        <v>1497.46</v>
      </c>
      <c r="U354" s="2">
        <v>1347.71</v>
      </c>
      <c r="V354">
        <v>75.17</v>
      </c>
      <c r="W354">
        <v>862.12</v>
      </c>
      <c r="X354" s="2">
        <v>410.42</v>
      </c>
      <c r="Y354">
        <v>0.30449999999999999</v>
      </c>
      <c r="Z354">
        <v>6</v>
      </c>
      <c r="AA354" t="s">
        <v>61</v>
      </c>
      <c r="AB354" t="s">
        <v>47</v>
      </c>
      <c r="AD354">
        <v>4</v>
      </c>
      <c r="AE354" s="2">
        <v>1301.9000000000001</v>
      </c>
      <c r="AF354">
        <v>1.0351999999999999</v>
      </c>
      <c r="AG354" t="s">
        <v>49</v>
      </c>
      <c r="AH354" s="23">
        <f>SUM(Amazon_Data_Set[[#This Row],[Gross Sales]]-Amazon_Data_Set[[#This Row],[Discount Amount]])</f>
        <v>1347.71</v>
      </c>
    </row>
    <row r="355" spans="1:34">
      <c r="A355" t="s">
        <v>1112</v>
      </c>
      <c r="B355" s="1">
        <v>46127</v>
      </c>
      <c r="C355" t="str">
        <f>TEXT(Amazon_Data_Set[[#This Row],[Order Date]],"mmm")</f>
        <v>Apr</v>
      </c>
      <c r="D355" t="s">
        <v>1113</v>
      </c>
      <c r="E355" t="s">
        <v>275</v>
      </c>
      <c r="F355" t="s">
        <v>276</v>
      </c>
      <c r="G355" t="s">
        <v>37</v>
      </c>
      <c r="H355" t="s">
        <v>142</v>
      </c>
      <c r="I355" t="s">
        <v>143</v>
      </c>
      <c r="J355" t="s">
        <v>200</v>
      </c>
      <c r="K355" t="s">
        <v>201</v>
      </c>
      <c r="L355" t="s">
        <v>1114</v>
      </c>
      <c r="M355" t="s">
        <v>106</v>
      </c>
      <c r="N355" t="s">
        <v>95</v>
      </c>
      <c r="O355" t="s">
        <v>96</v>
      </c>
      <c r="P355">
        <v>2</v>
      </c>
      <c r="Q355">
        <v>721.62</v>
      </c>
      <c r="R355" s="19">
        <v>0.3</v>
      </c>
      <c r="S355" s="21">
        <v>432.97</v>
      </c>
      <c r="T355">
        <v>1443.24</v>
      </c>
      <c r="U355" s="2">
        <v>1010.27</v>
      </c>
      <c r="V355">
        <v>82.66</v>
      </c>
      <c r="W355">
        <v>496.86</v>
      </c>
      <c r="X355" s="2">
        <v>430.75</v>
      </c>
      <c r="Y355">
        <v>0.4264</v>
      </c>
      <c r="Z355">
        <v>0</v>
      </c>
      <c r="AA355" t="s">
        <v>97</v>
      </c>
      <c r="AB355" t="s">
        <v>47</v>
      </c>
      <c r="AE355" s="2">
        <v>1084.6099999999999</v>
      </c>
      <c r="AF355">
        <v>0.93149999999999999</v>
      </c>
      <c r="AG355" t="s">
        <v>49</v>
      </c>
      <c r="AH355" s="23">
        <f>SUM(Amazon_Data_Set[[#This Row],[Gross Sales]]-Amazon_Data_Set[[#This Row],[Discount Amount]])</f>
        <v>1010.27</v>
      </c>
    </row>
    <row r="356" spans="1:34">
      <c r="A356" t="s">
        <v>1115</v>
      </c>
      <c r="B356" s="1">
        <v>46256</v>
      </c>
      <c r="C356" t="str">
        <f>TEXT(Amazon_Data_Set[[#This Row],[Order Date]],"mmm")</f>
        <v>Aug</v>
      </c>
      <c r="D356" t="s">
        <v>507</v>
      </c>
      <c r="E356" t="s">
        <v>52</v>
      </c>
      <c r="F356" t="s">
        <v>53</v>
      </c>
      <c r="G356" t="s">
        <v>54</v>
      </c>
      <c r="H356" t="s">
        <v>38</v>
      </c>
      <c r="I356" t="s">
        <v>161</v>
      </c>
      <c r="J356" t="s">
        <v>162</v>
      </c>
      <c r="K356" t="s">
        <v>163</v>
      </c>
      <c r="L356" t="s">
        <v>1116</v>
      </c>
      <c r="M356" t="s">
        <v>106</v>
      </c>
      <c r="N356" t="s">
        <v>95</v>
      </c>
      <c r="O356" t="s">
        <v>130</v>
      </c>
      <c r="P356">
        <v>2</v>
      </c>
      <c r="Q356">
        <v>707.36</v>
      </c>
      <c r="R356" s="19">
        <v>0.3</v>
      </c>
      <c r="S356" s="21">
        <v>424.42</v>
      </c>
      <c r="T356">
        <v>1414.72</v>
      </c>
      <c r="U356" s="2">
        <v>990.3</v>
      </c>
      <c r="V356">
        <v>69.819999999999993</v>
      </c>
      <c r="W356">
        <v>569.30999999999995</v>
      </c>
      <c r="X356" s="2">
        <v>351.17</v>
      </c>
      <c r="Y356">
        <v>0.35460000000000003</v>
      </c>
      <c r="Z356">
        <v>1</v>
      </c>
      <c r="AA356" t="s">
        <v>131</v>
      </c>
      <c r="AB356" t="s">
        <v>47</v>
      </c>
      <c r="AE356" s="2">
        <v>903.91</v>
      </c>
      <c r="AF356">
        <v>1.0955999999999999</v>
      </c>
      <c r="AG356" t="s">
        <v>49</v>
      </c>
      <c r="AH356" s="23">
        <f>SUM(Amazon_Data_Set[[#This Row],[Gross Sales]]-Amazon_Data_Set[[#This Row],[Discount Amount]])</f>
        <v>990.3</v>
      </c>
    </row>
    <row r="357" spans="1:34">
      <c r="A357" t="s">
        <v>1117</v>
      </c>
      <c r="B357" s="1">
        <v>46317</v>
      </c>
      <c r="C357" t="str">
        <f>TEXT(Amazon_Data_Set[[#This Row],[Order Date]],"mmm")</f>
        <v>Oct</v>
      </c>
      <c r="D357" t="s">
        <v>504</v>
      </c>
      <c r="E357" t="s">
        <v>35</v>
      </c>
      <c r="F357" t="s">
        <v>36</v>
      </c>
      <c r="G357" t="s">
        <v>37</v>
      </c>
      <c r="H357" t="s">
        <v>55</v>
      </c>
      <c r="I357" t="s">
        <v>120</v>
      </c>
      <c r="J357" t="s">
        <v>169</v>
      </c>
      <c r="K357" t="s">
        <v>170</v>
      </c>
      <c r="L357" t="s">
        <v>1118</v>
      </c>
      <c r="M357" t="s">
        <v>106</v>
      </c>
      <c r="N357" t="s">
        <v>124</v>
      </c>
      <c r="O357" t="s">
        <v>45</v>
      </c>
      <c r="P357">
        <v>1</v>
      </c>
      <c r="Q357">
        <v>12498.22</v>
      </c>
      <c r="R357" s="19">
        <v>0</v>
      </c>
      <c r="S357" s="21">
        <v>0</v>
      </c>
      <c r="T357">
        <v>12498.22</v>
      </c>
      <c r="U357" s="2">
        <v>12498.22</v>
      </c>
      <c r="V357">
        <v>186.03</v>
      </c>
      <c r="W357">
        <v>7232.04</v>
      </c>
      <c r="X357" s="2">
        <v>5080.1499999999996</v>
      </c>
      <c r="Y357">
        <v>0.40649999999999997</v>
      </c>
      <c r="Z357">
        <v>6</v>
      </c>
      <c r="AA357" t="s">
        <v>61</v>
      </c>
      <c r="AB357" t="s">
        <v>47</v>
      </c>
      <c r="AD357">
        <v>4</v>
      </c>
      <c r="AE357" s="2">
        <v>11547.05</v>
      </c>
      <c r="AF357">
        <v>1.0824</v>
      </c>
      <c r="AG357" t="s">
        <v>49</v>
      </c>
      <c r="AH357" s="23">
        <f>SUM(Amazon_Data_Set[[#This Row],[Gross Sales]]-Amazon_Data_Set[[#This Row],[Discount Amount]])</f>
        <v>12498.22</v>
      </c>
    </row>
    <row r="358" spans="1:34">
      <c r="A358" t="s">
        <v>1119</v>
      </c>
      <c r="B358" s="1">
        <v>46271</v>
      </c>
      <c r="C358" t="str">
        <f>TEXT(Amazon_Data_Set[[#This Row],[Order Date]],"mmm")</f>
        <v>Sep</v>
      </c>
      <c r="D358" t="s">
        <v>887</v>
      </c>
      <c r="E358" t="s">
        <v>80</v>
      </c>
      <c r="F358" t="s">
        <v>81</v>
      </c>
      <c r="G358" t="s">
        <v>82</v>
      </c>
      <c r="H358" t="s">
        <v>83</v>
      </c>
      <c r="I358" t="s">
        <v>84</v>
      </c>
      <c r="J358" t="s">
        <v>332</v>
      </c>
      <c r="K358" t="s">
        <v>333</v>
      </c>
      <c r="L358" t="s">
        <v>1120</v>
      </c>
      <c r="M358" t="s">
        <v>43</v>
      </c>
      <c r="N358" t="s">
        <v>95</v>
      </c>
      <c r="O358" t="s">
        <v>45</v>
      </c>
      <c r="P358">
        <v>3</v>
      </c>
      <c r="Q358">
        <v>150.72999999999999</v>
      </c>
      <c r="R358" s="19">
        <v>0</v>
      </c>
      <c r="S358" s="21">
        <v>0</v>
      </c>
      <c r="T358">
        <v>452.19</v>
      </c>
      <c r="U358" s="2">
        <v>452.19</v>
      </c>
      <c r="V358">
        <v>63.16</v>
      </c>
      <c r="W358">
        <v>238.7</v>
      </c>
      <c r="X358" s="2">
        <v>150.33000000000001</v>
      </c>
      <c r="Y358">
        <v>0.33239999999999997</v>
      </c>
      <c r="Z358">
        <v>6</v>
      </c>
      <c r="AA358" t="s">
        <v>61</v>
      </c>
      <c r="AB358" t="s">
        <v>47</v>
      </c>
      <c r="AD358">
        <v>5</v>
      </c>
      <c r="AE358" s="2">
        <v>476.09</v>
      </c>
      <c r="AF358">
        <v>0.94979999999999998</v>
      </c>
      <c r="AG358" t="s">
        <v>49</v>
      </c>
      <c r="AH358" s="23">
        <f>SUM(Amazon_Data_Set[[#This Row],[Gross Sales]]-Amazon_Data_Set[[#This Row],[Discount Amount]])</f>
        <v>452.19</v>
      </c>
    </row>
    <row r="359" spans="1:34">
      <c r="A359" t="s">
        <v>1121</v>
      </c>
      <c r="B359" s="1">
        <v>46125</v>
      </c>
      <c r="C359" t="str">
        <f>TEXT(Amazon_Data_Set[[#This Row],[Order Date]],"mmm")</f>
        <v>Apr</v>
      </c>
      <c r="D359" t="s">
        <v>414</v>
      </c>
      <c r="E359" t="s">
        <v>100</v>
      </c>
      <c r="F359" t="s">
        <v>179</v>
      </c>
      <c r="G359" t="s">
        <v>54</v>
      </c>
      <c r="H359" t="s">
        <v>83</v>
      </c>
      <c r="I359" t="s">
        <v>84</v>
      </c>
      <c r="J359" t="s">
        <v>85</v>
      </c>
      <c r="K359" t="s">
        <v>86</v>
      </c>
      <c r="L359" t="s">
        <v>1122</v>
      </c>
      <c r="M359" t="s">
        <v>43</v>
      </c>
      <c r="N359" t="s">
        <v>70</v>
      </c>
      <c r="O359" t="s">
        <v>45</v>
      </c>
      <c r="P359">
        <v>3</v>
      </c>
      <c r="Q359">
        <v>2296.75</v>
      </c>
      <c r="R359" s="19">
        <v>0.05</v>
      </c>
      <c r="S359" s="21">
        <v>344.51</v>
      </c>
      <c r="T359">
        <v>6890.25</v>
      </c>
      <c r="U359" s="2">
        <v>6545.74</v>
      </c>
      <c r="V359">
        <v>210.38</v>
      </c>
      <c r="W359">
        <v>3971.18</v>
      </c>
      <c r="X359" s="2">
        <v>2364.1799999999998</v>
      </c>
      <c r="Y359">
        <v>0.36120000000000002</v>
      </c>
      <c r="Z359">
        <v>2</v>
      </c>
      <c r="AA359" t="s">
        <v>46</v>
      </c>
      <c r="AB359" t="s">
        <v>47</v>
      </c>
      <c r="AD359">
        <v>3</v>
      </c>
      <c r="AE359" s="2">
        <v>7520.25</v>
      </c>
      <c r="AF359">
        <v>0.87039999999999995</v>
      </c>
      <c r="AG359" t="s">
        <v>49</v>
      </c>
      <c r="AH359" s="23">
        <f>SUM(Amazon_Data_Set[[#This Row],[Gross Sales]]-Amazon_Data_Set[[#This Row],[Discount Amount]])</f>
        <v>6545.74</v>
      </c>
    </row>
    <row r="360" spans="1:34">
      <c r="A360" t="s">
        <v>1123</v>
      </c>
      <c r="B360" s="1">
        <v>46053</v>
      </c>
      <c r="C360" t="str">
        <f>TEXT(Amazon_Data_Set[[#This Row],[Order Date]],"mmm")</f>
        <v>Jan</v>
      </c>
      <c r="D360" t="s">
        <v>524</v>
      </c>
      <c r="E360" t="s">
        <v>80</v>
      </c>
      <c r="F360" t="s">
        <v>81</v>
      </c>
      <c r="G360" t="s">
        <v>82</v>
      </c>
      <c r="H360" t="s">
        <v>83</v>
      </c>
      <c r="I360" t="s">
        <v>84</v>
      </c>
      <c r="J360" t="s">
        <v>85</v>
      </c>
      <c r="K360" t="s">
        <v>86</v>
      </c>
      <c r="L360" t="s">
        <v>1124</v>
      </c>
      <c r="M360" t="s">
        <v>106</v>
      </c>
      <c r="N360" t="s">
        <v>44</v>
      </c>
      <c r="O360" t="s">
        <v>45</v>
      </c>
      <c r="P360">
        <v>5</v>
      </c>
      <c r="Q360">
        <v>1169.5</v>
      </c>
      <c r="R360" s="19">
        <v>0</v>
      </c>
      <c r="S360" s="21">
        <v>0</v>
      </c>
      <c r="T360">
        <v>5847.5</v>
      </c>
      <c r="U360" s="2">
        <v>5847.5</v>
      </c>
      <c r="V360">
        <v>87.03</v>
      </c>
      <c r="W360">
        <v>3395.35</v>
      </c>
      <c r="X360" s="2">
        <v>2365.12</v>
      </c>
      <c r="Y360">
        <v>0.40450000000000003</v>
      </c>
      <c r="Z360">
        <v>3</v>
      </c>
      <c r="AA360" t="s">
        <v>46</v>
      </c>
      <c r="AB360" t="s">
        <v>48</v>
      </c>
      <c r="AC360" t="s">
        <v>203</v>
      </c>
      <c r="AD360">
        <v>5</v>
      </c>
      <c r="AE360" s="2">
        <v>5135.87</v>
      </c>
      <c r="AF360">
        <v>1.1386000000000001</v>
      </c>
      <c r="AG360" t="s">
        <v>49</v>
      </c>
      <c r="AH360" s="23">
        <f>SUM(Amazon_Data_Set[[#This Row],[Gross Sales]]-Amazon_Data_Set[[#This Row],[Discount Amount]])</f>
        <v>5847.5</v>
      </c>
    </row>
    <row r="361" spans="1:34">
      <c r="A361" t="s">
        <v>1125</v>
      </c>
      <c r="B361" s="1">
        <v>46147</v>
      </c>
      <c r="C361" t="str">
        <f>TEXT(Amazon_Data_Set[[#This Row],[Order Date]],"mmm")</f>
        <v>May</v>
      </c>
      <c r="D361" t="s">
        <v>1126</v>
      </c>
      <c r="E361" t="s">
        <v>235</v>
      </c>
      <c r="F361" t="s">
        <v>236</v>
      </c>
      <c r="G361" t="s">
        <v>82</v>
      </c>
      <c r="H361" t="s">
        <v>142</v>
      </c>
      <c r="I361" t="s">
        <v>209</v>
      </c>
      <c r="J361" t="s">
        <v>210</v>
      </c>
      <c r="K361" t="s">
        <v>201</v>
      </c>
      <c r="L361" t="s">
        <v>1127</v>
      </c>
      <c r="M361" t="s">
        <v>43</v>
      </c>
      <c r="N361" t="s">
        <v>124</v>
      </c>
      <c r="O361" t="s">
        <v>45</v>
      </c>
      <c r="P361">
        <v>4</v>
      </c>
      <c r="Q361">
        <v>4980.76</v>
      </c>
      <c r="R361" s="19">
        <v>0.25</v>
      </c>
      <c r="S361" s="21">
        <v>4980.76</v>
      </c>
      <c r="T361">
        <v>19923.04</v>
      </c>
      <c r="U361" s="2">
        <v>14942.28</v>
      </c>
      <c r="V361">
        <v>233.87</v>
      </c>
      <c r="W361">
        <v>7644.45</v>
      </c>
      <c r="X361" s="2">
        <v>7063.96</v>
      </c>
      <c r="Y361">
        <v>0.47270000000000001</v>
      </c>
      <c r="Z361">
        <v>2</v>
      </c>
      <c r="AA361" t="s">
        <v>46</v>
      </c>
      <c r="AB361" t="s">
        <v>47</v>
      </c>
      <c r="AD361">
        <v>5</v>
      </c>
      <c r="AE361" s="2">
        <v>17396.650000000001</v>
      </c>
      <c r="AF361">
        <v>0.8589</v>
      </c>
      <c r="AG361" t="s">
        <v>49</v>
      </c>
      <c r="AH361" s="23">
        <f>SUM(Amazon_Data_Set[[#This Row],[Gross Sales]]-Amazon_Data_Set[[#This Row],[Discount Amount]])</f>
        <v>14942.28</v>
      </c>
    </row>
    <row r="362" spans="1:34">
      <c r="A362" t="s">
        <v>1128</v>
      </c>
      <c r="B362" s="1">
        <v>46228</v>
      </c>
      <c r="C362" t="str">
        <f>TEXT(Amazon_Data_Set[[#This Row],[Order Date]],"mmm")</f>
        <v>Jul</v>
      </c>
      <c r="D362" t="s">
        <v>1129</v>
      </c>
      <c r="E362" t="s">
        <v>228</v>
      </c>
      <c r="F362" t="s">
        <v>229</v>
      </c>
      <c r="G362" t="s">
        <v>37</v>
      </c>
      <c r="H362" t="s">
        <v>38</v>
      </c>
      <c r="I362" t="s">
        <v>161</v>
      </c>
      <c r="J362" t="s">
        <v>162</v>
      </c>
      <c r="K362" t="s">
        <v>163</v>
      </c>
      <c r="L362" t="s">
        <v>1130</v>
      </c>
      <c r="M362" t="s">
        <v>43</v>
      </c>
      <c r="N362" t="s">
        <v>124</v>
      </c>
      <c r="O362" t="s">
        <v>96</v>
      </c>
      <c r="P362">
        <v>4</v>
      </c>
      <c r="Q362">
        <v>915.3</v>
      </c>
      <c r="R362" s="19">
        <v>0</v>
      </c>
      <c r="S362" s="21">
        <v>0</v>
      </c>
      <c r="T362">
        <v>3661.2</v>
      </c>
      <c r="U362" s="2">
        <v>3661.2</v>
      </c>
      <c r="V362">
        <v>162.08000000000001</v>
      </c>
      <c r="W362">
        <v>2680.97</v>
      </c>
      <c r="X362" s="2">
        <v>818.15</v>
      </c>
      <c r="Y362">
        <v>0.2235</v>
      </c>
      <c r="Z362">
        <v>0</v>
      </c>
      <c r="AA362" t="s">
        <v>97</v>
      </c>
      <c r="AB362" t="s">
        <v>47</v>
      </c>
      <c r="AE362" s="2">
        <v>3155.78</v>
      </c>
      <c r="AF362">
        <v>1.1601999999999999</v>
      </c>
      <c r="AG362" t="s">
        <v>49</v>
      </c>
      <c r="AH362" s="23">
        <f>SUM(Amazon_Data_Set[[#This Row],[Gross Sales]]-Amazon_Data_Set[[#This Row],[Discount Amount]])</f>
        <v>3661.2</v>
      </c>
    </row>
    <row r="363" spans="1:34">
      <c r="A363" t="s">
        <v>1131</v>
      </c>
      <c r="B363" s="1">
        <v>46032</v>
      </c>
      <c r="C363" t="str">
        <f>TEXT(Amazon_Data_Set[[#This Row],[Order Date]],"mmm")</f>
        <v>Jan</v>
      </c>
      <c r="D363" t="s">
        <v>748</v>
      </c>
      <c r="E363" t="s">
        <v>64</v>
      </c>
      <c r="F363" t="s">
        <v>65</v>
      </c>
      <c r="G363" t="s">
        <v>54</v>
      </c>
      <c r="H363" t="s">
        <v>55</v>
      </c>
      <c r="I363" t="s">
        <v>73</v>
      </c>
      <c r="J363" t="s">
        <v>247</v>
      </c>
      <c r="K363" t="s">
        <v>248</v>
      </c>
      <c r="L363" t="s">
        <v>1132</v>
      </c>
      <c r="M363" t="s">
        <v>43</v>
      </c>
      <c r="N363" t="s">
        <v>124</v>
      </c>
      <c r="O363" t="s">
        <v>45</v>
      </c>
      <c r="P363">
        <v>2</v>
      </c>
      <c r="Q363">
        <v>30707.9</v>
      </c>
      <c r="R363" s="19">
        <v>0</v>
      </c>
      <c r="S363" s="21">
        <v>0</v>
      </c>
      <c r="T363">
        <v>61415.8</v>
      </c>
      <c r="U363" s="2">
        <v>61415.8</v>
      </c>
      <c r="V363">
        <v>87</v>
      </c>
      <c r="W363">
        <v>45772.85</v>
      </c>
      <c r="X363" s="2">
        <v>15555.95</v>
      </c>
      <c r="Y363">
        <v>0.25330000000000003</v>
      </c>
      <c r="Z363">
        <v>6</v>
      </c>
      <c r="AA363" t="s">
        <v>61</v>
      </c>
      <c r="AB363" t="s">
        <v>47</v>
      </c>
      <c r="AD363">
        <v>5</v>
      </c>
      <c r="AE363" s="2">
        <v>59186.3</v>
      </c>
      <c r="AF363">
        <v>1.0377000000000001</v>
      </c>
      <c r="AG363" t="s">
        <v>49</v>
      </c>
      <c r="AH363" s="23">
        <f>SUM(Amazon_Data_Set[[#This Row],[Gross Sales]]-Amazon_Data_Set[[#This Row],[Discount Amount]])</f>
        <v>61415.8</v>
      </c>
    </row>
    <row r="364" spans="1:34">
      <c r="A364" t="s">
        <v>1133</v>
      </c>
      <c r="B364" s="1">
        <v>46222</v>
      </c>
      <c r="C364" t="str">
        <f>TEXT(Amazon_Data_Set[[#This Row],[Order Date]],"mmm")</f>
        <v>Jul</v>
      </c>
      <c r="D364" t="s">
        <v>669</v>
      </c>
      <c r="E364" t="s">
        <v>100</v>
      </c>
      <c r="F364" t="s">
        <v>101</v>
      </c>
      <c r="G364" t="s">
        <v>54</v>
      </c>
      <c r="H364" t="s">
        <v>38</v>
      </c>
      <c r="I364" t="s">
        <v>39</v>
      </c>
      <c r="J364" t="s">
        <v>155</v>
      </c>
      <c r="K364" t="s">
        <v>156</v>
      </c>
      <c r="L364" t="s">
        <v>1134</v>
      </c>
      <c r="M364" t="s">
        <v>43</v>
      </c>
      <c r="N364" t="s">
        <v>95</v>
      </c>
      <c r="O364" t="s">
        <v>45</v>
      </c>
      <c r="P364">
        <v>5</v>
      </c>
      <c r="Q364">
        <v>4322.45</v>
      </c>
      <c r="R364" s="19">
        <v>0.05</v>
      </c>
      <c r="S364" s="21">
        <v>1080.6099999999999</v>
      </c>
      <c r="T364">
        <v>21612.25</v>
      </c>
      <c r="U364" s="2">
        <v>20531.64</v>
      </c>
      <c r="V364">
        <v>140.83000000000001</v>
      </c>
      <c r="W364">
        <v>15322.28</v>
      </c>
      <c r="X364" s="2">
        <v>5068.53</v>
      </c>
      <c r="Y364">
        <v>0.24690000000000001</v>
      </c>
      <c r="Z364">
        <v>5</v>
      </c>
      <c r="AA364" t="s">
        <v>61</v>
      </c>
      <c r="AB364" t="s">
        <v>47</v>
      </c>
      <c r="AD364">
        <v>4</v>
      </c>
      <c r="AE364" s="2">
        <v>17641.419999999998</v>
      </c>
      <c r="AF364">
        <v>1.1637999999999999</v>
      </c>
      <c r="AG364" t="s">
        <v>49</v>
      </c>
      <c r="AH364" s="23">
        <f>SUM(Amazon_Data_Set[[#This Row],[Gross Sales]]-Amazon_Data_Set[[#This Row],[Discount Amount]])</f>
        <v>20531.64</v>
      </c>
    </row>
    <row r="365" spans="1:34">
      <c r="A365" t="s">
        <v>1135</v>
      </c>
      <c r="B365" s="1">
        <v>46378</v>
      </c>
      <c r="C365" t="str">
        <f>TEXT(Amazon_Data_Set[[#This Row],[Order Date]],"mmm")</f>
        <v>Dec</v>
      </c>
      <c r="D365" t="s">
        <v>1136</v>
      </c>
      <c r="E365" t="s">
        <v>109</v>
      </c>
      <c r="F365" t="s">
        <v>110</v>
      </c>
      <c r="G365" t="s">
        <v>111</v>
      </c>
      <c r="H365" t="s">
        <v>38</v>
      </c>
      <c r="I365" t="s">
        <v>161</v>
      </c>
      <c r="J365" t="s">
        <v>162</v>
      </c>
      <c r="K365" t="s">
        <v>163</v>
      </c>
      <c r="L365" t="s">
        <v>1137</v>
      </c>
      <c r="M365" t="s">
        <v>106</v>
      </c>
      <c r="N365" t="s">
        <v>70</v>
      </c>
      <c r="O365" t="s">
        <v>130</v>
      </c>
      <c r="P365">
        <v>2</v>
      </c>
      <c r="Q365">
        <v>3808.58</v>
      </c>
      <c r="R365" s="19">
        <v>0.2</v>
      </c>
      <c r="S365" s="21">
        <v>1523.43</v>
      </c>
      <c r="T365">
        <v>7617.16</v>
      </c>
      <c r="U365" s="2">
        <v>6093.73</v>
      </c>
      <c r="V365">
        <v>134.86000000000001</v>
      </c>
      <c r="W365">
        <v>4565.37</v>
      </c>
      <c r="X365" s="2">
        <v>1393.5</v>
      </c>
      <c r="Y365">
        <v>0.22869999999999999</v>
      </c>
      <c r="Z365">
        <v>8</v>
      </c>
      <c r="AA365" t="s">
        <v>131</v>
      </c>
      <c r="AB365" t="s">
        <v>47</v>
      </c>
      <c r="AE365" s="2">
        <v>7453.38</v>
      </c>
      <c r="AF365">
        <v>0.81759999999999999</v>
      </c>
      <c r="AG365" t="s">
        <v>49</v>
      </c>
      <c r="AH365" s="23">
        <f>SUM(Amazon_Data_Set[[#This Row],[Gross Sales]]-Amazon_Data_Set[[#This Row],[Discount Amount]])</f>
        <v>6093.73</v>
      </c>
    </row>
    <row r="366" spans="1:34">
      <c r="A366" t="s">
        <v>1138</v>
      </c>
      <c r="B366" s="1">
        <v>46300</v>
      </c>
      <c r="C366" t="str">
        <f>TEXT(Amazon_Data_Set[[#This Row],[Order Date]],"mmm")</f>
        <v>Oct</v>
      </c>
      <c r="D366" t="s">
        <v>1139</v>
      </c>
      <c r="E366" t="s">
        <v>64</v>
      </c>
      <c r="F366" t="s">
        <v>65</v>
      </c>
      <c r="G366" t="s">
        <v>54</v>
      </c>
      <c r="H366" t="s">
        <v>38</v>
      </c>
      <c r="I366" t="s">
        <v>39</v>
      </c>
      <c r="J366" t="s">
        <v>40</v>
      </c>
      <c r="K366" t="s">
        <v>41</v>
      </c>
      <c r="L366" t="s">
        <v>1140</v>
      </c>
      <c r="M366" t="s">
        <v>43</v>
      </c>
      <c r="N366" t="s">
        <v>124</v>
      </c>
      <c r="O366" t="s">
        <v>45</v>
      </c>
      <c r="P366">
        <v>4</v>
      </c>
      <c r="Q366">
        <v>1143.04</v>
      </c>
      <c r="R366" s="19">
        <v>0.25</v>
      </c>
      <c r="S366" s="21">
        <v>1143.04</v>
      </c>
      <c r="T366">
        <v>4572.16</v>
      </c>
      <c r="U366" s="2">
        <v>3429.12</v>
      </c>
      <c r="V366">
        <v>197.62</v>
      </c>
      <c r="W366">
        <v>2501.9</v>
      </c>
      <c r="X366" s="2">
        <v>729.6</v>
      </c>
      <c r="Y366">
        <v>0.21279999999999999</v>
      </c>
      <c r="Z366">
        <v>2</v>
      </c>
      <c r="AA366" t="s">
        <v>46</v>
      </c>
      <c r="AB366" t="s">
        <v>47</v>
      </c>
      <c r="AD366">
        <v>4</v>
      </c>
      <c r="AE366" s="2">
        <v>3192.92</v>
      </c>
      <c r="AF366">
        <v>1.0740000000000001</v>
      </c>
      <c r="AG366" t="s">
        <v>49</v>
      </c>
      <c r="AH366" s="23">
        <f>SUM(Amazon_Data_Set[[#This Row],[Gross Sales]]-Amazon_Data_Set[[#This Row],[Discount Amount]])</f>
        <v>3429.12</v>
      </c>
    </row>
    <row r="367" spans="1:34">
      <c r="A367" t="s">
        <v>1141</v>
      </c>
      <c r="B367" s="1">
        <v>46104</v>
      </c>
      <c r="C367" t="str">
        <f>TEXT(Amazon_Data_Set[[#This Row],[Order Date]],"mmm")</f>
        <v>Mar</v>
      </c>
      <c r="D367" t="s">
        <v>987</v>
      </c>
      <c r="E367" t="s">
        <v>100</v>
      </c>
      <c r="F367" t="s">
        <v>179</v>
      </c>
      <c r="G367" t="s">
        <v>54</v>
      </c>
      <c r="H367" t="s">
        <v>38</v>
      </c>
      <c r="I367" t="s">
        <v>161</v>
      </c>
      <c r="J367" t="s">
        <v>223</v>
      </c>
      <c r="K367" t="s">
        <v>224</v>
      </c>
      <c r="L367" t="s">
        <v>1142</v>
      </c>
      <c r="M367" t="s">
        <v>43</v>
      </c>
      <c r="N367" t="s">
        <v>44</v>
      </c>
      <c r="O367" t="s">
        <v>45</v>
      </c>
      <c r="P367">
        <v>1</v>
      </c>
      <c r="Q367">
        <v>3476.86</v>
      </c>
      <c r="R367" s="19">
        <v>0.3</v>
      </c>
      <c r="S367" s="21">
        <v>1043.06</v>
      </c>
      <c r="T367">
        <v>3476.86</v>
      </c>
      <c r="U367" s="2">
        <v>2433.8000000000002</v>
      </c>
      <c r="V367">
        <v>87.54</v>
      </c>
      <c r="W367">
        <v>1572.05</v>
      </c>
      <c r="X367" s="2">
        <v>774.21</v>
      </c>
      <c r="Y367">
        <v>0.31809999999999999</v>
      </c>
      <c r="Z367">
        <v>3</v>
      </c>
      <c r="AA367" t="s">
        <v>46</v>
      </c>
      <c r="AB367" t="s">
        <v>47</v>
      </c>
      <c r="AD367">
        <v>5</v>
      </c>
      <c r="AE367" s="2">
        <v>2922.1</v>
      </c>
      <c r="AF367">
        <v>0.83289999999999997</v>
      </c>
      <c r="AG367" t="s">
        <v>49</v>
      </c>
      <c r="AH367" s="23">
        <f>SUM(Amazon_Data_Set[[#This Row],[Gross Sales]]-Amazon_Data_Set[[#This Row],[Discount Amount]])</f>
        <v>2433.8000000000002</v>
      </c>
    </row>
    <row r="368" spans="1:34">
      <c r="A368" t="s">
        <v>1143</v>
      </c>
      <c r="B368" s="1">
        <v>46223</v>
      </c>
      <c r="C368" t="str">
        <f>TEXT(Amazon_Data_Set[[#This Row],[Order Date]],"mmm")</f>
        <v>Jul</v>
      </c>
      <c r="D368" t="s">
        <v>1144</v>
      </c>
      <c r="E368" t="s">
        <v>64</v>
      </c>
      <c r="F368" t="s">
        <v>65</v>
      </c>
      <c r="G368" t="s">
        <v>54</v>
      </c>
      <c r="H368" t="s">
        <v>83</v>
      </c>
      <c r="I368" t="s">
        <v>102</v>
      </c>
      <c r="J368" t="s">
        <v>373</v>
      </c>
      <c r="K368" t="s">
        <v>374</v>
      </c>
      <c r="L368" t="s">
        <v>1145</v>
      </c>
      <c r="M368" t="s">
        <v>43</v>
      </c>
      <c r="N368" t="s">
        <v>124</v>
      </c>
      <c r="O368" t="s">
        <v>45</v>
      </c>
      <c r="P368">
        <v>3</v>
      </c>
      <c r="Q368">
        <v>181.99</v>
      </c>
      <c r="R368" s="19">
        <v>0.1</v>
      </c>
      <c r="S368" s="21">
        <v>54.6</v>
      </c>
      <c r="T368">
        <v>545.97</v>
      </c>
      <c r="U368" s="2">
        <v>491.37</v>
      </c>
      <c r="V368">
        <v>139.22999999999999</v>
      </c>
      <c r="W368">
        <v>261.73</v>
      </c>
      <c r="X368" s="2">
        <v>90.41</v>
      </c>
      <c r="Y368">
        <v>0.184</v>
      </c>
      <c r="Z368">
        <v>3</v>
      </c>
      <c r="AA368" t="s">
        <v>46</v>
      </c>
      <c r="AB368" t="s">
        <v>48</v>
      </c>
      <c r="AC368" t="s">
        <v>320</v>
      </c>
      <c r="AD368">
        <v>4</v>
      </c>
      <c r="AE368" s="2">
        <v>543.14</v>
      </c>
      <c r="AF368">
        <v>0.90469999999999995</v>
      </c>
      <c r="AG368" t="s">
        <v>49</v>
      </c>
      <c r="AH368" s="23">
        <f>SUM(Amazon_Data_Set[[#This Row],[Gross Sales]]-Amazon_Data_Set[[#This Row],[Discount Amount]])</f>
        <v>491.37</v>
      </c>
    </row>
    <row r="369" spans="1:34">
      <c r="A369" t="s">
        <v>1146</v>
      </c>
      <c r="B369" s="1">
        <v>46352</v>
      </c>
      <c r="C369" t="str">
        <f>TEXT(Amazon_Data_Set[[#This Row],[Order Date]],"mmm")</f>
        <v>Nov</v>
      </c>
      <c r="D369" t="s">
        <v>1147</v>
      </c>
      <c r="E369" t="s">
        <v>80</v>
      </c>
      <c r="F369" t="s">
        <v>81</v>
      </c>
      <c r="G369" t="s">
        <v>82</v>
      </c>
      <c r="H369" t="s">
        <v>90</v>
      </c>
      <c r="I369" t="s">
        <v>91</v>
      </c>
      <c r="J369" t="s">
        <v>313</v>
      </c>
      <c r="K369" t="s">
        <v>314</v>
      </c>
      <c r="L369" t="s">
        <v>1148</v>
      </c>
      <c r="M369" t="s">
        <v>106</v>
      </c>
      <c r="N369" t="s">
        <v>70</v>
      </c>
      <c r="O369" t="s">
        <v>45</v>
      </c>
      <c r="P369">
        <v>5</v>
      </c>
      <c r="Q369">
        <v>1636.27</v>
      </c>
      <c r="R369" s="19">
        <v>0</v>
      </c>
      <c r="S369" s="21">
        <v>0</v>
      </c>
      <c r="T369">
        <v>8181.35</v>
      </c>
      <c r="U369" s="2">
        <v>8181.35</v>
      </c>
      <c r="V369">
        <v>7.1</v>
      </c>
      <c r="W369">
        <v>5874.05</v>
      </c>
      <c r="X369" s="2">
        <v>2300.1999999999998</v>
      </c>
      <c r="Y369">
        <v>0.28120000000000001</v>
      </c>
      <c r="Z369">
        <v>2</v>
      </c>
      <c r="AA369" t="s">
        <v>46</v>
      </c>
      <c r="AB369" t="s">
        <v>47</v>
      </c>
      <c r="AD369">
        <v>4</v>
      </c>
      <c r="AE369" s="2">
        <v>8662.2999999999993</v>
      </c>
      <c r="AF369">
        <v>0.94450000000000001</v>
      </c>
      <c r="AG369" t="s">
        <v>49</v>
      </c>
      <c r="AH369" s="23">
        <f>SUM(Amazon_Data_Set[[#This Row],[Gross Sales]]-Amazon_Data_Set[[#This Row],[Discount Amount]])</f>
        <v>8181.35</v>
      </c>
    </row>
    <row r="370" spans="1:34">
      <c r="A370" t="s">
        <v>1149</v>
      </c>
      <c r="B370" s="1">
        <v>46151</v>
      </c>
      <c r="C370" t="str">
        <f>TEXT(Amazon_Data_Set[[#This Row],[Order Date]],"mmm")</f>
        <v>May</v>
      </c>
      <c r="D370" t="s">
        <v>411</v>
      </c>
      <c r="E370" t="s">
        <v>149</v>
      </c>
      <c r="F370" t="s">
        <v>150</v>
      </c>
      <c r="G370" t="s">
        <v>37</v>
      </c>
      <c r="H370" t="s">
        <v>90</v>
      </c>
      <c r="I370" t="s">
        <v>112</v>
      </c>
      <c r="J370" t="s">
        <v>134</v>
      </c>
      <c r="K370" t="s">
        <v>135</v>
      </c>
      <c r="L370" t="s">
        <v>1150</v>
      </c>
      <c r="M370" t="s">
        <v>43</v>
      </c>
      <c r="N370" t="s">
        <v>77</v>
      </c>
      <c r="O370" t="s">
        <v>130</v>
      </c>
      <c r="P370">
        <v>5</v>
      </c>
      <c r="Q370">
        <v>502.26</v>
      </c>
      <c r="R370" s="19">
        <v>0</v>
      </c>
      <c r="S370" s="21">
        <v>0</v>
      </c>
      <c r="T370">
        <v>2511.3000000000002</v>
      </c>
      <c r="U370" s="2">
        <v>2511.3000000000002</v>
      </c>
      <c r="V370">
        <v>8.61</v>
      </c>
      <c r="W370">
        <v>1779.32</v>
      </c>
      <c r="X370" s="2">
        <v>723.37</v>
      </c>
      <c r="Y370">
        <v>0.28799999999999998</v>
      </c>
      <c r="Z370">
        <v>7</v>
      </c>
      <c r="AA370" t="s">
        <v>131</v>
      </c>
      <c r="AB370" t="s">
        <v>47</v>
      </c>
      <c r="AE370" s="2">
        <v>2294.5100000000002</v>
      </c>
      <c r="AF370">
        <v>1.0945</v>
      </c>
      <c r="AG370" t="s">
        <v>49</v>
      </c>
      <c r="AH370" s="23">
        <f>SUM(Amazon_Data_Set[[#This Row],[Gross Sales]]-Amazon_Data_Set[[#This Row],[Discount Amount]])</f>
        <v>2511.3000000000002</v>
      </c>
    </row>
    <row r="371" spans="1:34">
      <c r="A371" t="s">
        <v>1151</v>
      </c>
      <c r="B371" s="1">
        <v>46148</v>
      </c>
      <c r="C371" t="str">
        <f>TEXT(Amazon_Data_Set[[#This Row],[Order Date]],"mmm")</f>
        <v>May</v>
      </c>
      <c r="D371" t="s">
        <v>160</v>
      </c>
      <c r="E371" t="s">
        <v>109</v>
      </c>
      <c r="F371" t="s">
        <v>154</v>
      </c>
      <c r="G371" t="s">
        <v>111</v>
      </c>
      <c r="H371" t="s">
        <v>142</v>
      </c>
      <c r="I371" t="s">
        <v>143</v>
      </c>
      <c r="J371" t="s">
        <v>183</v>
      </c>
      <c r="K371" t="s">
        <v>184</v>
      </c>
      <c r="L371" t="s">
        <v>1152</v>
      </c>
      <c r="M371" t="s">
        <v>43</v>
      </c>
      <c r="N371" t="s">
        <v>70</v>
      </c>
      <c r="O371" t="s">
        <v>130</v>
      </c>
      <c r="P371">
        <v>4</v>
      </c>
      <c r="Q371">
        <v>1035.02</v>
      </c>
      <c r="R371" s="19">
        <v>0.25</v>
      </c>
      <c r="S371" s="21">
        <v>1035.02</v>
      </c>
      <c r="T371">
        <v>4140.08</v>
      </c>
      <c r="U371" s="2">
        <v>3105.06</v>
      </c>
      <c r="V371">
        <v>117.79</v>
      </c>
      <c r="W371">
        <v>2099.91</v>
      </c>
      <c r="X371" s="2">
        <v>887.36</v>
      </c>
      <c r="Y371">
        <v>0.2858</v>
      </c>
      <c r="Z371">
        <v>2</v>
      </c>
      <c r="AA371" t="s">
        <v>131</v>
      </c>
      <c r="AB371" t="s">
        <v>47</v>
      </c>
      <c r="AE371" s="2">
        <v>3631.38</v>
      </c>
      <c r="AF371">
        <v>0.85509999999999997</v>
      </c>
      <c r="AG371" t="s">
        <v>49</v>
      </c>
      <c r="AH371" s="23">
        <f>SUM(Amazon_Data_Set[[#This Row],[Gross Sales]]-Amazon_Data_Set[[#This Row],[Discount Amount]])</f>
        <v>3105.06</v>
      </c>
    </row>
    <row r="372" spans="1:34">
      <c r="A372" t="s">
        <v>1153</v>
      </c>
      <c r="B372" s="1">
        <v>46222</v>
      </c>
      <c r="C372" t="str">
        <f>TEXT(Amazon_Data_Set[[#This Row],[Order Date]],"mmm")</f>
        <v>Jul</v>
      </c>
      <c r="D372" t="s">
        <v>72</v>
      </c>
      <c r="E372" t="s">
        <v>174</v>
      </c>
      <c r="F372" t="s">
        <v>175</v>
      </c>
      <c r="G372" t="s">
        <v>82</v>
      </c>
      <c r="H372" t="s">
        <v>38</v>
      </c>
      <c r="I372" t="s">
        <v>161</v>
      </c>
      <c r="J372" t="s">
        <v>297</v>
      </c>
      <c r="K372" t="s">
        <v>298</v>
      </c>
      <c r="L372" t="s">
        <v>1154</v>
      </c>
      <c r="M372" t="s">
        <v>43</v>
      </c>
      <c r="N372" t="s">
        <v>77</v>
      </c>
      <c r="O372" t="s">
        <v>45</v>
      </c>
      <c r="P372">
        <v>4</v>
      </c>
      <c r="Q372">
        <v>729.6</v>
      </c>
      <c r="R372" s="19">
        <v>0</v>
      </c>
      <c r="S372" s="21">
        <v>0</v>
      </c>
      <c r="T372">
        <v>2918.4</v>
      </c>
      <c r="U372" s="2">
        <v>2918.4</v>
      </c>
      <c r="V372">
        <v>223.62</v>
      </c>
      <c r="W372">
        <v>1859.27</v>
      </c>
      <c r="X372" s="2">
        <v>835.51</v>
      </c>
      <c r="Y372">
        <v>0.2863</v>
      </c>
      <c r="Z372">
        <v>3</v>
      </c>
      <c r="AA372" t="s">
        <v>46</v>
      </c>
      <c r="AB372" t="s">
        <v>47</v>
      </c>
      <c r="AD372">
        <v>4</v>
      </c>
      <c r="AE372" s="2">
        <v>3083.73</v>
      </c>
      <c r="AF372">
        <v>0.94640000000000002</v>
      </c>
      <c r="AG372" t="s">
        <v>49</v>
      </c>
      <c r="AH372" s="23">
        <f>SUM(Amazon_Data_Set[[#This Row],[Gross Sales]]-Amazon_Data_Set[[#This Row],[Discount Amount]])</f>
        <v>2918.4</v>
      </c>
    </row>
    <row r="373" spans="1:34">
      <c r="A373" t="s">
        <v>1155</v>
      </c>
      <c r="B373" s="1">
        <v>46322</v>
      </c>
      <c r="C373" t="str">
        <f>TEXT(Amazon_Data_Set[[#This Row],[Order Date]],"mmm")</f>
        <v>Oct</v>
      </c>
      <c r="D373" t="s">
        <v>108</v>
      </c>
      <c r="E373" t="s">
        <v>140</v>
      </c>
      <c r="F373" t="s">
        <v>141</v>
      </c>
      <c r="G373" t="s">
        <v>54</v>
      </c>
      <c r="H373" t="s">
        <v>142</v>
      </c>
      <c r="I373" t="s">
        <v>209</v>
      </c>
      <c r="J373" t="s">
        <v>210</v>
      </c>
      <c r="K373" t="s">
        <v>201</v>
      </c>
      <c r="L373" t="s">
        <v>1156</v>
      </c>
      <c r="M373" t="s">
        <v>106</v>
      </c>
      <c r="N373" t="s">
        <v>60</v>
      </c>
      <c r="O373" t="s">
        <v>130</v>
      </c>
      <c r="P373">
        <v>3</v>
      </c>
      <c r="Q373">
        <v>11550.78</v>
      </c>
      <c r="R373" s="19">
        <v>0.15</v>
      </c>
      <c r="S373" s="21">
        <v>5197.8500000000004</v>
      </c>
      <c r="T373">
        <v>34652.339999999997</v>
      </c>
      <c r="U373" s="2">
        <v>29454.49</v>
      </c>
      <c r="V373">
        <v>126.01</v>
      </c>
      <c r="W373">
        <v>20331.77</v>
      </c>
      <c r="X373" s="2">
        <v>8996.7099999999991</v>
      </c>
      <c r="Y373">
        <v>0.3054</v>
      </c>
      <c r="Z373">
        <v>3</v>
      </c>
      <c r="AA373" t="s">
        <v>131</v>
      </c>
      <c r="AB373" t="s">
        <v>47</v>
      </c>
      <c r="AE373" s="2">
        <v>31092.76</v>
      </c>
      <c r="AF373">
        <v>0.94730000000000003</v>
      </c>
      <c r="AG373" t="s">
        <v>49</v>
      </c>
      <c r="AH373" s="23">
        <f>SUM(Amazon_Data_Set[[#This Row],[Gross Sales]]-Amazon_Data_Set[[#This Row],[Discount Amount]])</f>
        <v>29454.489999999998</v>
      </c>
    </row>
    <row r="374" spans="1:34">
      <c r="A374" t="s">
        <v>1157</v>
      </c>
      <c r="B374" s="1">
        <v>46366</v>
      </c>
      <c r="C374" t="str">
        <f>TEXT(Amazon_Data_Set[[#This Row],[Order Date]],"mmm")</f>
        <v>Dec</v>
      </c>
      <c r="D374" t="s">
        <v>239</v>
      </c>
      <c r="E374" t="s">
        <v>35</v>
      </c>
      <c r="F374" t="s">
        <v>36</v>
      </c>
      <c r="G374" t="s">
        <v>37</v>
      </c>
      <c r="H374" t="s">
        <v>90</v>
      </c>
      <c r="I374" t="s">
        <v>252</v>
      </c>
      <c r="J374" t="s">
        <v>528</v>
      </c>
      <c r="K374" t="s">
        <v>529</v>
      </c>
      <c r="L374" t="s">
        <v>1158</v>
      </c>
      <c r="M374" t="s">
        <v>43</v>
      </c>
      <c r="N374" t="s">
        <v>77</v>
      </c>
      <c r="O374" t="s">
        <v>45</v>
      </c>
      <c r="P374">
        <v>2</v>
      </c>
      <c r="Q374">
        <v>1700.38</v>
      </c>
      <c r="R374" s="19">
        <v>0.25</v>
      </c>
      <c r="S374" s="21">
        <v>850.19</v>
      </c>
      <c r="T374">
        <v>3400.76</v>
      </c>
      <c r="U374" s="2">
        <v>2550.5700000000002</v>
      </c>
      <c r="V374">
        <v>35.049999999999997</v>
      </c>
      <c r="W374">
        <v>1507.78</v>
      </c>
      <c r="X374" s="2">
        <v>1007.74</v>
      </c>
      <c r="Y374">
        <v>0.39510000000000001</v>
      </c>
      <c r="Z374">
        <v>3</v>
      </c>
      <c r="AA374" t="s">
        <v>46</v>
      </c>
      <c r="AB374" t="s">
        <v>47</v>
      </c>
      <c r="AD374">
        <v>4</v>
      </c>
      <c r="AE374" s="2">
        <v>3092.7</v>
      </c>
      <c r="AF374">
        <v>0.82469999999999999</v>
      </c>
      <c r="AG374" t="s">
        <v>49</v>
      </c>
      <c r="AH374" s="23">
        <f>SUM(Amazon_Data_Set[[#This Row],[Gross Sales]]-Amazon_Data_Set[[#This Row],[Discount Amount]])</f>
        <v>2550.5700000000002</v>
      </c>
    </row>
    <row r="375" spans="1:34">
      <c r="A375" t="s">
        <v>1159</v>
      </c>
      <c r="B375" s="1">
        <v>46351</v>
      </c>
      <c r="C375" t="str">
        <f>TEXT(Amazon_Data_Set[[#This Row],[Order Date]],"mmm")</f>
        <v>Nov</v>
      </c>
      <c r="D375" t="s">
        <v>178</v>
      </c>
      <c r="E375" t="s">
        <v>194</v>
      </c>
      <c r="F375" t="s">
        <v>195</v>
      </c>
      <c r="G375" t="s">
        <v>111</v>
      </c>
      <c r="H375" t="s">
        <v>90</v>
      </c>
      <c r="I375" t="s">
        <v>91</v>
      </c>
      <c r="J375" t="s">
        <v>313</v>
      </c>
      <c r="K375" t="s">
        <v>314</v>
      </c>
      <c r="L375" t="s">
        <v>1160</v>
      </c>
      <c r="M375" t="s">
        <v>43</v>
      </c>
      <c r="N375" t="s">
        <v>60</v>
      </c>
      <c r="O375" t="s">
        <v>130</v>
      </c>
      <c r="P375">
        <v>2</v>
      </c>
      <c r="Q375">
        <v>87.01</v>
      </c>
      <c r="R375" s="19">
        <v>0.15</v>
      </c>
      <c r="S375" s="21">
        <v>26.1</v>
      </c>
      <c r="T375">
        <v>174.02</v>
      </c>
      <c r="U375" s="2">
        <v>147.91999999999999</v>
      </c>
      <c r="V375">
        <v>173.37</v>
      </c>
      <c r="W375">
        <v>107.72</v>
      </c>
      <c r="X375" s="2">
        <v>-133.16999999999999</v>
      </c>
      <c r="Y375">
        <v>-0.90029999999999999</v>
      </c>
      <c r="Z375">
        <v>6</v>
      </c>
      <c r="AA375" t="s">
        <v>131</v>
      </c>
      <c r="AB375" t="s">
        <v>47</v>
      </c>
      <c r="AE375" s="2">
        <v>166.9</v>
      </c>
      <c r="AF375">
        <v>0.88629999999999998</v>
      </c>
      <c r="AG375" t="s">
        <v>49</v>
      </c>
      <c r="AH375" s="23">
        <f>SUM(Amazon_Data_Set[[#This Row],[Gross Sales]]-Amazon_Data_Set[[#This Row],[Discount Amount]])</f>
        <v>147.92000000000002</v>
      </c>
    </row>
    <row r="376" spans="1:34">
      <c r="A376" t="s">
        <v>1161</v>
      </c>
      <c r="B376" s="1">
        <v>46166</v>
      </c>
      <c r="C376" t="str">
        <f>TEXT(Amazon_Data_Set[[#This Row],[Order Date]],"mmm")</f>
        <v>May</v>
      </c>
      <c r="D376" t="s">
        <v>411</v>
      </c>
      <c r="E376" t="s">
        <v>100</v>
      </c>
      <c r="F376" t="s">
        <v>179</v>
      </c>
      <c r="G376" t="s">
        <v>54</v>
      </c>
      <c r="H376" t="s">
        <v>55</v>
      </c>
      <c r="I376" t="s">
        <v>73</v>
      </c>
      <c r="J376" t="s">
        <v>247</v>
      </c>
      <c r="K376" t="s">
        <v>248</v>
      </c>
      <c r="L376" t="s">
        <v>1162</v>
      </c>
      <c r="M376" t="s">
        <v>43</v>
      </c>
      <c r="N376" t="s">
        <v>70</v>
      </c>
      <c r="O376" t="s">
        <v>45</v>
      </c>
      <c r="P376">
        <v>1</v>
      </c>
      <c r="Q376">
        <v>51885.62</v>
      </c>
      <c r="R376" s="19">
        <v>0.1</v>
      </c>
      <c r="S376" s="21">
        <v>5188.5600000000004</v>
      </c>
      <c r="T376">
        <v>51885.62</v>
      </c>
      <c r="U376" s="2">
        <v>46697.06</v>
      </c>
      <c r="V376">
        <v>184.18</v>
      </c>
      <c r="W376">
        <v>30713.67</v>
      </c>
      <c r="X376" s="2">
        <v>15799.21</v>
      </c>
      <c r="Y376">
        <v>0.33829999999999999</v>
      </c>
      <c r="Z376">
        <v>2</v>
      </c>
      <c r="AA376" t="s">
        <v>46</v>
      </c>
      <c r="AB376" t="s">
        <v>47</v>
      </c>
      <c r="AD376">
        <v>4</v>
      </c>
      <c r="AE376" s="2">
        <v>51886.71</v>
      </c>
      <c r="AF376">
        <v>0.9</v>
      </c>
      <c r="AG376" t="s">
        <v>49</v>
      </c>
      <c r="AH376" s="23">
        <f>SUM(Amazon_Data_Set[[#This Row],[Gross Sales]]-Amazon_Data_Set[[#This Row],[Discount Amount]])</f>
        <v>46697.060000000005</v>
      </c>
    </row>
    <row r="377" spans="1:34">
      <c r="A377" t="s">
        <v>1163</v>
      </c>
      <c r="B377" s="1">
        <v>46026</v>
      </c>
      <c r="C377" t="str">
        <f>TEXT(Amazon_Data_Set[[#This Row],[Order Date]],"mmm")</f>
        <v>Jan</v>
      </c>
      <c r="D377" t="s">
        <v>1164</v>
      </c>
      <c r="E377" t="s">
        <v>118</v>
      </c>
      <c r="F377" t="s">
        <v>119</v>
      </c>
      <c r="G377" t="s">
        <v>82</v>
      </c>
      <c r="H377" t="s">
        <v>83</v>
      </c>
      <c r="I377" t="s">
        <v>84</v>
      </c>
      <c r="J377" t="s">
        <v>277</v>
      </c>
      <c r="K377" t="s">
        <v>86</v>
      </c>
      <c r="L377" t="s">
        <v>1165</v>
      </c>
      <c r="M377" t="s">
        <v>106</v>
      </c>
      <c r="N377" t="s">
        <v>60</v>
      </c>
      <c r="O377" t="s">
        <v>45</v>
      </c>
      <c r="P377">
        <v>5</v>
      </c>
      <c r="Q377">
        <v>1081.07</v>
      </c>
      <c r="R377" s="19">
        <v>0.1</v>
      </c>
      <c r="S377" s="21">
        <v>540.54</v>
      </c>
      <c r="T377">
        <v>5405.35</v>
      </c>
      <c r="U377" s="2">
        <v>4864.8100000000004</v>
      </c>
      <c r="V377">
        <v>242.06</v>
      </c>
      <c r="W377">
        <v>3012.62</v>
      </c>
      <c r="X377" s="2">
        <v>1610.13</v>
      </c>
      <c r="Y377">
        <v>0.33100000000000002</v>
      </c>
      <c r="Z377">
        <v>4</v>
      </c>
      <c r="AA377" t="s">
        <v>46</v>
      </c>
      <c r="AB377" t="s">
        <v>47</v>
      </c>
      <c r="AD377">
        <v>5</v>
      </c>
      <c r="AE377" s="2">
        <v>4643.62</v>
      </c>
      <c r="AF377">
        <v>1.0476000000000001</v>
      </c>
      <c r="AG377" t="s">
        <v>49</v>
      </c>
      <c r="AH377" s="23">
        <f>SUM(Amazon_Data_Set[[#This Row],[Gross Sales]]-Amazon_Data_Set[[#This Row],[Discount Amount]])</f>
        <v>4864.8100000000004</v>
      </c>
    </row>
    <row r="378" spans="1:34">
      <c r="A378" t="s">
        <v>1166</v>
      </c>
      <c r="B378" s="1">
        <v>46050</v>
      </c>
      <c r="C378" t="str">
        <f>TEXT(Amazon_Data_Set[[#This Row],[Order Date]],"mmm")</f>
        <v>Jan</v>
      </c>
      <c r="D378" t="s">
        <v>437</v>
      </c>
      <c r="E378" t="s">
        <v>167</v>
      </c>
      <c r="F378" t="s">
        <v>168</v>
      </c>
      <c r="G378" t="s">
        <v>111</v>
      </c>
      <c r="H378" t="s">
        <v>142</v>
      </c>
      <c r="I378" t="s">
        <v>143</v>
      </c>
      <c r="J378" t="s">
        <v>183</v>
      </c>
      <c r="K378" t="s">
        <v>184</v>
      </c>
      <c r="L378" t="s">
        <v>1167</v>
      </c>
      <c r="M378" t="s">
        <v>106</v>
      </c>
      <c r="N378" t="s">
        <v>95</v>
      </c>
      <c r="O378" t="s">
        <v>130</v>
      </c>
      <c r="P378">
        <v>3</v>
      </c>
      <c r="Q378">
        <v>4405.21</v>
      </c>
      <c r="R378" s="19">
        <v>0.2</v>
      </c>
      <c r="S378" s="21">
        <v>2643.13</v>
      </c>
      <c r="T378">
        <v>13215.63</v>
      </c>
      <c r="U378" s="2">
        <v>10572.5</v>
      </c>
      <c r="V378">
        <v>224.44</v>
      </c>
      <c r="W378">
        <v>7505.17</v>
      </c>
      <c r="X378" s="2">
        <v>2842.89</v>
      </c>
      <c r="Y378">
        <v>0.26889999999999997</v>
      </c>
      <c r="Z378">
        <v>3</v>
      </c>
      <c r="AA378" t="s">
        <v>131</v>
      </c>
      <c r="AB378" t="s">
        <v>47</v>
      </c>
      <c r="AE378" s="2">
        <v>9227.82</v>
      </c>
      <c r="AF378">
        <v>1.1456999999999999</v>
      </c>
      <c r="AG378" t="s">
        <v>49</v>
      </c>
      <c r="AH378" s="23">
        <f>SUM(Amazon_Data_Set[[#This Row],[Gross Sales]]-Amazon_Data_Set[[#This Row],[Discount Amount]])</f>
        <v>10572.5</v>
      </c>
    </row>
    <row r="379" spans="1:34">
      <c r="A379" t="s">
        <v>1168</v>
      </c>
      <c r="B379" s="1">
        <v>46279</v>
      </c>
      <c r="C379" t="str">
        <f>TEXT(Amazon_Data_Set[[#This Row],[Order Date]],"mmm")</f>
        <v>Sep</v>
      </c>
      <c r="D379" t="s">
        <v>429</v>
      </c>
      <c r="E379" t="s">
        <v>35</v>
      </c>
      <c r="F379" t="s">
        <v>36</v>
      </c>
      <c r="G379" t="s">
        <v>37</v>
      </c>
      <c r="H379" t="s">
        <v>90</v>
      </c>
      <c r="I379" t="s">
        <v>112</v>
      </c>
      <c r="J379" t="s">
        <v>292</v>
      </c>
      <c r="K379" t="s">
        <v>293</v>
      </c>
      <c r="L379" t="s">
        <v>1169</v>
      </c>
      <c r="M379" t="s">
        <v>106</v>
      </c>
      <c r="N379" t="s">
        <v>60</v>
      </c>
      <c r="O379" t="s">
        <v>45</v>
      </c>
      <c r="P379">
        <v>3</v>
      </c>
      <c r="Q379">
        <v>233.87</v>
      </c>
      <c r="R379" s="19">
        <v>0</v>
      </c>
      <c r="S379" s="21">
        <v>0</v>
      </c>
      <c r="T379">
        <v>701.61</v>
      </c>
      <c r="U379" s="2">
        <v>701.61</v>
      </c>
      <c r="V379">
        <v>191.39</v>
      </c>
      <c r="W379">
        <v>384.05</v>
      </c>
      <c r="X379" s="2">
        <v>126.17</v>
      </c>
      <c r="Y379">
        <v>0.17979999999999999</v>
      </c>
      <c r="Z379">
        <v>2</v>
      </c>
      <c r="AA379" t="s">
        <v>46</v>
      </c>
      <c r="AB379" t="s">
        <v>47</v>
      </c>
      <c r="AD379">
        <v>4</v>
      </c>
      <c r="AE379" s="2">
        <v>739.21</v>
      </c>
      <c r="AF379">
        <v>0.94910000000000005</v>
      </c>
      <c r="AG379" t="s">
        <v>49</v>
      </c>
      <c r="AH379" s="23">
        <f>SUM(Amazon_Data_Set[[#This Row],[Gross Sales]]-Amazon_Data_Set[[#This Row],[Discount Amount]])</f>
        <v>701.61</v>
      </c>
    </row>
    <row r="380" spans="1:34">
      <c r="A380" t="s">
        <v>1170</v>
      </c>
      <c r="B380" s="1">
        <v>46208</v>
      </c>
      <c r="C380" t="str">
        <f>TEXT(Amazon_Data_Set[[#This Row],[Order Date]],"mmm")</f>
        <v>Jul</v>
      </c>
      <c r="D380" t="s">
        <v>349</v>
      </c>
      <c r="E380" t="s">
        <v>80</v>
      </c>
      <c r="F380" t="s">
        <v>81</v>
      </c>
      <c r="G380" t="s">
        <v>82</v>
      </c>
      <c r="H380" t="s">
        <v>55</v>
      </c>
      <c r="I380" t="s">
        <v>120</v>
      </c>
      <c r="J380" t="s">
        <v>344</v>
      </c>
      <c r="K380" t="s">
        <v>345</v>
      </c>
      <c r="L380" t="s">
        <v>1171</v>
      </c>
      <c r="M380" t="s">
        <v>106</v>
      </c>
      <c r="N380" t="s">
        <v>60</v>
      </c>
      <c r="O380" t="s">
        <v>45</v>
      </c>
      <c r="P380">
        <v>5</v>
      </c>
      <c r="Q380">
        <v>48720.55</v>
      </c>
      <c r="R380" s="19">
        <v>0.15</v>
      </c>
      <c r="S380" s="21">
        <v>36540.410000000003</v>
      </c>
      <c r="T380">
        <v>243602.75</v>
      </c>
      <c r="U380" s="2">
        <v>207062.34</v>
      </c>
      <c r="V380">
        <v>95.13</v>
      </c>
      <c r="W380">
        <v>110790.38</v>
      </c>
      <c r="X380" s="2">
        <v>96176.83</v>
      </c>
      <c r="Y380">
        <v>0.46450000000000002</v>
      </c>
      <c r="Z380">
        <v>5</v>
      </c>
      <c r="AA380" t="s">
        <v>61</v>
      </c>
      <c r="AB380" t="s">
        <v>47</v>
      </c>
      <c r="AD380">
        <v>4</v>
      </c>
      <c r="AE380" s="2">
        <v>192625.75</v>
      </c>
      <c r="AF380">
        <v>1.0749</v>
      </c>
      <c r="AG380" t="s">
        <v>49</v>
      </c>
      <c r="AH380" s="23">
        <f>SUM(Amazon_Data_Set[[#This Row],[Gross Sales]]-Amazon_Data_Set[[#This Row],[Discount Amount]])</f>
        <v>207062.34</v>
      </c>
    </row>
    <row r="381" spans="1:34">
      <c r="A381" t="s">
        <v>1172</v>
      </c>
      <c r="B381" s="1">
        <v>46079</v>
      </c>
      <c r="C381" t="str">
        <f>TEXT(Amazon_Data_Set[[#This Row],[Order Date]],"mmm")</f>
        <v>Feb</v>
      </c>
      <c r="D381" t="s">
        <v>1173</v>
      </c>
      <c r="E381" t="s">
        <v>235</v>
      </c>
      <c r="F381" t="s">
        <v>236</v>
      </c>
      <c r="G381" t="s">
        <v>82</v>
      </c>
      <c r="H381" t="s">
        <v>90</v>
      </c>
      <c r="I381" t="s">
        <v>112</v>
      </c>
      <c r="J381" t="s">
        <v>113</v>
      </c>
      <c r="K381" t="s">
        <v>114</v>
      </c>
      <c r="L381" t="s">
        <v>1174</v>
      </c>
      <c r="M381" t="s">
        <v>106</v>
      </c>
      <c r="N381" t="s">
        <v>60</v>
      </c>
      <c r="O381" t="s">
        <v>130</v>
      </c>
      <c r="P381">
        <v>1</v>
      </c>
      <c r="Q381">
        <v>1375.21</v>
      </c>
      <c r="R381" s="19">
        <v>0.25</v>
      </c>
      <c r="S381" s="21">
        <v>343.8</v>
      </c>
      <c r="T381">
        <v>1375.21</v>
      </c>
      <c r="U381" s="2">
        <v>1031.4100000000001</v>
      </c>
      <c r="V381">
        <v>133.44</v>
      </c>
      <c r="W381">
        <v>804.06</v>
      </c>
      <c r="X381" s="2">
        <v>93.91</v>
      </c>
      <c r="Y381">
        <v>9.11E-2</v>
      </c>
      <c r="Z381">
        <v>7</v>
      </c>
      <c r="AA381" t="s">
        <v>131</v>
      </c>
      <c r="AB381" t="s">
        <v>47</v>
      </c>
      <c r="AE381" s="2">
        <v>1050.82</v>
      </c>
      <c r="AF381">
        <v>0.98150000000000004</v>
      </c>
      <c r="AG381" t="s">
        <v>49</v>
      </c>
      <c r="AH381" s="23">
        <f>SUM(Amazon_Data_Set[[#This Row],[Gross Sales]]-Amazon_Data_Set[[#This Row],[Discount Amount]])</f>
        <v>1031.4100000000001</v>
      </c>
    </row>
    <row r="382" spans="1:34">
      <c r="A382" t="s">
        <v>1175</v>
      </c>
      <c r="B382" s="1">
        <v>46321</v>
      </c>
      <c r="C382" t="str">
        <f>TEXT(Amazon_Data_Set[[#This Row],[Order Date]],"mmm")</f>
        <v>Oct</v>
      </c>
      <c r="D382" t="s">
        <v>550</v>
      </c>
      <c r="E382" t="s">
        <v>100</v>
      </c>
      <c r="F382" t="s">
        <v>101</v>
      </c>
      <c r="G382" t="s">
        <v>54</v>
      </c>
      <c r="H382" t="s">
        <v>90</v>
      </c>
      <c r="I382" t="s">
        <v>91</v>
      </c>
      <c r="J382" t="s">
        <v>443</v>
      </c>
      <c r="K382" t="s">
        <v>444</v>
      </c>
      <c r="L382" t="s">
        <v>1176</v>
      </c>
      <c r="M382" t="s">
        <v>106</v>
      </c>
      <c r="N382" t="s">
        <v>77</v>
      </c>
      <c r="O382" t="s">
        <v>45</v>
      </c>
      <c r="P382">
        <v>5</v>
      </c>
      <c r="Q382">
        <v>80.34</v>
      </c>
      <c r="R382" s="19">
        <v>0.1</v>
      </c>
      <c r="S382" s="21">
        <v>40.17</v>
      </c>
      <c r="T382">
        <v>401.7</v>
      </c>
      <c r="U382" s="2">
        <v>361.53</v>
      </c>
      <c r="V382">
        <v>187.37</v>
      </c>
      <c r="W382">
        <v>213.47</v>
      </c>
      <c r="X382" s="2">
        <v>-39.31</v>
      </c>
      <c r="Y382">
        <v>-0.1087</v>
      </c>
      <c r="Z382">
        <v>1</v>
      </c>
      <c r="AA382" t="s">
        <v>46</v>
      </c>
      <c r="AB382" t="s">
        <v>47</v>
      </c>
      <c r="AD382">
        <v>4</v>
      </c>
      <c r="AE382" s="2">
        <v>347.5</v>
      </c>
      <c r="AF382">
        <v>1.0404</v>
      </c>
      <c r="AG382" t="s">
        <v>49</v>
      </c>
      <c r="AH382" s="23">
        <f>SUM(Amazon_Data_Set[[#This Row],[Gross Sales]]-Amazon_Data_Set[[#This Row],[Discount Amount]])</f>
        <v>361.53</v>
      </c>
    </row>
    <row r="383" spans="1:34">
      <c r="A383" t="s">
        <v>1177</v>
      </c>
      <c r="B383" s="1">
        <v>46129</v>
      </c>
      <c r="C383" t="str">
        <f>TEXT(Amazon_Data_Set[[#This Row],[Order Date]],"mmm")</f>
        <v>Apr</v>
      </c>
      <c r="D383" t="s">
        <v>624</v>
      </c>
      <c r="E383" t="s">
        <v>100</v>
      </c>
      <c r="F383" t="s">
        <v>101</v>
      </c>
      <c r="G383" t="s">
        <v>54</v>
      </c>
      <c r="H383" t="s">
        <v>90</v>
      </c>
      <c r="I383" t="s">
        <v>112</v>
      </c>
      <c r="J383" t="s">
        <v>113</v>
      </c>
      <c r="K383" t="s">
        <v>114</v>
      </c>
      <c r="L383" t="s">
        <v>1178</v>
      </c>
      <c r="M383" t="s">
        <v>106</v>
      </c>
      <c r="N383" t="s">
        <v>44</v>
      </c>
      <c r="O383" t="s">
        <v>45</v>
      </c>
      <c r="P383">
        <v>1</v>
      </c>
      <c r="Q383">
        <v>572.80999999999995</v>
      </c>
      <c r="R383" s="19">
        <v>0.05</v>
      </c>
      <c r="S383" s="21">
        <v>28.64</v>
      </c>
      <c r="T383">
        <v>572.80999999999995</v>
      </c>
      <c r="U383" s="2">
        <v>544.16999999999996</v>
      </c>
      <c r="V383">
        <v>51.68</v>
      </c>
      <c r="W383">
        <v>279.58</v>
      </c>
      <c r="X383" s="2">
        <v>212.91</v>
      </c>
      <c r="Y383">
        <v>0.39129999999999998</v>
      </c>
      <c r="Z383">
        <v>8</v>
      </c>
      <c r="AA383" t="s">
        <v>61</v>
      </c>
      <c r="AB383" t="s">
        <v>47</v>
      </c>
      <c r="AD383">
        <v>4</v>
      </c>
      <c r="AE383" s="2">
        <v>559.79</v>
      </c>
      <c r="AF383">
        <v>0.97209999999999996</v>
      </c>
      <c r="AG383" t="s">
        <v>49</v>
      </c>
      <c r="AH383" s="23">
        <f>SUM(Amazon_Data_Set[[#This Row],[Gross Sales]]-Amazon_Data_Set[[#This Row],[Discount Amount]])</f>
        <v>544.16999999999996</v>
      </c>
    </row>
    <row r="384" spans="1:34">
      <c r="A384" t="s">
        <v>1179</v>
      </c>
      <c r="B384" s="1">
        <v>46126</v>
      </c>
      <c r="C384" t="str">
        <f>TEXT(Amazon_Data_Set[[#This Row],[Order Date]],"mmm")</f>
        <v>Apr</v>
      </c>
      <c r="D384" t="s">
        <v>787</v>
      </c>
      <c r="E384" t="s">
        <v>109</v>
      </c>
      <c r="F384" t="s">
        <v>110</v>
      </c>
      <c r="G384" t="s">
        <v>111</v>
      </c>
      <c r="H384" t="s">
        <v>142</v>
      </c>
      <c r="I384" t="s">
        <v>209</v>
      </c>
      <c r="J384" t="s">
        <v>210</v>
      </c>
      <c r="K384" t="s">
        <v>201</v>
      </c>
      <c r="L384" t="s">
        <v>1180</v>
      </c>
      <c r="M384" t="s">
        <v>106</v>
      </c>
      <c r="N384" t="s">
        <v>60</v>
      </c>
      <c r="O384" t="s">
        <v>96</v>
      </c>
      <c r="P384">
        <v>5</v>
      </c>
      <c r="Q384">
        <v>8173.76</v>
      </c>
      <c r="R384" s="19">
        <v>0.25</v>
      </c>
      <c r="S384" s="21">
        <v>10217.200000000001</v>
      </c>
      <c r="T384">
        <v>40868.800000000003</v>
      </c>
      <c r="U384" s="2">
        <v>30651.599999999999</v>
      </c>
      <c r="V384">
        <v>158.96</v>
      </c>
      <c r="W384">
        <v>19376.009999999998</v>
      </c>
      <c r="X384" s="2">
        <v>11116.63</v>
      </c>
      <c r="Y384">
        <v>0.36270000000000002</v>
      </c>
      <c r="Z384">
        <v>0</v>
      </c>
      <c r="AA384" t="s">
        <v>97</v>
      </c>
      <c r="AB384" t="s">
        <v>47</v>
      </c>
      <c r="AE384" s="2">
        <v>30129.95</v>
      </c>
      <c r="AF384">
        <v>1.0173000000000001</v>
      </c>
      <c r="AG384" t="s">
        <v>49</v>
      </c>
      <c r="AH384" s="23">
        <f>SUM(Amazon_Data_Set[[#This Row],[Gross Sales]]-Amazon_Data_Set[[#This Row],[Discount Amount]])</f>
        <v>30651.600000000002</v>
      </c>
    </row>
    <row r="385" spans="1:34">
      <c r="A385" t="s">
        <v>1181</v>
      </c>
      <c r="B385" s="1">
        <v>46138</v>
      </c>
      <c r="C385" t="str">
        <f>TEXT(Amazon_Data_Set[[#This Row],[Order Date]],"mmm")</f>
        <v>Apr</v>
      </c>
      <c r="D385" t="s">
        <v>605</v>
      </c>
      <c r="E385" t="s">
        <v>118</v>
      </c>
      <c r="F385" t="s">
        <v>119</v>
      </c>
      <c r="G385" t="s">
        <v>82</v>
      </c>
      <c r="H385" t="s">
        <v>142</v>
      </c>
      <c r="I385" t="s">
        <v>143</v>
      </c>
      <c r="J385" t="s">
        <v>183</v>
      </c>
      <c r="K385" t="s">
        <v>184</v>
      </c>
      <c r="L385" t="s">
        <v>1182</v>
      </c>
      <c r="M385" t="s">
        <v>106</v>
      </c>
      <c r="N385" t="s">
        <v>60</v>
      </c>
      <c r="O385" t="s">
        <v>45</v>
      </c>
      <c r="P385">
        <v>5</v>
      </c>
      <c r="Q385">
        <v>2076</v>
      </c>
      <c r="R385" s="19">
        <v>0.2</v>
      </c>
      <c r="S385" s="21">
        <v>2076</v>
      </c>
      <c r="T385">
        <v>10380</v>
      </c>
      <c r="U385" s="2">
        <v>8304</v>
      </c>
      <c r="V385">
        <v>242.81</v>
      </c>
      <c r="W385">
        <v>5736.53</v>
      </c>
      <c r="X385" s="2">
        <v>2324.66</v>
      </c>
      <c r="Y385">
        <v>0.27989999999999998</v>
      </c>
      <c r="Z385">
        <v>6</v>
      </c>
      <c r="AA385" t="s">
        <v>61</v>
      </c>
      <c r="AB385" t="s">
        <v>47</v>
      </c>
      <c r="AD385">
        <v>4</v>
      </c>
      <c r="AE385" s="2">
        <v>10348.68</v>
      </c>
      <c r="AF385">
        <v>0.8024</v>
      </c>
      <c r="AG385" t="s">
        <v>49</v>
      </c>
      <c r="AH385" s="23">
        <f>SUM(Amazon_Data_Set[[#This Row],[Gross Sales]]-Amazon_Data_Set[[#This Row],[Discount Amount]])</f>
        <v>8304</v>
      </c>
    </row>
    <row r="386" spans="1:34">
      <c r="A386" t="s">
        <v>1183</v>
      </c>
      <c r="B386" s="1">
        <v>46155</v>
      </c>
      <c r="C386" t="str">
        <f>TEXT(Amazon_Data_Set[[#This Row],[Order Date]],"mmm")</f>
        <v>May</v>
      </c>
      <c r="D386" t="s">
        <v>1184</v>
      </c>
      <c r="E386" t="s">
        <v>52</v>
      </c>
      <c r="F386" t="s">
        <v>53</v>
      </c>
      <c r="G386" t="s">
        <v>54</v>
      </c>
      <c r="H386" t="s">
        <v>142</v>
      </c>
      <c r="I386" t="s">
        <v>214</v>
      </c>
      <c r="J386" t="s">
        <v>350</v>
      </c>
      <c r="K386" t="s">
        <v>351</v>
      </c>
      <c r="L386" t="s">
        <v>1185</v>
      </c>
      <c r="M386" t="s">
        <v>106</v>
      </c>
      <c r="N386" t="s">
        <v>95</v>
      </c>
      <c r="O386" t="s">
        <v>45</v>
      </c>
      <c r="P386">
        <v>4</v>
      </c>
      <c r="Q386">
        <v>4532.59</v>
      </c>
      <c r="R386" s="19">
        <v>0.1</v>
      </c>
      <c r="S386" s="21">
        <v>1813.04</v>
      </c>
      <c r="T386">
        <v>18130.36</v>
      </c>
      <c r="U386" s="2">
        <v>16317.32</v>
      </c>
      <c r="V386">
        <v>237.46</v>
      </c>
      <c r="W386">
        <v>11729.2</v>
      </c>
      <c r="X386" s="2">
        <v>4350.66</v>
      </c>
      <c r="Y386">
        <v>0.2666</v>
      </c>
      <c r="Z386">
        <v>8</v>
      </c>
      <c r="AA386" t="s">
        <v>61</v>
      </c>
      <c r="AB386" t="s">
        <v>47</v>
      </c>
      <c r="AD386">
        <v>5</v>
      </c>
      <c r="AE386" s="2">
        <v>15840.9</v>
      </c>
      <c r="AF386">
        <v>1.0301</v>
      </c>
      <c r="AG386" t="s">
        <v>49</v>
      </c>
      <c r="AH386" s="23">
        <f>SUM(Amazon_Data_Set[[#This Row],[Gross Sales]]-Amazon_Data_Set[[#This Row],[Discount Amount]])</f>
        <v>16317.32</v>
      </c>
    </row>
    <row r="387" spans="1:34">
      <c r="A387" t="s">
        <v>1186</v>
      </c>
      <c r="B387" s="1">
        <v>46150</v>
      </c>
      <c r="C387" t="str">
        <f>TEXT(Amazon_Data_Set[[#This Row],[Order Date]],"mmm")</f>
        <v>May</v>
      </c>
      <c r="D387" t="s">
        <v>842</v>
      </c>
      <c r="E387" t="s">
        <v>149</v>
      </c>
      <c r="F387" t="s">
        <v>150</v>
      </c>
      <c r="G387" t="s">
        <v>37</v>
      </c>
      <c r="H387" t="s">
        <v>55</v>
      </c>
      <c r="I387" t="s">
        <v>120</v>
      </c>
      <c r="J387" t="s">
        <v>127</v>
      </c>
      <c r="K387" t="s">
        <v>128</v>
      </c>
      <c r="L387" t="s">
        <v>1187</v>
      </c>
      <c r="M387" t="s">
        <v>43</v>
      </c>
      <c r="N387" t="s">
        <v>77</v>
      </c>
      <c r="O387" t="s">
        <v>130</v>
      </c>
      <c r="P387">
        <v>3</v>
      </c>
      <c r="Q387">
        <v>2704.57</v>
      </c>
      <c r="R387" s="19">
        <v>0.1</v>
      </c>
      <c r="S387" s="21">
        <v>811.37</v>
      </c>
      <c r="T387">
        <v>8113.71</v>
      </c>
      <c r="U387" s="2">
        <v>7302.34</v>
      </c>
      <c r="V387">
        <v>52.42</v>
      </c>
      <c r="W387">
        <v>3661.73</v>
      </c>
      <c r="X387" s="2">
        <v>3588.19</v>
      </c>
      <c r="Y387">
        <v>0.4914</v>
      </c>
      <c r="Z387">
        <v>3</v>
      </c>
      <c r="AA387" t="s">
        <v>131</v>
      </c>
      <c r="AB387" t="s">
        <v>47</v>
      </c>
      <c r="AE387" s="2">
        <v>6360.08</v>
      </c>
      <c r="AF387">
        <v>1.1482000000000001</v>
      </c>
      <c r="AG387" t="s">
        <v>49</v>
      </c>
      <c r="AH387" s="23">
        <f>SUM(Amazon_Data_Set[[#This Row],[Gross Sales]]-Amazon_Data_Set[[#This Row],[Discount Amount]])</f>
        <v>7302.34</v>
      </c>
    </row>
    <row r="388" spans="1:34">
      <c r="A388" t="s">
        <v>1188</v>
      </c>
      <c r="B388" s="1">
        <v>46109</v>
      </c>
      <c r="C388" t="str">
        <f>TEXT(Amazon_Data_Set[[#This Row],[Order Date]],"mmm")</f>
        <v>Mar</v>
      </c>
      <c r="D388" t="s">
        <v>993</v>
      </c>
      <c r="E388" t="s">
        <v>52</v>
      </c>
      <c r="F388" t="s">
        <v>53</v>
      </c>
      <c r="G388" t="s">
        <v>54</v>
      </c>
      <c r="H388" t="s">
        <v>90</v>
      </c>
      <c r="I388" t="s">
        <v>112</v>
      </c>
      <c r="J388" t="s">
        <v>113</v>
      </c>
      <c r="K388" t="s">
        <v>114</v>
      </c>
      <c r="L388" t="s">
        <v>1189</v>
      </c>
      <c r="M388" t="s">
        <v>43</v>
      </c>
      <c r="N388" t="s">
        <v>77</v>
      </c>
      <c r="O388" t="s">
        <v>96</v>
      </c>
      <c r="P388">
        <v>1</v>
      </c>
      <c r="Q388">
        <v>1574.76</v>
      </c>
      <c r="R388" s="19">
        <v>0.05</v>
      </c>
      <c r="S388" s="21">
        <v>78.739999999999995</v>
      </c>
      <c r="T388">
        <v>1574.76</v>
      </c>
      <c r="U388" s="2">
        <v>1496.02</v>
      </c>
      <c r="V388">
        <v>198.18</v>
      </c>
      <c r="W388">
        <v>1025.53</v>
      </c>
      <c r="X388" s="2">
        <v>272.31</v>
      </c>
      <c r="Y388">
        <v>0.182</v>
      </c>
      <c r="Z388">
        <v>0</v>
      </c>
      <c r="AA388" t="s">
        <v>97</v>
      </c>
      <c r="AB388" t="s">
        <v>47</v>
      </c>
      <c r="AE388" s="2">
        <v>1314.07</v>
      </c>
      <c r="AF388">
        <v>1.1385000000000001</v>
      </c>
      <c r="AG388" t="s">
        <v>49</v>
      </c>
      <c r="AH388" s="23">
        <f>SUM(Amazon_Data_Set[[#This Row],[Gross Sales]]-Amazon_Data_Set[[#This Row],[Discount Amount]])</f>
        <v>1496.02</v>
      </c>
    </row>
    <row r="389" spans="1:34">
      <c r="A389" t="s">
        <v>1190</v>
      </c>
      <c r="B389" s="1">
        <v>46315</v>
      </c>
      <c r="C389" t="str">
        <f>TEXT(Amazon_Data_Set[[#This Row],[Order Date]],"mmm")</f>
        <v>Oct</v>
      </c>
      <c r="D389" t="s">
        <v>426</v>
      </c>
      <c r="E389" t="s">
        <v>275</v>
      </c>
      <c r="F389" t="s">
        <v>276</v>
      </c>
      <c r="G389" t="s">
        <v>37</v>
      </c>
      <c r="H389" t="s">
        <v>55</v>
      </c>
      <c r="I389" t="s">
        <v>73</v>
      </c>
      <c r="J389" t="s">
        <v>247</v>
      </c>
      <c r="K389" t="s">
        <v>248</v>
      </c>
      <c r="L389" t="s">
        <v>1191</v>
      </c>
      <c r="M389" t="s">
        <v>106</v>
      </c>
      <c r="N389" t="s">
        <v>124</v>
      </c>
      <c r="O389" t="s">
        <v>45</v>
      </c>
      <c r="P389">
        <v>2</v>
      </c>
      <c r="Q389">
        <v>39940.839999999997</v>
      </c>
      <c r="R389" s="19">
        <v>0.3</v>
      </c>
      <c r="S389" s="21">
        <v>23964.5</v>
      </c>
      <c r="T389">
        <v>79881.679999999993</v>
      </c>
      <c r="U389" s="2">
        <v>55917.18</v>
      </c>
      <c r="V389">
        <v>233.74</v>
      </c>
      <c r="W389">
        <v>27384.22</v>
      </c>
      <c r="X389" s="2">
        <v>28299.22</v>
      </c>
      <c r="Y389">
        <v>0.50609999999999999</v>
      </c>
      <c r="Z389">
        <v>8</v>
      </c>
      <c r="AA389" t="s">
        <v>61</v>
      </c>
      <c r="AB389" t="s">
        <v>47</v>
      </c>
      <c r="AD389">
        <v>4</v>
      </c>
      <c r="AE389" s="2">
        <v>61248.1</v>
      </c>
      <c r="AF389">
        <v>0.91300000000000003</v>
      </c>
      <c r="AG389" t="s">
        <v>49</v>
      </c>
      <c r="AH389" s="23">
        <f>SUM(Amazon_Data_Set[[#This Row],[Gross Sales]]-Amazon_Data_Set[[#This Row],[Discount Amount]])</f>
        <v>55917.179999999993</v>
      </c>
    </row>
    <row r="390" spans="1:34">
      <c r="A390" t="s">
        <v>1192</v>
      </c>
      <c r="B390" s="1">
        <v>46195</v>
      </c>
      <c r="C390" t="str">
        <f>TEXT(Amazon_Data_Set[[#This Row],[Order Date]],"mmm")</f>
        <v>Jun</v>
      </c>
      <c r="D390" t="s">
        <v>1074</v>
      </c>
      <c r="E390" t="s">
        <v>174</v>
      </c>
      <c r="F390" t="s">
        <v>175</v>
      </c>
      <c r="G390" t="s">
        <v>82</v>
      </c>
      <c r="H390" t="s">
        <v>90</v>
      </c>
      <c r="I390" t="s">
        <v>252</v>
      </c>
      <c r="J390" t="s">
        <v>253</v>
      </c>
      <c r="K390" t="s">
        <v>254</v>
      </c>
      <c r="L390" t="s">
        <v>1193</v>
      </c>
      <c r="M390" t="s">
        <v>43</v>
      </c>
      <c r="N390" t="s">
        <v>95</v>
      </c>
      <c r="O390" t="s">
        <v>45</v>
      </c>
      <c r="P390">
        <v>5</v>
      </c>
      <c r="Q390">
        <v>975.04</v>
      </c>
      <c r="R390" s="19">
        <v>0.25</v>
      </c>
      <c r="S390" s="21">
        <v>1218.8</v>
      </c>
      <c r="T390">
        <v>4875.2</v>
      </c>
      <c r="U390" s="2">
        <v>3656.4</v>
      </c>
      <c r="V390">
        <v>191.2</v>
      </c>
      <c r="W390">
        <v>2314.86</v>
      </c>
      <c r="X390" s="2">
        <v>1150.3399999999999</v>
      </c>
      <c r="Y390">
        <v>0.31459999999999999</v>
      </c>
      <c r="Z390">
        <v>2</v>
      </c>
      <c r="AA390" t="s">
        <v>46</v>
      </c>
      <c r="AB390" t="s">
        <v>47</v>
      </c>
      <c r="AD390">
        <v>4</v>
      </c>
      <c r="AE390" s="2">
        <v>4231.33</v>
      </c>
      <c r="AF390">
        <v>0.86409999999999998</v>
      </c>
      <c r="AG390" t="s">
        <v>49</v>
      </c>
      <c r="AH390" s="23">
        <f>SUM(Amazon_Data_Set[[#This Row],[Gross Sales]]-Amazon_Data_Set[[#This Row],[Discount Amount]])</f>
        <v>3656.3999999999996</v>
      </c>
    </row>
    <row r="391" spans="1:34">
      <c r="A391" t="s">
        <v>1194</v>
      </c>
      <c r="B391" s="1">
        <v>46245</v>
      </c>
      <c r="C391" t="str">
        <f>TEXT(Amazon_Data_Set[[#This Row],[Order Date]],"mmm")</f>
        <v>Aug</v>
      </c>
      <c r="D391" t="s">
        <v>1037</v>
      </c>
      <c r="E391" t="s">
        <v>194</v>
      </c>
      <c r="F391" t="s">
        <v>195</v>
      </c>
      <c r="G391" t="s">
        <v>111</v>
      </c>
      <c r="H391" t="s">
        <v>142</v>
      </c>
      <c r="I391" t="s">
        <v>143</v>
      </c>
      <c r="J391" t="s">
        <v>183</v>
      </c>
      <c r="K391" t="s">
        <v>184</v>
      </c>
      <c r="L391" t="s">
        <v>1195</v>
      </c>
      <c r="M391" t="s">
        <v>43</v>
      </c>
      <c r="N391" t="s">
        <v>44</v>
      </c>
      <c r="O391" t="s">
        <v>45</v>
      </c>
      <c r="P391">
        <v>5</v>
      </c>
      <c r="Q391">
        <v>5793.13</v>
      </c>
      <c r="R391" s="19">
        <v>0.1</v>
      </c>
      <c r="S391" s="21">
        <v>2896.57</v>
      </c>
      <c r="T391">
        <v>28965.65</v>
      </c>
      <c r="U391" s="2">
        <v>26069.08</v>
      </c>
      <c r="V391">
        <v>0.78</v>
      </c>
      <c r="W391">
        <v>19304.79</v>
      </c>
      <c r="X391" s="2">
        <v>6763.51</v>
      </c>
      <c r="Y391">
        <v>0.25940000000000002</v>
      </c>
      <c r="Z391">
        <v>7</v>
      </c>
      <c r="AA391" t="s">
        <v>61</v>
      </c>
      <c r="AB391" t="s">
        <v>47</v>
      </c>
      <c r="AD391">
        <v>4</v>
      </c>
      <c r="AE391" s="2">
        <v>26900.85</v>
      </c>
      <c r="AF391">
        <v>0.96909999999999996</v>
      </c>
      <c r="AG391" t="s">
        <v>49</v>
      </c>
      <c r="AH391" s="23">
        <f>SUM(Amazon_Data_Set[[#This Row],[Gross Sales]]-Amazon_Data_Set[[#This Row],[Discount Amount]])</f>
        <v>26069.08</v>
      </c>
    </row>
    <row r="392" spans="1:34">
      <c r="A392" t="s">
        <v>1196</v>
      </c>
      <c r="B392" s="1">
        <v>46349</v>
      </c>
      <c r="C392" t="str">
        <f>TEXT(Amazon_Data_Set[[#This Row],[Order Date]],"mmm")</f>
        <v>Nov</v>
      </c>
      <c r="D392" t="s">
        <v>1005</v>
      </c>
      <c r="E392" t="s">
        <v>118</v>
      </c>
      <c r="F392" t="s">
        <v>119</v>
      </c>
      <c r="G392" t="s">
        <v>82</v>
      </c>
      <c r="H392" t="s">
        <v>83</v>
      </c>
      <c r="I392" t="s">
        <v>84</v>
      </c>
      <c r="J392" t="s">
        <v>332</v>
      </c>
      <c r="K392" t="s">
        <v>333</v>
      </c>
      <c r="L392" t="s">
        <v>1197</v>
      </c>
      <c r="M392" t="s">
        <v>43</v>
      </c>
      <c r="N392" t="s">
        <v>60</v>
      </c>
      <c r="O392" t="s">
        <v>45</v>
      </c>
      <c r="P392">
        <v>2</v>
      </c>
      <c r="Q392">
        <v>403.91</v>
      </c>
      <c r="R392" s="19">
        <v>0.15</v>
      </c>
      <c r="S392" s="21">
        <v>121.17</v>
      </c>
      <c r="T392">
        <v>807.82</v>
      </c>
      <c r="U392" s="2">
        <v>686.65</v>
      </c>
      <c r="V392">
        <v>55.45</v>
      </c>
      <c r="W392">
        <v>507.05</v>
      </c>
      <c r="X392" s="2">
        <v>124.15</v>
      </c>
      <c r="Y392">
        <v>0.18079999999999999</v>
      </c>
      <c r="Z392">
        <v>3</v>
      </c>
      <c r="AA392" t="s">
        <v>46</v>
      </c>
      <c r="AB392" t="s">
        <v>48</v>
      </c>
      <c r="AC392" t="s">
        <v>203</v>
      </c>
      <c r="AD392">
        <v>3</v>
      </c>
      <c r="AE392" s="2">
        <v>597.53</v>
      </c>
      <c r="AF392">
        <v>1.1491</v>
      </c>
      <c r="AG392" t="s">
        <v>347</v>
      </c>
      <c r="AH392" s="23">
        <f>SUM(Amazon_Data_Set[[#This Row],[Gross Sales]]-Amazon_Data_Set[[#This Row],[Discount Amount]])</f>
        <v>686.65000000000009</v>
      </c>
    </row>
    <row r="393" spans="1:34">
      <c r="A393" t="s">
        <v>1198</v>
      </c>
      <c r="B393" s="1">
        <v>46141</v>
      </c>
      <c r="C393" t="str">
        <f>TEXT(Amazon_Data_Set[[#This Row],[Order Date]],"mmm")</f>
        <v>Apr</v>
      </c>
      <c r="D393" t="s">
        <v>1199</v>
      </c>
      <c r="E393" t="s">
        <v>118</v>
      </c>
      <c r="F393" t="s">
        <v>119</v>
      </c>
      <c r="G393" t="s">
        <v>82</v>
      </c>
      <c r="H393" t="s">
        <v>38</v>
      </c>
      <c r="I393" t="s">
        <v>39</v>
      </c>
      <c r="J393" t="s">
        <v>155</v>
      </c>
      <c r="K393" t="s">
        <v>156</v>
      </c>
      <c r="L393" t="s">
        <v>1200</v>
      </c>
      <c r="M393" t="s">
        <v>43</v>
      </c>
      <c r="N393" t="s">
        <v>95</v>
      </c>
      <c r="O393" t="s">
        <v>45</v>
      </c>
      <c r="P393">
        <v>3</v>
      </c>
      <c r="Q393">
        <v>2970.79</v>
      </c>
      <c r="R393" s="19">
        <v>0</v>
      </c>
      <c r="S393" s="21">
        <v>0</v>
      </c>
      <c r="T393">
        <v>8912.3700000000008</v>
      </c>
      <c r="U393" s="2">
        <v>8912.3700000000008</v>
      </c>
      <c r="V393">
        <v>199.12</v>
      </c>
      <c r="W393">
        <v>6048.9</v>
      </c>
      <c r="X393" s="2">
        <v>2664.35</v>
      </c>
      <c r="Y393">
        <v>0.2989</v>
      </c>
      <c r="Z393">
        <v>3</v>
      </c>
      <c r="AA393" t="s">
        <v>46</v>
      </c>
      <c r="AB393" t="s">
        <v>47</v>
      </c>
      <c r="AD393">
        <v>5</v>
      </c>
      <c r="AE393" s="2">
        <v>10239.879999999999</v>
      </c>
      <c r="AF393">
        <v>0.87039999999999995</v>
      </c>
      <c r="AG393" t="s">
        <v>49</v>
      </c>
      <c r="AH393" s="23">
        <f>SUM(Amazon_Data_Set[[#This Row],[Gross Sales]]-Amazon_Data_Set[[#This Row],[Discount Amount]])</f>
        <v>8912.3700000000008</v>
      </c>
    </row>
    <row r="394" spans="1:34">
      <c r="A394" t="s">
        <v>1201</v>
      </c>
      <c r="B394" s="1">
        <v>46328</v>
      </c>
      <c r="C394" t="str">
        <f>TEXT(Amazon_Data_Set[[#This Row],[Order Date]],"mmm")</f>
        <v>Nov</v>
      </c>
      <c r="D394" t="s">
        <v>495</v>
      </c>
      <c r="E394" t="s">
        <v>235</v>
      </c>
      <c r="F394" t="s">
        <v>236</v>
      </c>
      <c r="G394" t="s">
        <v>82</v>
      </c>
      <c r="H394" t="s">
        <v>90</v>
      </c>
      <c r="I394" t="s">
        <v>91</v>
      </c>
      <c r="J394" t="s">
        <v>313</v>
      </c>
      <c r="K394" t="s">
        <v>314</v>
      </c>
      <c r="L394" t="s">
        <v>1202</v>
      </c>
      <c r="M394" t="s">
        <v>43</v>
      </c>
      <c r="N394" t="s">
        <v>95</v>
      </c>
      <c r="O394" t="s">
        <v>45</v>
      </c>
      <c r="P394">
        <v>1</v>
      </c>
      <c r="Q394">
        <v>594.69000000000005</v>
      </c>
      <c r="R394" s="19">
        <v>0</v>
      </c>
      <c r="S394" s="21">
        <v>0</v>
      </c>
      <c r="T394">
        <v>594.69000000000005</v>
      </c>
      <c r="U394" s="2">
        <v>594.69000000000005</v>
      </c>
      <c r="V394">
        <v>61.9</v>
      </c>
      <c r="W394">
        <v>427.58</v>
      </c>
      <c r="X394" s="2">
        <v>105.21</v>
      </c>
      <c r="Y394">
        <v>0.1769</v>
      </c>
      <c r="Z394">
        <v>7</v>
      </c>
      <c r="AA394" t="s">
        <v>61</v>
      </c>
      <c r="AB394" t="s">
        <v>47</v>
      </c>
      <c r="AD394">
        <v>5</v>
      </c>
      <c r="AE394" s="2">
        <v>566.72</v>
      </c>
      <c r="AF394">
        <v>1.0494000000000001</v>
      </c>
      <c r="AG394" t="s">
        <v>347</v>
      </c>
      <c r="AH394" s="23">
        <f>SUM(Amazon_Data_Set[[#This Row],[Gross Sales]]-Amazon_Data_Set[[#This Row],[Discount Amount]])</f>
        <v>594.69000000000005</v>
      </c>
    </row>
    <row r="395" spans="1:34">
      <c r="A395" t="s">
        <v>1203</v>
      </c>
      <c r="B395" s="1">
        <v>46307</v>
      </c>
      <c r="C395" t="str">
        <f>TEXT(Amazon_Data_Set[[#This Row],[Order Date]],"mmm")</f>
        <v>Oct</v>
      </c>
      <c r="D395" t="s">
        <v>1098</v>
      </c>
      <c r="E395" t="s">
        <v>100</v>
      </c>
      <c r="F395" t="s">
        <v>101</v>
      </c>
      <c r="G395" t="s">
        <v>54</v>
      </c>
      <c r="H395" t="s">
        <v>38</v>
      </c>
      <c r="I395" t="s">
        <v>66</v>
      </c>
      <c r="J395" t="s">
        <v>67</v>
      </c>
      <c r="K395" t="s">
        <v>68</v>
      </c>
      <c r="L395" t="s">
        <v>1204</v>
      </c>
      <c r="M395" t="s">
        <v>43</v>
      </c>
      <c r="N395" t="s">
        <v>124</v>
      </c>
      <c r="O395" t="s">
        <v>45</v>
      </c>
      <c r="P395">
        <v>2</v>
      </c>
      <c r="Q395">
        <v>1596.09</v>
      </c>
      <c r="R395" s="19">
        <v>0.05</v>
      </c>
      <c r="S395" s="21">
        <v>159.61000000000001</v>
      </c>
      <c r="T395">
        <v>3192.18</v>
      </c>
      <c r="U395" s="2">
        <v>3032.57</v>
      </c>
      <c r="V395">
        <v>149.22</v>
      </c>
      <c r="W395">
        <v>1676.45</v>
      </c>
      <c r="X395" s="2">
        <v>1206.9000000000001</v>
      </c>
      <c r="Y395">
        <v>0.39800000000000002</v>
      </c>
      <c r="Z395">
        <v>6</v>
      </c>
      <c r="AA395" t="s">
        <v>61</v>
      </c>
      <c r="AB395" t="s">
        <v>47</v>
      </c>
      <c r="AD395">
        <v>3</v>
      </c>
      <c r="AE395" s="2">
        <v>2658.92</v>
      </c>
      <c r="AF395">
        <v>1.1405000000000001</v>
      </c>
      <c r="AG395" t="s">
        <v>49</v>
      </c>
      <c r="AH395" s="23">
        <f>SUM(Amazon_Data_Set[[#This Row],[Gross Sales]]-Amazon_Data_Set[[#This Row],[Discount Amount]])</f>
        <v>3032.5699999999997</v>
      </c>
    </row>
    <row r="396" spans="1:34">
      <c r="A396" t="s">
        <v>1205</v>
      </c>
      <c r="B396" s="1">
        <v>46355</v>
      </c>
      <c r="C396" t="str">
        <f>TEXT(Amazon_Data_Set[[#This Row],[Order Date]],"mmm")</f>
        <v>Nov</v>
      </c>
      <c r="D396" t="s">
        <v>1206</v>
      </c>
      <c r="E396" t="s">
        <v>235</v>
      </c>
      <c r="F396" t="s">
        <v>236</v>
      </c>
      <c r="G396" t="s">
        <v>82</v>
      </c>
      <c r="H396" t="s">
        <v>38</v>
      </c>
      <c r="I396" t="s">
        <v>66</v>
      </c>
      <c r="J396" t="s">
        <v>67</v>
      </c>
      <c r="K396" t="s">
        <v>68</v>
      </c>
      <c r="L396" t="s">
        <v>1207</v>
      </c>
      <c r="M396" t="s">
        <v>106</v>
      </c>
      <c r="N396" t="s">
        <v>77</v>
      </c>
      <c r="O396" t="s">
        <v>96</v>
      </c>
      <c r="P396">
        <v>4</v>
      </c>
      <c r="Q396">
        <v>2955.21</v>
      </c>
      <c r="R396" s="19">
        <v>0.25</v>
      </c>
      <c r="S396" s="21">
        <v>2955.21</v>
      </c>
      <c r="T396">
        <v>11820.84</v>
      </c>
      <c r="U396" s="2">
        <v>8865.6299999999992</v>
      </c>
      <c r="V396">
        <v>53</v>
      </c>
      <c r="W396">
        <v>4719.93</v>
      </c>
      <c r="X396" s="2">
        <v>4092.7</v>
      </c>
      <c r="Y396">
        <v>0.46160000000000001</v>
      </c>
      <c r="Z396">
        <v>0</v>
      </c>
      <c r="AA396" t="s">
        <v>97</v>
      </c>
      <c r="AB396" t="s">
        <v>47</v>
      </c>
      <c r="AE396" s="2">
        <v>9769.31</v>
      </c>
      <c r="AF396">
        <v>0.90749999999999997</v>
      </c>
      <c r="AG396" t="s">
        <v>49</v>
      </c>
      <c r="AH396" s="23">
        <f>SUM(Amazon_Data_Set[[#This Row],[Gross Sales]]-Amazon_Data_Set[[#This Row],[Discount Amount]])</f>
        <v>8865.630000000001</v>
      </c>
    </row>
    <row r="397" spans="1:34">
      <c r="A397" t="s">
        <v>1208</v>
      </c>
      <c r="B397" s="1">
        <v>46085</v>
      </c>
      <c r="C397" t="str">
        <f>TEXT(Amazon_Data_Set[[#This Row],[Order Date]],"mmm")</f>
        <v>Mar</v>
      </c>
      <c r="D397" t="s">
        <v>501</v>
      </c>
      <c r="E397" t="s">
        <v>118</v>
      </c>
      <c r="F397" t="s">
        <v>119</v>
      </c>
      <c r="G397" t="s">
        <v>82</v>
      </c>
      <c r="H397" t="s">
        <v>55</v>
      </c>
      <c r="I397" t="s">
        <v>120</v>
      </c>
      <c r="J397" t="s">
        <v>127</v>
      </c>
      <c r="K397" t="s">
        <v>128</v>
      </c>
      <c r="L397" t="s">
        <v>1209</v>
      </c>
      <c r="M397" t="s">
        <v>43</v>
      </c>
      <c r="N397" t="s">
        <v>124</v>
      </c>
      <c r="O397" t="s">
        <v>45</v>
      </c>
      <c r="P397">
        <v>3</v>
      </c>
      <c r="Q397">
        <v>49823.61</v>
      </c>
      <c r="R397" s="19">
        <v>0.3</v>
      </c>
      <c r="S397" s="21">
        <v>44841.25</v>
      </c>
      <c r="T397">
        <v>149470.82999999999</v>
      </c>
      <c r="U397" s="2">
        <v>104629.58</v>
      </c>
      <c r="V397">
        <v>78.8</v>
      </c>
      <c r="W397">
        <v>65203.56</v>
      </c>
      <c r="X397" s="2">
        <v>39347.22</v>
      </c>
      <c r="Y397">
        <v>0.37609999999999999</v>
      </c>
      <c r="Z397">
        <v>3</v>
      </c>
      <c r="AA397" t="s">
        <v>46</v>
      </c>
      <c r="AB397" t="s">
        <v>47</v>
      </c>
      <c r="AD397">
        <v>3</v>
      </c>
      <c r="AE397" s="2">
        <v>109338.66</v>
      </c>
      <c r="AF397">
        <v>0.95689999999999997</v>
      </c>
      <c r="AG397" t="s">
        <v>49</v>
      </c>
      <c r="AH397" s="23">
        <f>SUM(Amazon_Data_Set[[#This Row],[Gross Sales]]-Amazon_Data_Set[[#This Row],[Discount Amount]])</f>
        <v>104629.57999999999</v>
      </c>
    </row>
    <row r="398" spans="1:34">
      <c r="A398" t="s">
        <v>1210</v>
      </c>
      <c r="B398" s="1">
        <v>46101</v>
      </c>
      <c r="C398" t="str">
        <f>TEXT(Amazon_Data_Set[[#This Row],[Order Date]],"mmm")</f>
        <v>Mar</v>
      </c>
      <c r="D398" t="s">
        <v>967</v>
      </c>
      <c r="E398" t="s">
        <v>109</v>
      </c>
      <c r="F398" t="s">
        <v>154</v>
      </c>
      <c r="G398" t="s">
        <v>111</v>
      </c>
      <c r="H398" t="s">
        <v>55</v>
      </c>
      <c r="I398" t="s">
        <v>73</v>
      </c>
      <c r="J398" t="s">
        <v>247</v>
      </c>
      <c r="K398" t="s">
        <v>248</v>
      </c>
      <c r="L398" t="s">
        <v>1211</v>
      </c>
      <c r="M398" t="s">
        <v>43</v>
      </c>
      <c r="N398" t="s">
        <v>124</v>
      </c>
      <c r="O398" t="s">
        <v>45</v>
      </c>
      <c r="P398">
        <v>2</v>
      </c>
      <c r="Q398">
        <v>50278.9</v>
      </c>
      <c r="R398" s="19">
        <v>0.25</v>
      </c>
      <c r="S398" s="21">
        <v>25139.45</v>
      </c>
      <c r="T398">
        <v>100557.8</v>
      </c>
      <c r="U398" s="2">
        <v>75418.350000000006</v>
      </c>
      <c r="V398">
        <v>24.95</v>
      </c>
      <c r="W398">
        <v>41105.32</v>
      </c>
      <c r="X398" s="2">
        <v>34288.080000000002</v>
      </c>
      <c r="Y398">
        <v>0.4546</v>
      </c>
      <c r="Z398">
        <v>6</v>
      </c>
      <c r="AA398" t="s">
        <v>61</v>
      </c>
      <c r="AB398" t="s">
        <v>47</v>
      </c>
      <c r="AD398">
        <v>3</v>
      </c>
      <c r="AE398" s="2">
        <v>68650.960000000006</v>
      </c>
      <c r="AF398">
        <v>1.0986</v>
      </c>
      <c r="AG398" t="s">
        <v>49</v>
      </c>
      <c r="AH398" s="23">
        <f>SUM(Amazon_Data_Set[[#This Row],[Gross Sales]]-Amazon_Data_Set[[#This Row],[Discount Amount]])</f>
        <v>75418.350000000006</v>
      </c>
    </row>
    <row r="399" spans="1:34">
      <c r="A399" t="s">
        <v>1212</v>
      </c>
      <c r="B399" s="1">
        <v>46054</v>
      </c>
      <c r="C399" t="str">
        <f>TEXT(Amazon_Data_Set[[#This Row],[Order Date]],"mmm")</f>
        <v>Feb</v>
      </c>
      <c r="D399" t="s">
        <v>1213</v>
      </c>
      <c r="E399" t="s">
        <v>64</v>
      </c>
      <c r="F399" t="s">
        <v>65</v>
      </c>
      <c r="G399" t="s">
        <v>54</v>
      </c>
      <c r="H399" t="s">
        <v>38</v>
      </c>
      <c r="I399" t="s">
        <v>39</v>
      </c>
      <c r="J399" t="s">
        <v>281</v>
      </c>
      <c r="K399" t="s">
        <v>282</v>
      </c>
      <c r="L399" t="s">
        <v>1214</v>
      </c>
      <c r="M399" t="s">
        <v>106</v>
      </c>
      <c r="N399" t="s">
        <v>70</v>
      </c>
      <c r="O399" t="s">
        <v>45</v>
      </c>
      <c r="P399">
        <v>2</v>
      </c>
      <c r="Q399">
        <v>3666.53</v>
      </c>
      <c r="R399" s="19">
        <v>0.15</v>
      </c>
      <c r="S399" s="21">
        <v>1099.96</v>
      </c>
      <c r="T399">
        <v>7333.06</v>
      </c>
      <c r="U399" s="2">
        <v>6233.1</v>
      </c>
      <c r="V399">
        <v>62.38</v>
      </c>
      <c r="W399">
        <v>4530.9399999999996</v>
      </c>
      <c r="X399" s="2">
        <v>1639.78</v>
      </c>
      <c r="Y399">
        <v>0.2631</v>
      </c>
      <c r="Z399">
        <v>3</v>
      </c>
      <c r="AA399" t="s">
        <v>46</v>
      </c>
      <c r="AB399" t="s">
        <v>47</v>
      </c>
      <c r="AD399">
        <v>5</v>
      </c>
      <c r="AE399" s="2">
        <v>7511.27</v>
      </c>
      <c r="AF399">
        <v>0.82979999999999998</v>
      </c>
      <c r="AG399" t="s">
        <v>49</v>
      </c>
      <c r="AH399" s="23">
        <f>SUM(Amazon_Data_Set[[#This Row],[Gross Sales]]-Amazon_Data_Set[[#This Row],[Discount Amount]])</f>
        <v>6233.1</v>
      </c>
    </row>
    <row r="400" spans="1:34">
      <c r="A400" t="s">
        <v>1215</v>
      </c>
      <c r="B400" s="1">
        <v>46298</v>
      </c>
      <c r="C400" t="str">
        <f>TEXT(Amazon_Data_Set[[#This Row],[Order Date]],"mmm")</f>
        <v>Oct</v>
      </c>
      <c r="D400" t="s">
        <v>624</v>
      </c>
      <c r="E400" t="s">
        <v>228</v>
      </c>
      <c r="F400" t="s">
        <v>229</v>
      </c>
      <c r="G400" t="s">
        <v>37</v>
      </c>
      <c r="H400" t="s">
        <v>142</v>
      </c>
      <c r="I400" t="s">
        <v>209</v>
      </c>
      <c r="J400" t="s">
        <v>210</v>
      </c>
      <c r="K400" t="s">
        <v>201</v>
      </c>
      <c r="L400" t="s">
        <v>1216</v>
      </c>
      <c r="M400" t="s">
        <v>43</v>
      </c>
      <c r="N400" t="s">
        <v>44</v>
      </c>
      <c r="O400" t="s">
        <v>45</v>
      </c>
      <c r="P400">
        <v>2</v>
      </c>
      <c r="Q400">
        <v>5645.71</v>
      </c>
      <c r="R400" s="19">
        <v>0.3</v>
      </c>
      <c r="S400" s="21">
        <v>3387.43</v>
      </c>
      <c r="T400">
        <v>11291.42</v>
      </c>
      <c r="U400" s="2">
        <v>7903.99</v>
      </c>
      <c r="V400">
        <v>169.96</v>
      </c>
      <c r="W400">
        <v>4311.09</v>
      </c>
      <c r="X400" s="2">
        <v>3422.94</v>
      </c>
      <c r="Y400">
        <v>0.43309999999999998</v>
      </c>
      <c r="Z400">
        <v>5</v>
      </c>
      <c r="AA400" t="s">
        <v>61</v>
      </c>
      <c r="AB400" t="s">
        <v>47</v>
      </c>
      <c r="AD400">
        <v>4</v>
      </c>
      <c r="AE400" s="2">
        <v>8085.15</v>
      </c>
      <c r="AF400">
        <v>0.97760000000000002</v>
      </c>
      <c r="AG400" t="s">
        <v>49</v>
      </c>
      <c r="AH400" s="23">
        <f>SUM(Amazon_Data_Set[[#This Row],[Gross Sales]]-Amazon_Data_Set[[#This Row],[Discount Amount]])</f>
        <v>7903.99</v>
      </c>
    </row>
    <row r="401" spans="1:34">
      <c r="A401" t="s">
        <v>1217</v>
      </c>
      <c r="B401" s="1">
        <v>46068</v>
      </c>
      <c r="C401" t="str">
        <f>TEXT(Amazon_Data_Set[[#This Row],[Order Date]],"mmm")</f>
        <v>Feb</v>
      </c>
      <c r="D401" t="s">
        <v>386</v>
      </c>
      <c r="E401" t="s">
        <v>100</v>
      </c>
      <c r="F401" t="s">
        <v>179</v>
      </c>
      <c r="G401" t="s">
        <v>54</v>
      </c>
      <c r="H401" t="s">
        <v>38</v>
      </c>
      <c r="I401" t="s">
        <v>66</v>
      </c>
      <c r="J401" t="s">
        <v>337</v>
      </c>
      <c r="K401" t="s">
        <v>224</v>
      </c>
      <c r="L401" t="s">
        <v>1218</v>
      </c>
      <c r="M401" t="s">
        <v>106</v>
      </c>
      <c r="N401" t="s">
        <v>60</v>
      </c>
      <c r="O401" t="s">
        <v>130</v>
      </c>
      <c r="P401">
        <v>1</v>
      </c>
      <c r="Q401">
        <v>3689.99</v>
      </c>
      <c r="R401" s="19">
        <v>0.15</v>
      </c>
      <c r="S401" s="21">
        <v>553.5</v>
      </c>
      <c r="T401">
        <v>3689.99</v>
      </c>
      <c r="U401" s="2">
        <v>3136.49</v>
      </c>
      <c r="V401">
        <v>124.13</v>
      </c>
      <c r="W401">
        <v>2216.48</v>
      </c>
      <c r="X401" s="2">
        <v>795.88</v>
      </c>
      <c r="Y401">
        <v>0.25369999999999998</v>
      </c>
      <c r="Z401">
        <v>4</v>
      </c>
      <c r="AA401" t="s">
        <v>131</v>
      </c>
      <c r="AB401" t="s">
        <v>47</v>
      </c>
      <c r="AE401" s="2">
        <v>3593.95</v>
      </c>
      <c r="AF401">
        <v>0.87270000000000003</v>
      </c>
      <c r="AG401" t="s">
        <v>49</v>
      </c>
      <c r="AH401" s="23">
        <f>SUM(Amazon_Data_Set[[#This Row],[Gross Sales]]-Amazon_Data_Set[[#This Row],[Discount Amount]])</f>
        <v>3136.49</v>
      </c>
    </row>
    <row r="402" spans="1:34">
      <c r="A402" t="s">
        <v>1219</v>
      </c>
      <c r="B402" s="1">
        <v>46342</v>
      </c>
      <c r="C402" t="str">
        <f>TEXT(Amazon_Data_Set[[#This Row],[Order Date]],"mmm")</f>
        <v>Nov</v>
      </c>
      <c r="D402" t="s">
        <v>635</v>
      </c>
      <c r="E402" t="s">
        <v>64</v>
      </c>
      <c r="F402" t="s">
        <v>65</v>
      </c>
      <c r="G402" t="s">
        <v>54</v>
      </c>
      <c r="H402" t="s">
        <v>55</v>
      </c>
      <c r="I402" t="s">
        <v>56</v>
      </c>
      <c r="J402" t="s">
        <v>448</v>
      </c>
      <c r="K402" t="s">
        <v>170</v>
      </c>
      <c r="L402" t="s">
        <v>1220</v>
      </c>
      <c r="M402" t="s">
        <v>43</v>
      </c>
      <c r="N402" t="s">
        <v>70</v>
      </c>
      <c r="O402" t="s">
        <v>45</v>
      </c>
      <c r="P402">
        <v>5</v>
      </c>
      <c r="Q402">
        <v>46408.86</v>
      </c>
      <c r="R402" s="19">
        <v>0.2</v>
      </c>
      <c r="S402" s="21">
        <v>46408.86</v>
      </c>
      <c r="T402">
        <v>232044.3</v>
      </c>
      <c r="U402" s="2">
        <v>185635.44</v>
      </c>
      <c r="V402">
        <v>50.25</v>
      </c>
      <c r="W402">
        <v>95938.71</v>
      </c>
      <c r="X402" s="2">
        <v>89646.48</v>
      </c>
      <c r="Y402">
        <v>0.4829</v>
      </c>
      <c r="Z402">
        <v>6</v>
      </c>
      <c r="AA402" t="s">
        <v>61</v>
      </c>
      <c r="AB402" t="s">
        <v>48</v>
      </c>
      <c r="AC402" t="s">
        <v>520</v>
      </c>
      <c r="AD402">
        <v>3</v>
      </c>
      <c r="AE402" s="2">
        <v>161339.89000000001</v>
      </c>
      <c r="AF402">
        <v>1.1506000000000001</v>
      </c>
      <c r="AG402" t="s">
        <v>49</v>
      </c>
      <c r="AH402" s="23">
        <f>SUM(Amazon_Data_Set[[#This Row],[Gross Sales]]-Amazon_Data_Set[[#This Row],[Discount Amount]])</f>
        <v>185635.44</v>
      </c>
    </row>
    <row r="403" spans="1:34">
      <c r="A403" t="s">
        <v>1221</v>
      </c>
      <c r="B403" s="1">
        <v>46292</v>
      </c>
      <c r="C403" t="str">
        <f>TEXT(Amazon_Data_Set[[#This Row],[Order Date]],"mmm")</f>
        <v>Sep</v>
      </c>
      <c r="D403" t="s">
        <v>1222</v>
      </c>
      <c r="E403" t="s">
        <v>80</v>
      </c>
      <c r="F403" t="s">
        <v>81</v>
      </c>
      <c r="G403" t="s">
        <v>82</v>
      </c>
      <c r="H403" t="s">
        <v>38</v>
      </c>
      <c r="I403" t="s">
        <v>39</v>
      </c>
      <c r="J403" t="s">
        <v>40</v>
      </c>
      <c r="K403" t="s">
        <v>41</v>
      </c>
      <c r="L403" t="s">
        <v>1223</v>
      </c>
      <c r="M403" t="s">
        <v>106</v>
      </c>
      <c r="N403" t="s">
        <v>95</v>
      </c>
      <c r="O403" t="s">
        <v>96</v>
      </c>
      <c r="P403">
        <v>1</v>
      </c>
      <c r="Q403">
        <v>2407.88</v>
      </c>
      <c r="R403" s="19">
        <v>0</v>
      </c>
      <c r="S403" s="21">
        <v>0</v>
      </c>
      <c r="T403">
        <v>2407.88</v>
      </c>
      <c r="U403" s="2">
        <v>2407.88</v>
      </c>
      <c r="V403">
        <v>129.55000000000001</v>
      </c>
      <c r="W403">
        <v>1589.71</v>
      </c>
      <c r="X403" s="2">
        <v>688.62</v>
      </c>
      <c r="Y403">
        <v>0.28599999999999998</v>
      </c>
      <c r="Z403">
        <v>0</v>
      </c>
      <c r="AA403" t="s">
        <v>97</v>
      </c>
      <c r="AB403" t="s">
        <v>47</v>
      </c>
      <c r="AE403" s="2">
        <v>2391.36</v>
      </c>
      <c r="AF403">
        <v>1.0068999999999999</v>
      </c>
      <c r="AG403" t="s">
        <v>49</v>
      </c>
      <c r="AH403" s="23">
        <f>SUM(Amazon_Data_Set[[#This Row],[Gross Sales]]-Amazon_Data_Set[[#This Row],[Discount Amount]])</f>
        <v>2407.88</v>
      </c>
    </row>
    <row r="404" spans="1:34">
      <c r="A404" t="s">
        <v>1224</v>
      </c>
      <c r="B404" s="1">
        <v>46280</v>
      </c>
      <c r="C404" t="str">
        <f>TEXT(Amazon_Data_Set[[#This Row],[Order Date]],"mmm")</f>
        <v>Sep</v>
      </c>
      <c r="D404" t="s">
        <v>139</v>
      </c>
      <c r="E404" t="s">
        <v>194</v>
      </c>
      <c r="F404" t="s">
        <v>195</v>
      </c>
      <c r="G404" t="s">
        <v>111</v>
      </c>
      <c r="H404" t="s">
        <v>38</v>
      </c>
      <c r="I404" t="s">
        <v>39</v>
      </c>
      <c r="J404" t="s">
        <v>281</v>
      </c>
      <c r="K404" t="s">
        <v>282</v>
      </c>
      <c r="L404" t="s">
        <v>1225</v>
      </c>
      <c r="M404" t="s">
        <v>43</v>
      </c>
      <c r="N404" t="s">
        <v>44</v>
      </c>
      <c r="O404" t="s">
        <v>45</v>
      </c>
      <c r="P404">
        <v>3</v>
      </c>
      <c r="Q404">
        <v>3060.4</v>
      </c>
      <c r="R404" s="19">
        <v>0.1</v>
      </c>
      <c r="S404" s="21">
        <v>918.12</v>
      </c>
      <c r="T404">
        <v>9181.2000000000007</v>
      </c>
      <c r="U404" s="2">
        <v>8263.08</v>
      </c>
      <c r="V404">
        <v>88.79</v>
      </c>
      <c r="W404">
        <v>6359.43</v>
      </c>
      <c r="X404" s="2">
        <v>1814.86</v>
      </c>
      <c r="Y404">
        <v>0.21959999999999999</v>
      </c>
      <c r="Z404">
        <v>5</v>
      </c>
      <c r="AA404" t="s">
        <v>61</v>
      </c>
      <c r="AB404" t="s">
        <v>47</v>
      </c>
      <c r="AD404">
        <v>5</v>
      </c>
      <c r="AE404" s="2">
        <v>7472.86</v>
      </c>
      <c r="AF404">
        <v>1.1056999999999999</v>
      </c>
      <c r="AG404" t="s">
        <v>49</v>
      </c>
      <c r="AH404" s="23">
        <f>SUM(Amazon_Data_Set[[#This Row],[Gross Sales]]-Amazon_Data_Set[[#This Row],[Discount Amount]])</f>
        <v>8263.08</v>
      </c>
    </row>
    <row r="405" spans="1:34">
      <c r="A405" t="s">
        <v>1226</v>
      </c>
      <c r="B405" s="1">
        <v>46298</v>
      </c>
      <c r="C405" t="str">
        <f>TEXT(Amazon_Data_Set[[#This Row],[Order Date]],"mmm")</f>
        <v>Oct</v>
      </c>
      <c r="D405" t="s">
        <v>1227</v>
      </c>
      <c r="E405" t="s">
        <v>109</v>
      </c>
      <c r="F405" t="s">
        <v>154</v>
      </c>
      <c r="G405" t="s">
        <v>111</v>
      </c>
      <c r="H405" t="s">
        <v>142</v>
      </c>
      <c r="I405" t="s">
        <v>214</v>
      </c>
      <c r="J405" t="s">
        <v>308</v>
      </c>
      <c r="K405" t="s">
        <v>309</v>
      </c>
      <c r="L405" t="s">
        <v>1228</v>
      </c>
      <c r="M405" t="s">
        <v>106</v>
      </c>
      <c r="N405" t="s">
        <v>95</v>
      </c>
      <c r="O405" t="s">
        <v>96</v>
      </c>
      <c r="P405">
        <v>5</v>
      </c>
      <c r="Q405">
        <v>9236.01</v>
      </c>
      <c r="R405" s="19">
        <v>0.15</v>
      </c>
      <c r="S405" s="21">
        <v>6927.01</v>
      </c>
      <c r="T405">
        <v>46180.05</v>
      </c>
      <c r="U405" s="2">
        <v>39253.040000000001</v>
      </c>
      <c r="V405">
        <v>29.01</v>
      </c>
      <c r="W405">
        <v>19613.759999999998</v>
      </c>
      <c r="X405" s="2">
        <v>19610.27</v>
      </c>
      <c r="Y405">
        <v>0.49959999999999999</v>
      </c>
      <c r="Z405">
        <v>0</v>
      </c>
      <c r="AA405" t="s">
        <v>97</v>
      </c>
      <c r="AB405" t="s">
        <v>47</v>
      </c>
      <c r="AE405" s="2">
        <v>35656.699999999997</v>
      </c>
      <c r="AF405">
        <v>1.1009</v>
      </c>
      <c r="AG405" t="s">
        <v>49</v>
      </c>
      <c r="AH405" s="23">
        <f>SUM(Amazon_Data_Set[[#This Row],[Gross Sales]]-Amazon_Data_Set[[#This Row],[Discount Amount]])</f>
        <v>39253.040000000001</v>
      </c>
    </row>
    <row r="406" spans="1:34">
      <c r="A406" t="s">
        <v>1229</v>
      </c>
      <c r="B406" s="1">
        <v>46090</v>
      </c>
      <c r="C406" t="str">
        <f>TEXT(Amazon_Data_Set[[#This Row],[Order Date]],"mmm")</f>
        <v>Mar</v>
      </c>
      <c r="D406" t="s">
        <v>993</v>
      </c>
      <c r="E406" t="s">
        <v>80</v>
      </c>
      <c r="F406" t="s">
        <v>81</v>
      </c>
      <c r="G406" t="s">
        <v>82</v>
      </c>
      <c r="H406" t="s">
        <v>83</v>
      </c>
      <c r="I406" t="s">
        <v>188</v>
      </c>
      <c r="J406" t="s">
        <v>189</v>
      </c>
      <c r="K406" t="s">
        <v>190</v>
      </c>
      <c r="L406" t="s">
        <v>1230</v>
      </c>
      <c r="M406" t="s">
        <v>106</v>
      </c>
      <c r="N406" t="s">
        <v>95</v>
      </c>
      <c r="O406" t="s">
        <v>45</v>
      </c>
      <c r="P406">
        <v>1</v>
      </c>
      <c r="Q406">
        <v>306.5</v>
      </c>
      <c r="R406" s="19">
        <v>0.25</v>
      </c>
      <c r="S406" s="21">
        <v>76.62</v>
      </c>
      <c r="T406">
        <v>306.5</v>
      </c>
      <c r="U406" s="2">
        <v>229.88</v>
      </c>
      <c r="V406">
        <v>189.15</v>
      </c>
      <c r="W406">
        <v>116.38</v>
      </c>
      <c r="X406" s="2">
        <v>-75.650000000000006</v>
      </c>
      <c r="Y406">
        <v>-0.3291</v>
      </c>
      <c r="Z406">
        <v>3</v>
      </c>
      <c r="AA406" t="s">
        <v>46</v>
      </c>
      <c r="AB406" t="s">
        <v>47</v>
      </c>
      <c r="AD406">
        <v>5</v>
      </c>
      <c r="AE406" s="2">
        <v>209.37</v>
      </c>
      <c r="AF406">
        <v>1.0980000000000001</v>
      </c>
      <c r="AG406" t="s">
        <v>49</v>
      </c>
      <c r="AH406" s="23">
        <f>SUM(Amazon_Data_Set[[#This Row],[Gross Sales]]-Amazon_Data_Set[[#This Row],[Discount Amount]])</f>
        <v>229.88</v>
      </c>
    </row>
    <row r="407" spans="1:34">
      <c r="A407" t="s">
        <v>1231</v>
      </c>
      <c r="B407" s="1">
        <v>46053</v>
      </c>
      <c r="C407" t="str">
        <f>TEXT(Amazon_Data_Set[[#This Row],[Order Date]],"mmm")</f>
        <v>Jan</v>
      </c>
      <c r="D407" t="s">
        <v>1232</v>
      </c>
      <c r="E407" t="s">
        <v>52</v>
      </c>
      <c r="F407" t="s">
        <v>53</v>
      </c>
      <c r="G407" t="s">
        <v>54</v>
      </c>
      <c r="H407" t="s">
        <v>83</v>
      </c>
      <c r="I407" t="s">
        <v>84</v>
      </c>
      <c r="J407" t="s">
        <v>277</v>
      </c>
      <c r="K407" t="s">
        <v>86</v>
      </c>
      <c r="L407" t="s">
        <v>1233</v>
      </c>
      <c r="M407" t="s">
        <v>43</v>
      </c>
      <c r="N407" t="s">
        <v>70</v>
      </c>
      <c r="O407" t="s">
        <v>96</v>
      </c>
      <c r="P407">
        <v>2</v>
      </c>
      <c r="Q407">
        <v>179.48</v>
      </c>
      <c r="R407" s="19">
        <v>0.05</v>
      </c>
      <c r="S407" s="21">
        <v>17.95</v>
      </c>
      <c r="T407">
        <v>358.96</v>
      </c>
      <c r="U407" s="2">
        <v>341.01</v>
      </c>
      <c r="V407">
        <v>206.87</v>
      </c>
      <c r="W407">
        <v>178.18</v>
      </c>
      <c r="X407" s="2">
        <v>-44.04</v>
      </c>
      <c r="Y407">
        <v>-0.12909999999999999</v>
      </c>
      <c r="Z407">
        <v>0</v>
      </c>
      <c r="AA407" t="s">
        <v>97</v>
      </c>
      <c r="AB407" t="s">
        <v>47</v>
      </c>
      <c r="AE407" s="2">
        <v>385.77</v>
      </c>
      <c r="AF407">
        <v>0.88400000000000001</v>
      </c>
      <c r="AG407" t="s">
        <v>49</v>
      </c>
      <c r="AH407" s="23">
        <f>SUM(Amazon_Data_Set[[#This Row],[Gross Sales]]-Amazon_Data_Set[[#This Row],[Discount Amount]])</f>
        <v>341.01</v>
      </c>
    </row>
    <row r="408" spans="1:34">
      <c r="A408" t="s">
        <v>1234</v>
      </c>
      <c r="B408" s="1">
        <v>46335</v>
      </c>
      <c r="C408" t="str">
        <f>TEXT(Amazon_Data_Set[[#This Row],[Order Date]],"mmm")</f>
        <v>Nov</v>
      </c>
      <c r="D408" t="s">
        <v>1126</v>
      </c>
      <c r="E408" t="s">
        <v>194</v>
      </c>
      <c r="F408" t="s">
        <v>195</v>
      </c>
      <c r="G408" t="s">
        <v>111</v>
      </c>
      <c r="H408" t="s">
        <v>38</v>
      </c>
      <c r="I408" t="s">
        <v>39</v>
      </c>
      <c r="J408" t="s">
        <v>40</v>
      </c>
      <c r="K408" t="s">
        <v>41</v>
      </c>
      <c r="L408" t="s">
        <v>1235</v>
      </c>
      <c r="M408" t="s">
        <v>43</v>
      </c>
      <c r="N408" t="s">
        <v>60</v>
      </c>
      <c r="O408" t="s">
        <v>45</v>
      </c>
      <c r="P408">
        <v>4</v>
      </c>
      <c r="Q408">
        <v>1475.21</v>
      </c>
      <c r="R408" s="19">
        <v>0.15</v>
      </c>
      <c r="S408" s="21">
        <v>885.13</v>
      </c>
      <c r="T408">
        <v>5900.84</v>
      </c>
      <c r="U408" s="2">
        <v>5015.71</v>
      </c>
      <c r="V408">
        <v>184.46</v>
      </c>
      <c r="W408">
        <v>3578.79</v>
      </c>
      <c r="X408" s="2">
        <v>1252.46</v>
      </c>
      <c r="Y408">
        <v>0.24970000000000001</v>
      </c>
      <c r="Z408">
        <v>4</v>
      </c>
      <c r="AA408" t="s">
        <v>46</v>
      </c>
      <c r="AB408" t="s">
        <v>47</v>
      </c>
      <c r="AD408">
        <v>4</v>
      </c>
      <c r="AE408" s="2">
        <v>4945.76</v>
      </c>
      <c r="AF408">
        <v>1.0141</v>
      </c>
      <c r="AG408" t="s">
        <v>49</v>
      </c>
      <c r="AH408" s="23">
        <f>SUM(Amazon_Data_Set[[#This Row],[Gross Sales]]-Amazon_Data_Set[[#This Row],[Discount Amount]])</f>
        <v>5015.71</v>
      </c>
    </row>
    <row r="409" spans="1:34">
      <c r="A409" t="s">
        <v>1236</v>
      </c>
      <c r="B409" s="1">
        <v>46127</v>
      </c>
      <c r="C409" t="str">
        <f>TEXT(Amazon_Data_Set[[#This Row],[Order Date]],"mmm")</f>
        <v>Apr</v>
      </c>
      <c r="D409" t="s">
        <v>1237</v>
      </c>
      <c r="E409" t="s">
        <v>80</v>
      </c>
      <c r="F409" t="s">
        <v>81</v>
      </c>
      <c r="G409" t="s">
        <v>82</v>
      </c>
      <c r="H409" t="s">
        <v>90</v>
      </c>
      <c r="I409" t="s">
        <v>91</v>
      </c>
      <c r="J409" t="s">
        <v>443</v>
      </c>
      <c r="K409" t="s">
        <v>444</v>
      </c>
      <c r="L409" t="s">
        <v>1238</v>
      </c>
      <c r="M409" t="s">
        <v>106</v>
      </c>
      <c r="N409" t="s">
        <v>77</v>
      </c>
      <c r="O409" t="s">
        <v>45</v>
      </c>
      <c r="P409">
        <v>5</v>
      </c>
      <c r="Q409">
        <v>1499.1</v>
      </c>
      <c r="R409" s="19">
        <v>0</v>
      </c>
      <c r="S409" s="21">
        <v>0</v>
      </c>
      <c r="T409">
        <v>7495.5</v>
      </c>
      <c r="U409" s="2">
        <v>7495.5</v>
      </c>
      <c r="V409">
        <v>127.14</v>
      </c>
      <c r="W409">
        <v>5237.62</v>
      </c>
      <c r="X409" s="2">
        <v>2130.7399999999998</v>
      </c>
      <c r="Y409">
        <v>0.2843</v>
      </c>
      <c r="Z409">
        <v>6</v>
      </c>
      <c r="AA409" t="s">
        <v>61</v>
      </c>
      <c r="AB409" t="s">
        <v>47</v>
      </c>
      <c r="AD409">
        <v>5</v>
      </c>
      <c r="AE409" s="2">
        <v>8122.96</v>
      </c>
      <c r="AF409">
        <v>0.92279999999999995</v>
      </c>
      <c r="AG409" t="s">
        <v>49</v>
      </c>
      <c r="AH409" s="23">
        <f>SUM(Amazon_Data_Set[[#This Row],[Gross Sales]]-Amazon_Data_Set[[#This Row],[Discount Amount]])</f>
        <v>7495.5</v>
      </c>
    </row>
    <row r="410" spans="1:34">
      <c r="A410" t="s">
        <v>1239</v>
      </c>
      <c r="B410" s="1">
        <v>46184</v>
      </c>
      <c r="C410" t="str">
        <f>TEXT(Amazon_Data_Set[[#This Row],[Order Date]],"mmm")</f>
        <v>Jun</v>
      </c>
      <c r="D410" t="s">
        <v>553</v>
      </c>
      <c r="E410" t="s">
        <v>275</v>
      </c>
      <c r="F410" t="s">
        <v>276</v>
      </c>
      <c r="G410" t="s">
        <v>37</v>
      </c>
      <c r="H410" t="s">
        <v>83</v>
      </c>
      <c r="I410" t="s">
        <v>102</v>
      </c>
      <c r="J410" t="s">
        <v>373</v>
      </c>
      <c r="K410" t="s">
        <v>374</v>
      </c>
      <c r="L410" t="s">
        <v>1240</v>
      </c>
      <c r="M410" t="s">
        <v>43</v>
      </c>
      <c r="N410" t="s">
        <v>95</v>
      </c>
      <c r="O410" t="s">
        <v>96</v>
      </c>
      <c r="P410">
        <v>3</v>
      </c>
      <c r="Q410">
        <v>161.13999999999999</v>
      </c>
      <c r="R410" s="19">
        <v>0</v>
      </c>
      <c r="S410" s="21">
        <v>0</v>
      </c>
      <c r="T410">
        <v>483.42</v>
      </c>
      <c r="U410" s="2">
        <v>483.42</v>
      </c>
      <c r="V410">
        <v>227.97</v>
      </c>
      <c r="W410">
        <v>236.19</v>
      </c>
      <c r="X410" s="2">
        <v>19.260000000000002</v>
      </c>
      <c r="Y410">
        <v>3.9800000000000002E-2</v>
      </c>
      <c r="Z410">
        <v>0</v>
      </c>
      <c r="AA410" t="s">
        <v>97</v>
      </c>
      <c r="AB410" t="s">
        <v>47</v>
      </c>
      <c r="AE410" s="2">
        <v>543.45000000000005</v>
      </c>
      <c r="AF410">
        <v>0.88949999999999996</v>
      </c>
      <c r="AG410" t="s">
        <v>49</v>
      </c>
      <c r="AH410" s="23">
        <f>SUM(Amazon_Data_Set[[#This Row],[Gross Sales]]-Amazon_Data_Set[[#This Row],[Discount Amount]])</f>
        <v>483.42</v>
      </c>
    </row>
    <row r="411" spans="1:34">
      <c r="A411" t="s">
        <v>1241</v>
      </c>
      <c r="B411" s="1">
        <v>46329</v>
      </c>
      <c r="C411" t="str">
        <f>TEXT(Amazon_Data_Set[[#This Row],[Order Date]],"mmm")</f>
        <v>Nov</v>
      </c>
      <c r="D411" t="s">
        <v>663</v>
      </c>
      <c r="E411" t="s">
        <v>174</v>
      </c>
      <c r="F411" t="s">
        <v>175</v>
      </c>
      <c r="G411" t="s">
        <v>82</v>
      </c>
      <c r="H411" t="s">
        <v>90</v>
      </c>
      <c r="I411" t="s">
        <v>112</v>
      </c>
      <c r="J411" t="s">
        <v>134</v>
      </c>
      <c r="K411" t="s">
        <v>135</v>
      </c>
      <c r="L411" t="s">
        <v>1242</v>
      </c>
      <c r="M411" t="s">
        <v>43</v>
      </c>
      <c r="N411" t="s">
        <v>124</v>
      </c>
      <c r="O411" t="s">
        <v>45</v>
      </c>
      <c r="P411">
        <v>3</v>
      </c>
      <c r="Q411">
        <v>1415.94</v>
      </c>
      <c r="R411" s="19">
        <v>0.05</v>
      </c>
      <c r="S411" s="21">
        <v>212.39</v>
      </c>
      <c r="T411">
        <v>4247.82</v>
      </c>
      <c r="U411" s="2">
        <v>4035.43</v>
      </c>
      <c r="V411">
        <v>156.34</v>
      </c>
      <c r="W411">
        <v>2404.02</v>
      </c>
      <c r="X411" s="2">
        <v>1475.07</v>
      </c>
      <c r="Y411">
        <v>0.36549999999999999</v>
      </c>
      <c r="Z411">
        <v>6</v>
      </c>
      <c r="AA411" t="s">
        <v>61</v>
      </c>
      <c r="AB411" t="s">
        <v>47</v>
      </c>
      <c r="AD411">
        <v>5</v>
      </c>
      <c r="AE411" s="2">
        <v>4447.1400000000003</v>
      </c>
      <c r="AF411">
        <v>0.90739999999999998</v>
      </c>
      <c r="AG411" t="s">
        <v>49</v>
      </c>
      <c r="AH411" s="23">
        <f>SUM(Amazon_Data_Set[[#This Row],[Gross Sales]]-Amazon_Data_Set[[#This Row],[Discount Amount]])</f>
        <v>4035.43</v>
      </c>
    </row>
    <row r="412" spans="1:34">
      <c r="A412" t="s">
        <v>1243</v>
      </c>
      <c r="B412" s="1">
        <v>46344</v>
      </c>
      <c r="C412" t="str">
        <f>TEXT(Amazon_Data_Set[[#This Row],[Order Date]],"mmm")</f>
        <v>Nov</v>
      </c>
      <c r="D412" t="s">
        <v>721</v>
      </c>
      <c r="E412" t="s">
        <v>275</v>
      </c>
      <c r="F412" t="s">
        <v>276</v>
      </c>
      <c r="G412" t="s">
        <v>37</v>
      </c>
      <c r="H412" t="s">
        <v>90</v>
      </c>
      <c r="I412" t="s">
        <v>91</v>
      </c>
      <c r="J412" t="s">
        <v>92</v>
      </c>
      <c r="K412" t="s">
        <v>93</v>
      </c>
      <c r="L412" t="s">
        <v>1244</v>
      </c>
      <c r="M412" t="s">
        <v>106</v>
      </c>
      <c r="N412" t="s">
        <v>95</v>
      </c>
      <c r="O412" t="s">
        <v>45</v>
      </c>
      <c r="P412">
        <v>5</v>
      </c>
      <c r="Q412">
        <v>1215.52</v>
      </c>
      <c r="R412" s="19">
        <v>0</v>
      </c>
      <c r="S412" s="21">
        <v>0</v>
      </c>
      <c r="T412">
        <v>6077.6</v>
      </c>
      <c r="U412" s="2">
        <v>6077.6</v>
      </c>
      <c r="V412">
        <v>111.34</v>
      </c>
      <c r="W412">
        <v>4206.49</v>
      </c>
      <c r="X412" s="2">
        <v>1759.77</v>
      </c>
      <c r="Y412">
        <v>0.28960000000000002</v>
      </c>
      <c r="Z412">
        <v>8</v>
      </c>
      <c r="AA412" t="s">
        <v>61</v>
      </c>
      <c r="AB412" t="s">
        <v>48</v>
      </c>
      <c r="AC412" t="s">
        <v>158</v>
      </c>
      <c r="AD412">
        <v>5</v>
      </c>
      <c r="AE412" s="2">
        <v>7247.05</v>
      </c>
      <c r="AF412">
        <v>0.83860000000000001</v>
      </c>
      <c r="AG412" t="s">
        <v>49</v>
      </c>
      <c r="AH412" s="23">
        <f>SUM(Amazon_Data_Set[[#This Row],[Gross Sales]]-Amazon_Data_Set[[#This Row],[Discount Amount]])</f>
        <v>6077.6</v>
      </c>
    </row>
    <row r="413" spans="1:34">
      <c r="A413" t="s">
        <v>1245</v>
      </c>
      <c r="B413" s="1">
        <v>46040</v>
      </c>
      <c r="C413" t="str">
        <f>TEXT(Amazon_Data_Set[[#This Row],[Order Date]],"mmm")</f>
        <v>Jan</v>
      </c>
      <c r="D413" t="s">
        <v>814</v>
      </c>
      <c r="E413" t="s">
        <v>64</v>
      </c>
      <c r="F413" t="s">
        <v>65</v>
      </c>
      <c r="G413" t="s">
        <v>54</v>
      </c>
      <c r="H413" t="s">
        <v>38</v>
      </c>
      <c r="I413" t="s">
        <v>66</v>
      </c>
      <c r="J413" t="s">
        <v>67</v>
      </c>
      <c r="K413" t="s">
        <v>68</v>
      </c>
      <c r="L413" t="s">
        <v>1246</v>
      </c>
      <c r="M413" t="s">
        <v>43</v>
      </c>
      <c r="N413" t="s">
        <v>60</v>
      </c>
      <c r="O413" t="s">
        <v>130</v>
      </c>
      <c r="P413">
        <v>2</v>
      </c>
      <c r="Q413">
        <v>949.81</v>
      </c>
      <c r="R413" s="19">
        <v>0.1</v>
      </c>
      <c r="S413" s="21">
        <v>189.96</v>
      </c>
      <c r="T413">
        <v>1899.62</v>
      </c>
      <c r="U413" s="2">
        <v>1709.66</v>
      </c>
      <c r="V413">
        <v>167.38</v>
      </c>
      <c r="W413">
        <v>1231.58</v>
      </c>
      <c r="X413" s="2">
        <v>310.7</v>
      </c>
      <c r="Y413">
        <v>0.1817</v>
      </c>
      <c r="Z413">
        <v>3</v>
      </c>
      <c r="AA413" t="s">
        <v>131</v>
      </c>
      <c r="AB413" t="s">
        <v>47</v>
      </c>
      <c r="AE413" s="2">
        <v>1563.46</v>
      </c>
      <c r="AF413">
        <v>1.0934999999999999</v>
      </c>
      <c r="AG413" t="s">
        <v>49</v>
      </c>
      <c r="AH413" s="23">
        <f>SUM(Amazon_Data_Set[[#This Row],[Gross Sales]]-Amazon_Data_Set[[#This Row],[Discount Amount]])</f>
        <v>1709.6599999999999</v>
      </c>
    </row>
    <row r="414" spans="1:34">
      <c r="A414" t="s">
        <v>1247</v>
      </c>
      <c r="B414" s="1">
        <v>46043</v>
      </c>
      <c r="C414" t="str">
        <f>TEXT(Amazon_Data_Set[[#This Row],[Order Date]],"mmm")</f>
        <v>Jan</v>
      </c>
      <c r="D414" t="s">
        <v>1037</v>
      </c>
      <c r="E414" t="s">
        <v>167</v>
      </c>
      <c r="F414" t="s">
        <v>168</v>
      </c>
      <c r="G414" t="s">
        <v>111</v>
      </c>
      <c r="H414" t="s">
        <v>142</v>
      </c>
      <c r="I414" t="s">
        <v>143</v>
      </c>
      <c r="J414" t="s">
        <v>200</v>
      </c>
      <c r="K414" t="s">
        <v>201</v>
      </c>
      <c r="L414" t="s">
        <v>1248</v>
      </c>
      <c r="M414" t="s">
        <v>43</v>
      </c>
      <c r="N414" t="s">
        <v>77</v>
      </c>
      <c r="O414" t="s">
        <v>130</v>
      </c>
      <c r="P414">
        <v>3</v>
      </c>
      <c r="Q414">
        <v>4496.3599999999997</v>
      </c>
      <c r="R414" s="19">
        <v>0.25</v>
      </c>
      <c r="S414" s="21">
        <v>3372.27</v>
      </c>
      <c r="T414">
        <v>13489.08</v>
      </c>
      <c r="U414" s="2">
        <v>10116.81</v>
      </c>
      <c r="V414">
        <v>95.9</v>
      </c>
      <c r="W414">
        <v>6237.14</v>
      </c>
      <c r="X414" s="2">
        <v>3783.77</v>
      </c>
      <c r="Y414">
        <v>0.374</v>
      </c>
      <c r="Z414">
        <v>5</v>
      </c>
      <c r="AA414" t="s">
        <v>131</v>
      </c>
      <c r="AB414" t="s">
        <v>47</v>
      </c>
      <c r="AE414" s="2">
        <v>9509.49</v>
      </c>
      <c r="AF414">
        <v>1.0639000000000001</v>
      </c>
      <c r="AG414" t="s">
        <v>49</v>
      </c>
      <c r="AH414" s="23">
        <f>SUM(Amazon_Data_Set[[#This Row],[Gross Sales]]-Amazon_Data_Set[[#This Row],[Discount Amount]])</f>
        <v>10116.81</v>
      </c>
    </row>
    <row r="415" spans="1:34">
      <c r="A415" t="s">
        <v>1249</v>
      </c>
      <c r="B415" s="1">
        <v>46174</v>
      </c>
      <c r="C415" t="str">
        <f>TEXT(Amazon_Data_Set[[#This Row],[Order Date]],"mmm")</f>
        <v>Jun</v>
      </c>
      <c r="D415" t="s">
        <v>1250</v>
      </c>
      <c r="E415" t="s">
        <v>118</v>
      </c>
      <c r="F415" t="s">
        <v>119</v>
      </c>
      <c r="G415" t="s">
        <v>82</v>
      </c>
      <c r="H415" t="s">
        <v>55</v>
      </c>
      <c r="I415" t="s">
        <v>56</v>
      </c>
      <c r="J415" t="s">
        <v>366</v>
      </c>
      <c r="K415" t="s">
        <v>367</v>
      </c>
      <c r="L415" t="s">
        <v>1251</v>
      </c>
      <c r="M415" t="s">
        <v>106</v>
      </c>
      <c r="N415" t="s">
        <v>124</v>
      </c>
      <c r="O415" t="s">
        <v>130</v>
      </c>
      <c r="P415">
        <v>3</v>
      </c>
      <c r="Q415">
        <v>50501.98</v>
      </c>
      <c r="R415" s="19">
        <v>0.15</v>
      </c>
      <c r="S415" s="21">
        <v>22725.89</v>
      </c>
      <c r="T415">
        <v>151505.94</v>
      </c>
      <c r="U415" s="2">
        <v>128780.05</v>
      </c>
      <c r="V415">
        <v>117.6</v>
      </c>
      <c r="W415">
        <v>74413.47</v>
      </c>
      <c r="X415" s="2">
        <v>54248.98</v>
      </c>
      <c r="Y415">
        <v>0.42130000000000001</v>
      </c>
      <c r="Z415">
        <v>1</v>
      </c>
      <c r="AA415" t="s">
        <v>131</v>
      </c>
      <c r="AB415" t="s">
        <v>47</v>
      </c>
      <c r="AE415" s="2">
        <v>144642.79999999999</v>
      </c>
      <c r="AF415">
        <v>0.89029999999999998</v>
      </c>
      <c r="AG415" t="s">
        <v>49</v>
      </c>
      <c r="AH415" s="23">
        <f>SUM(Amazon_Data_Set[[#This Row],[Gross Sales]]-Amazon_Data_Set[[#This Row],[Discount Amount]])</f>
        <v>128780.05</v>
      </c>
    </row>
    <row r="416" spans="1:34">
      <c r="A416" t="s">
        <v>1252</v>
      </c>
      <c r="B416" s="1">
        <v>46090</v>
      </c>
      <c r="C416" t="str">
        <f>TEXT(Amazon_Data_Set[[#This Row],[Order Date]],"mmm")</f>
        <v>Mar</v>
      </c>
      <c r="D416" t="s">
        <v>561</v>
      </c>
      <c r="E416" t="s">
        <v>80</v>
      </c>
      <c r="F416" t="s">
        <v>81</v>
      </c>
      <c r="G416" t="s">
        <v>82</v>
      </c>
      <c r="H416" t="s">
        <v>142</v>
      </c>
      <c r="I416" t="s">
        <v>143</v>
      </c>
      <c r="J416" t="s">
        <v>200</v>
      </c>
      <c r="K416" t="s">
        <v>201</v>
      </c>
      <c r="L416" t="s">
        <v>1253</v>
      </c>
      <c r="M416" t="s">
        <v>106</v>
      </c>
      <c r="N416" t="s">
        <v>70</v>
      </c>
      <c r="O416" t="s">
        <v>45</v>
      </c>
      <c r="P416">
        <v>4</v>
      </c>
      <c r="Q416">
        <v>7481.39</v>
      </c>
      <c r="R416" s="19">
        <v>0</v>
      </c>
      <c r="S416" s="21">
        <v>0</v>
      </c>
      <c r="T416">
        <v>29925.56</v>
      </c>
      <c r="U416" s="2">
        <v>29925.56</v>
      </c>
      <c r="V416">
        <v>82.64</v>
      </c>
      <c r="W416">
        <v>22275.27</v>
      </c>
      <c r="X416" s="2">
        <v>7567.65</v>
      </c>
      <c r="Y416">
        <v>0.25290000000000001</v>
      </c>
      <c r="Z416">
        <v>7</v>
      </c>
      <c r="AA416" t="s">
        <v>61</v>
      </c>
      <c r="AB416" t="s">
        <v>47</v>
      </c>
      <c r="AD416">
        <v>5</v>
      </c>
      <c r="AE416" s="2">
        <v>34845.629999999997</v>
      </c>
      <c r="AF416">
        <v>0.85880000000000001</v>
      </c>
      <c r="AG416" t="s">
        <v>49</v>
      </c>
      <c r="AH416" s="23">
        <f>SUM(Amazon_Data_Set[[#This Row],[Gross Sales]]-Amazon_Data_Set[[#This Row],[Discount Amount]])</f>
        <v>29925.56</v>
      </c>
    </row>
    <row r="417" spans="1:34">
      <c r="A417" t="s">
        <v>1254</v>
      </c>
      <c r="B417" s="1">
        <v>46028</v>
      </c>
      <c r="C417" t="str">
        <f>TEXT(Amazon_Data_Set[[#This Row],[Order Date]],"mmm")</f>
        <v>Jan</v>
      </c>
      <c r="D417" t="s">
        <v>133</v>
      </c>
      <c r="E417" t="s">
        <v>52</v>
      </c>
      <c r="F417" t="s">
        <v>53</v>
      </c>
      <c r="G417" t="s">
        <v>54</v>
      </c>
      <c r="H417" t="s">
        <v>38</v>
      </c>
      <c r="I417" t="s">
        <v>161</v>
      </c>
      <c r="J417" t="s">
        <v>297</v>
      </c>
      <c r="K417" t="s">
        <v>298</v>
      </c>
      <c r="L417" t="s">
        <v>1255</v>
      </c>
      <c r="M417" t="s">
        <v>106</v>
      </c>
      <c r="N417" t="s">
        <v>60</v>
      </c>
      <c r="O417" t="s">
        <v>45</v>
      </c>
      <c r="P417">
        <v>2</v>
      </c>
      <c r="Q417">
        <v>1966.6</v>
      </c>
      <c r="R417" s="19">
        <v>0.3</v>
      </c>
      <c r="S417" s="21">
        <v>1179.96</v>
      </c>
      <c r="T417">
        <v>3933.2</v>
      </c>
      <c r="U417" s="2">
        <v>2753.24</v>
      </c>
      <c r="V417">
        <v>222.69</v>
      </c>
      <c r="W417">
        <v>2021.53</v>
      </c>
      <c r="X417" s="2">
        <v>509.02</v>
      </c>
      <c r="Y417">
        <v>0.18490000000000001</v>
      </c>
      <c r="Z417">
        <v>4</v>
      </c>
      <c r="AA417" t="s">
        <v>46</v>
      </c>
      <c r="AB417" t="s">
        <v>47</v>
      </c>
      <c r="AD417">
        <v>5</v>
      </c>
      <c r="AE417" s="2">
        <v>2986.82</v>
      </c>
      <c r="AF417">
        <v>0.92179999999999995</v>
      </c>
      <c r="AG417" t="s">
        <v>49</v>
      </c>
      <c r="AH417" s="23">
        <f>SUM(Amazon_Data_Set[[#This Row],[Gross Sales]]-Amazon_Data_Set[[#This Row],[Discount Amount]])</f>
        <v>2753.24</v>
      </c>
    </row>
    <row r="418" spans="1:34">
      <c r="A418" t="s">
        <v>1256</v>
      </c>
      <c r="B418" s="1">
        <v>46025</v>
      </c>
      <c r="C418" t="str">
        <f>TEXT(Amazon_Data_Set[[#This Row],[Order Date]],"mmm")</f>
        <v>Jan</v>
      </c>
      <c r="D418" t="s">
        <v>602</v>
      </c>
      <c r="E418" t="s">
        <v>35</v>
      </c>
      <c r="F418" t="s">
        <v>36</v>
      </c>
      <c r="G418" t="s">
        <v>37</v>
      </c>
      <c r="H418" t="s">
        <v>38</v>
      </c>
      <c r="I418" t="s">
        <v>161</v>
      </c>
      <c r="J418" t="s">
        <v>223</v>
      </c>
      <c r="K418" t="s">
        <v>224</v>
      </c>
      <c r="L418" t="s">
        <v>1257</v>
      </c>
      <c r="M418" t="s">
        <v>43</v>
      </c>
      <c r="N418" t="s">
        <v>95</v>
      </c>
      <c r="O418" t="s">
        <v>45</v>
      </c>
      <c r="P418">
        <v>2</v>
      </c>
      <c r="Q418">
        <v>490.74</v>
      </c>
      <c r="R418" s="19">
        <v>0.15</v>
      </c>
      <c r="S418" s="21">
        <v>147.22</v>
      </c>
      <c r="T418">
        <v>981.48</v>
      </c>
      <c r="U418" s="2">
        <v>834.26</v>
      </c>
      <c r="V418">
        <v>245.69</v>
      </c>
      <c r="W418">
        <v>619.75</v>
      </c>
      <c r="X418" s="2">
        <v>-31.18</v>
      </c>
      <c r="Y418">
        <v>-3.7400000000000003E-2</v>
      </c>
      <c r="Z418">
        <v>6</v>
      </c>
      <c r="AA418" t="s">
        <v>61</v>
      </c>
      <c r="AB418" t="s">
        <v>47</v>
      </c>
      <c r="AD418">
        <v>4</v>
      </c>
      <c r="AE418" s="2">
        <v>773.02</v>
      </c>
      <c r="AF418">
        <v>1.0791999999999999</v>
      </c>
      <c r="AG418" t="s">
        <v>49</v>
      </c>
      <c r="AH418" s="23">
        <f>SUM(Amazon_Data_Set[[#This Row],[Gross Sales]]-Amazon_Data_Set[[#This Row],[Discount Amount]])</f>
        <v>834.26</v>
      </c>
    </row>
    <row r="419" spans="1:34">
      <c r="A419" t="s">
        <v>1258</v>
      </c>
      <c r="B419" s="1">
        <v>46345</v>
      </c>
      <c r="C419" t="str">
        <f>TEXT(Amazon_Data_Set[[#This Row],[Order Date]],"mmm")</f>
        <v>Nov</v>
      </c>
      <c r="D419" t="s">
        <v>738</v>
      </c>
      <c r="E419" t="s">
        <v>118</v>
      </c>
      <c r="F419" t="s">
        <v>119</v>
      </c>
      <c r="G419" t="s">
        <v>82</v>
      </c>
      <c r="H419" t="s">
        <v>90</v>
      </c>
      <c r="I419" t="s">
        <v>91</v>
      </c>
      <c r="J419" t="s">
        <v>92</v>
      </c>
      <c r="K419" t="s">
        <v>93</v>
      </c>
      <c r="L419" t="s">
        <v>1259</v>
      </c>
      <c r="M419" t="s">
        <v>43</v>
      </c>
      <c r="N419" t="s">
        <v>70</v>
      </c>
      <c r="O419" t="s">
        <v>45</v>
      </c>
      <c r="P419">
        <v>2</v>
      </c>
      <c r="Q419">
        <v>278.93</v>
      </c>
      <c r="R419" s="19">
        <v>0.25</v>
      </c>
      <c r="S419" s="21">
        <v>139.47</v>
      </c>
      <c r="T419">
        <v>557.86</v>
      </c>
      <c r="U419" s="2">
        <v>418.39</v>
      </c>
      <c r="V419">
        <v>138.13999999999999</v>
      </c>
      <c r="W419">
        <v>249.6</v>
      </c>
      <c r="X419" s="2">
        <v>30.65</v>
      </c>
      <c r="Y419">
        <v>7.3300000000000004E-2</v>
      </c>
      <c r="Z419">
        <v>4</v>
      </c>
      <c r="AA419" t="s">
        <v>46</v>
      </c>
      <c r="AB419" t="s">
        <v>47</v>
      </c>
      <c r="AD419">
        <v>5</v>
      </c>
      <c r="AE419" s="2">
        <v>472.14</v>
      </c>
      <c r="AF419">
        <v>0.88619999999999999</v>
      </c>
      <c r="AG419" t="s">
        <v>49</v>
      </c>
      <c r="AH419" s="23">
        <f>SUM(Amazon_Data_Set[[#This Row],[Gross Sales]]-Amazon_Data_Set[[#This Row],[Discount Amount]])</f>
        <v>418.39</v>
      </c>
    </row>
    <row r="420" spans="1:34">
      <c r="A420" t="s">
        <v>1260</v>
      </c>
      <c r="B420" s="1">
        <v>46334</v>
      </c>
      <c r="C420" t="str">
        <f>TEXT(Amazon_Data_Set[[#This Row],[Order Date]],"mmm")</f>
        <v>Nov</v>
      </c>
      <c r="D420" t="s">
        <v>63</v>
      </c>
      <c r="E420" t="s">
        <v>235</v>
      </c>
      <c r="F420" t="s">
        <v>236</v>
      </c>
      <c r="G420" t="s">
        <v>82</v>
      </c>
      <c r="H420" t="s">
        <v>55</v>
      </c>
      <c r="I420" t="s">
        <v>56</v>
      </c>
      <c r="J420" t="s">
        <v>366</v>
      </c>
      <c r="K420" t="s">
        <v>367</v>
      </c>
      <c r="L420" t="s">
        <v>1261</v>
      </c>
      <c r="M420" t="s">
        <v>43</v>
      </c>
      <c r="N420" t="s">
        <v>95</v>
      </c>
      <c r="O420" t="s">
        <v>45</v>
      </c>
      <c r="P420">
        <v>5</v>
      </c>
      <c r="Q420">
        <v>10057.01</v>
      </c>
      <c r="R420" s="19">
        <v>0</v>
      </c>
      <c r="S420" s="21">
        <v>0</v>
      </c>
      <c r="T420">
        <v>50285.05</v>
      </c>
      <c r="U420" s="2">
        <v>50285.05</v>
      </c>
      <c r="V420">
        <v>112.95</v>
      </c>
      <c r="W420">
        <v>29574.18</v>
      </c>
      <c r="X420" s="2">
        <v>20597.919999999998</v>
      </c>
      <c r="Y420">
        <v>0.40960000000000002</v>
      </c>
      <c r="Z420">
        <v>3</v>
      </c>
      <c r="AA420" t="s">
        <v>46</v>
      </c>
      <c r="AB420" t="s">
        <v>47</v>
      </c>
      <c r="AD420">
        <v>5</v>
      </c>
      <c r="AE420" s="2">
        <v>59793.97</v>
      </c>
      <c r="AF420">
        <v>0.84099999999999997</v>
      </c>
      <c r="AG420" t="s">
        <v>49</v>
      </c>
      <c r="AH420" s="23">
        <f>SUM(Amazon_Data_Set[[#This Row],[Gross Sales]]-Amazon_Data_Set[[#This Row],[Discount Amount]])</f>
        <v>50285.05</v>
      </c>
    </row>
    <row r="421" spans="1:34">
      <c r="A421" t="s">
        <v>1262</v>
      </c>
      <c r="B421" s="1">
        <v>46223</v>
      </c>
      <c r="C421" t="str">
        <f>TEXT(Amazon_Data_Set[[#This Row],[Order Date]],"mmm")</f>
        <v>Jul</v>
      </c>
      <c r="D421" t="s">
        <v>1263</v>
      </c>
      <c r="E421" t="s">
        <v>80</v>
      </c>
      <c r="F421" t="s">
        <v>81</v>
      </c>
      <c r="G421" t="s">
        <v>82</v>
      </c>
      <c r="H421" t="s">
        <v>90</v>
      </c>
      <c r="I421" t="s">
        <v>91</v>
      </c>
      <c r="J421" t="s">
        <v>443</v>
      </c>
      <c r="K421" t="s">
        <v>444</v>
      </c>
      <c r="L421" t="s">
        <v>1264</v>
      </c>
      <c r="M421" t="s">
        <v>43</v>
      </c>
      <c r="N421" t="s">
        <v>60</v>
      </c>
      <c r="O421" t="s">
        <v>45</v>
      </c>
      <c r="P421">
        <v>4</v>
      </c>
      <c r="Q421">
        <v>678.05</v>
      </c>
      <c r="R421" s="19">
        <v>0.25</v>
      </c>
      <c r="S421" s="21">
        <v>678.05</v>
      </c>
      <c r="T421">
        <v>2712.2</v>
      </c>
      <c r="U421" s="2">
        <v>2034.15</v>
      </c>
      <c r="V421">
        <v>22.03</v>
      </c>
      <c r="W421">
        <v>1141.73</v>
      </c>
      <c r="X421" s="2">
        <v>870.39</v>
      </c>
      <c r="Y421">
        <v>0.4279</v>
      </c>
      <c r="Z421">
        <v>2</v>
      </c>
      <c r="AA421" t="s">
        <v>46</v>
      </c>
      <c r="AB421" t="s">
        <v>47</v>
      </c>
      <c r="AD421">
        <v>3</v>
      </c>
      <c r="AE421" s="2">
        <v>1882.69</v>
      </c>
      <c r="AF421">
        <v>1.0804</v>
      </c>
      <c r="AG421" t="s">
        <v>49</v>
      </c>
      <c r="AH421" s="23">
        <f>SUM(Amazon_Data_Set[[#This Row],[Gross Sales]]-Amazon_Data_Set[[#This Row],[Discount Amount]])</f>
        <v>2034.1499999999999</v>
      </c>
    </row>
    <row r="422" spans="1:34">
      <c r="A422" t="s">
        <v>1265</v>
      </c>
      <c r="B422" s="1">
        <v>46162</v>
      </c>
      <c r="C422" t="str">
        <f>TEXT(Amazon_Data_Set[[#This Row],[Order Date]],"mmm")</f>
        <v>May</v>
      </c>
      <c r="D422" t="s">
        <v>1147</v>
      </c>
      <c r="E422" t="s">
        <v>228</v>
      </c>
      <c r="F422" t="s">
        <v>229</v>
      </c>
      <c r="G422" t="s">
        <v>37</v>
      </c>
      <c r="H422" t="s">
        <v>142</v>
      </c>
      <c r="I422" t="s">
        <v>214</v>
      </c>
      <c r="J422" t="s">
        <v>215</v>
      </c>
      <c r="K422" t="s">
        <v>216</v>
      </c>
      <c r="L422" t="s">
        <v>1266</v>
      </c>
      <c r="M422" t="s">
        <v>43</v>
      </c>
      <c r="N422" t="s">
        <v>60</v>
      </c>
      <c r="O422" t="s">
        <v>45</v>
      </c>
      <c r="P422">
        <v>1</v>
      </c>
      <c r="Q422">
        <v>11126.46</v>
      </c>
      <c r="R422" s="19">
        <v>0</v>
      </c>
      <c r="S422" s="21">
        <v>0</v>
      </c>
      <c r="T422">
        <v>11126.46</v>
      </c>
      <c r="U422" s="2">
        <v>11126.46</v>
      </c>
      <c r="V422">
        <v>205.66</v>
      </c>
      <c r="W422">
        <v>6059.39</v>
      </c>
      <c r="X422" s="2">
        <v>4861.41</v>
      </c>
      <c r="Y422">
        <v>0.43690000000000001</v>
      </c>
      <c r="Z422">
        <v>4</v>
      </c>
      <c r="AA422" t="s">
        <v>46</v>
      </c>
      <c r="AB422" t="s">
        <v>47</v>
      </c>
      <c r="AD422">
        <v>5</v>
      </c>
      <c r="AE422" s="2">
        <v>9474.15</v>
      </c>
      <c r="AF422">
        <v>1.1744000000000001</v>
      </c>
      <c r="AG422" t="s">
        <v>49</v>
      </c>
      <c r="AH422" s="23">
        <f>SUM(Amazon_Data_Set[[#This Row],[Gross Sales]]-Amazon_Data_Set[[#This Row],[Discount Amount]])</f>
        <v>11126.46</v>
      </c>
    </row>
    <row r="423" spans="1:34">
      <c r="A423" t="s">
        <v>1267</v>
      </c>
      <c r="B423" s="1">
        <v>46163</v>
      </c>
      <c r="C423" t="str">
        <f>TEXT(Amazon_Data_Set[[#This Row],[Order Date]],"mmm")</f>
        <v>May</v>
      </c>
      <c r="D423" t="s">
        <v>669</v>
      </c>
      <c r="E423" t="s">
        <v>100</v>
      </c>
      <c r="F423" t="s">
        <v>179</v>
      </c>
      <c r="G423" t="s">
        <v>54</v>
      </c>
      <c r="H423" t="s">
        <v>142</v>
      </c>
      <c r="I423" t="s">
        <v>143</v>
      </c>
      <c r="J423" t="s">
        <v>183</v>
      </c>
      <c r="K423" t="s">
        <v>184</v>
      </c>
      <c r="L423" t="s">
        <v>1268</v>
      </c>
      <c r="M423" t="s">
        <v>43</v>
      </c>
      <c r="N423" t="s">
        <v>95</v>
      </c>
      <c r="O423" t="s">
        <v>45</v>
      </c>
      <c r="P423">
        <v>3</v>
      </c>
      <c r="Q423">
        <v>11506.85</v>
      </c>
      <c r="R423" s="19">
        <v>0.15</v>
      </c>
      <c r="S423" s="21">
        <v>5178.08</v>
      </c>
      <c r="T423">
        <v>34520.550000000003</v>
      </c>
      <c r="U423" s="2">
        <v>29342.47</v>
      </c>
      <c r="V423">
        <v>30.57</v>
      </c>
      <c r="W423">
        <v>20835.419999999998</v>
      </c>
      <c r="X423" s="2">
        <v>8476.48</v>
      </c>
      <c r="Y423">
        <v>0.28889999999999999</v>
      </c>
      <c r="Z423">
        <v>8</v>
      </c>
      <c r="AA423" t="s">
        <v>61</v>
      </c>
      <c r="AB423" t="s">
        <v>47</v>
      </c>
      <c r="AD423">
        <v>4</v>
      </c>
      <c r="AE423" s="2">
        <v>26424.25</v>
      </c>
      <c r="AF423">
        <v>1.1104000000000001</v>
      </c>
      <c r="AG423" t="s">
        <v>49</v>
      </c>
      <c r="AH423" s="23">
        <f>SUM(Amazon_Data_Set[[#This Row],[Gross Sales]]-Amazon_Data_Set[[#This Row],[Discount Amount]])</f>
        <v>29342.47</v>
      </c>
    </row>
    <row r="424" spans="1:34">
      <c r="A424" t="s">
        <v>1269</v>
      </c>
      <c r="B424" s="1">
        <v>46119</v>
      </c>
      <c r="C424" t="str">
        <f>TEXT(Amazon_Data_Set[[#This Row],[Order Date]],"mmm")</f>
        <v>Apr</v>
      </c>
      <c r="D424" t="s">
        <v>527</v>
      </c>
      <c r="E424" t="s">
        <v>109</v>
      </c>
      <c r="F424" t="s">
        <v>154</v>
      </c>
      <c r="G424" t="s">
        <v>111</v>
      </c>
      <c r="H424" t="s">
        <v>142</v>
      </c>
      <c r="I424" t="s">
        <v>214</v>
      </c>
      <c r="J424" t="s">
        <v>350</v>
      </c>
      <c r="K424" t="s">
        <v>351</v>
      </c>
      <c r="L424" t="s">
        <v>1270</v>
      </c>
      <c r="M424" t="s">
        <v>43</v>
      </c>
      <c r="N424" t="s">
        <v>60</v>
      </c>
      <c r="O424" t="s">
        <v>45</v>
      </c>
      <c r="P424">
        <v>5</v>
      </c>
      <c r="Q424">
        <v>7625.96</v>
      </c>
      <c r="R424" s="19">
        <v>0.2</v>
      </c>
      <c r="S424" s="21">
        <v>7625.96</v>
      </c>
      <c r="T424">
        <v>38129.800000000003</v>
      </c>
      <c r="U424" s="2">
        <v>30503.84</v>
      </c>
      <c r="V424">
        <v>130.97999999999999</v>
      </c>
      <c r="W424">
        <v>18740.55</v>
      </c>
      <c r="X424" s="2">
        <v>11632.31</v>
      </c>
      <c r="Y424">
        <v>0.38129999999999997</v>
      </c>
      <c r="Z424">
        <v>3</v>
      </c>
      <c r="AA424" t="s">
        <v>46</v>
      </c>
      <c r="AB424" t="s">
        <v>47</v>
      </c>
      <c r="AD424">
        <v>4</v>
      </c>
      <c r="AE424" s="2">
        <v>36277.53</v>
      </c>
      <c r="AF424">
        <v>0.84079999999999999</v>
      </c>
      <c r="AG424" t="s">
        <v>49</v>
      </c>
      <c r="AH424" s="23">
        <f>SUM(Amazon_Data_Set[[#This Row],[Gross Sales]]-Amazon_Data_Set[[#This Row],[Discount Amount]])</f>
        <v>30503.840000000004</v>
      </c>
    </row>
    <row r="425" spans="1:34">
      <c r="A425" t="s">
        <v>1271</v>
      </c>
      <c r="B425" s="1">
        <v>46081</v>
      </c>
      <c r="C425" t="str">
        <f>TEXT(Amazon_Data_Set[[#This Row],[Order Date]],"mmm")</f>
        <v>Feb</v>
      </c>
      <c r="D425" t="s">
        <v>558</v>
      </c>
      <c r="E425" t="s">
        <v>275</v>
      </c>
      <c r="F425" t="s">
        <v>276</v>
      </c>
      <c r="G425" t="s">
        <v>37</v>
      </c>
      <c r="H425" t="s">
        <v>90</v>
      </c>
      <c r="I425" t="s">
        <v>252</v>
      </c>
      <c r="J425" t="s">
        <v>528</v>
      </c>
      <c r="K425" t="s">
        <v>529</v>
      </c>
      <c r="L425" t="s">
        <v>1272</v>
      </c>
      <c r="M425" t="s">
        <v>43</v>
      </c>
      <c r="N425" t="s">
        <v>60</v>
      </c>
      <c r="O425" t="s">
        <v>45</v>
      </c>
      <c r="P425">
        <v>1</v>
      </c>
      <c r="Q425">
        <v>1657.97</v>
      </c>
      <c r="R425" s="19">
        <v>0.15</v>
      </c>
      <c r="S425" s="21">
        <v>248.7</v>
      </c>
      <c r="T425">
        <v>1657.97</v>
      </c>
      <c r="U425" s="2">
        <v>1409.27</v>
      </c>
      <c r="V425">
        <v>112.06</v>
      </c>
      <c r="W425">
        <v>926.8</v>
      </c>
      <c r="X425" s="2">
        <v>370.41</v>
      </c>
      <c r="Y425">
        <v>0.26279999999999998</v>
      </c>
      <c r="Z425">
        <v>1</v>
      </c>
      <c r="AA425" t="s">
        <v>46</v>
      </c>
      <c r="AB425" t="s">
        <v>47</v>
      </c>
      <c r="AD425">
        <v>4</v>
      </c>
      <c r="AE425" s="2">
        <v>1622.08</v>
      </c>
      <c r="AF425">
        <v>0.86880000000000002</v>
      </c>
      <c r="AG425" t="s">
        <v>49</v>
      </c>
      <c r="AH425" s="23">
        <f>SUM(Amazon_Data_Set[[#This Row],[Gross Sales]]-Amazon_Data_Set[[#This Row],[Discount Amount]])</f>
        <v>1409.27</v>
      </c>
    </row>
    <row r="426" spans="1:34">
      <c r="A426" t="s">
        <v>1273</v>
      </c>
      <c r="B426" s="1">
        <v>46063</v>
      </c>
      <c r="C426" t="str">
        <f>TEXT(Amazon_Data_Set[[#This Row],[Order Date]],"mmm")</f>
        <v>Feb</v>
      </c>
      <c r="D426" t="s">
        <v>357</v>
      </c>
      <c r="E426" t="s">
        <v>235</v>
      </c>
      <c r="F426" t="s">
        <v>236</v>
      </c>
      <c r="G426" t="s">
        <v>82</v>
      </c>
      <c r="H426" t="s">
        <v>142</v>
      </c>
      <c r="I426" t="s">
        <v>143</v>
      </c>
      <c r="J426" t="s">
        <v>144</v>
      </c>
      <c r="K426" t="s">
        <v>145</v>
      </c>
      <c r="L426" t="s">
        <v>1274</v>
      </c>
      <c r="M426" t="s">
        <v>106</v>
      </c>
      <c r="N426" t="s">
        <v>60</v>
      </c>
      <c r="O426" t="s">
        <v>130</v>
      </c>
      <c r="P426">
        <v>4</v>
      </c>
      <c r="Q426">
        <v>4647.3100000000004</v>
      </c>
      <c r="R426" s="19">
        <v>0</v>
      </c>
      <c r="S426" s="21">
        <v>0</v>
      </c>
      <c r="T426">
        <v>18589.240000000002</v>
      </c>
      <c r="U426" s="2">
        <v>18589.240000000002</v>
      </c>
      <c r="V426">
        <v>58.9</v>
      </c>
      <c r="W426">
        <v>11250.84</v>
      </c>
      <c r="X426" s="2">
        <v>7279.5</v>
      </c>
      <c r="Y426">
        <v>0.3916</v>
      </c>
      <c r="Z426">
        <v>6</v>
      </c>
      <c r="AA426" t="s">
        <v>131</v>
      </c>
      <c r="AB426" t="s">
        <v>47</v>
      </c>
      <c r="AE426" s="2">
        <v>22099.4</v>
      </c>
      <c r="AF426">
        <v>0.84119999999999995</v>
      </c>
      <c r="AG426" t="s">
        <v>49</v>
      </c>
      <c r="AH426" s="23">
        <f>SUM(Amazon_Data_Set[[#This Row],[Gross Sales]]-Amazon_Data_Set[[#This Row],[Discount Amount]])</f>
        <v>18589.240000000002</v>
      </c>
    </row>
    <row r="427" spans="1:34">
      <c r="A427" t="s">
        <v>1275</v>
      </c>
      <c r="B427" s="1">
        <v>46099</v>
      </c>
      <c r="C427" t="str">
        <f>TEXT(Amazon_Data_Set[[#This Row],[Order Date]],"mmm")</f>
        <v>Mar</v>
      </c>
      <c r="D427" t="s">
        <v>663</v>
      </c>
      <c r="E427" t="s">
        <v>174</v>
      </c>
      <c r="F427" t="s">
        <v>175</v>
      </c>
      <c r="G427" t="s">
        <v>82</v>
      </c>
      <c r="H427" t="s">
        <v>142</v>
      </c>
      <c r="I427" t="s">
        <v>143</v>
      </c>
      <c r="J427" t="s">
        <v>200</v>
      </c>
      <c r="K427" t="s">
        <v>201</v>
      </c>
      <c r="L427" t="s">
        <v>1276</v>
      </c>
      <c r="M427" t="s">
        <v>43</v>
      </c>
      <c r="N427" t="s">
        <v>95</v>
      </c>
      <c r="O427" t="s">
        <v>96</v>
      </c>
      <c r="P427">
        <v>4</v>
      </c>
      <c r="Q427">
        <v>362.26</v>
      </c>
      <c r="R427" s="19">
        <v>0.15</v>
      </c>
      <c r="S427" s="21">
        <v>217.36</v>
      </c>
      <c r="T427">
        <v>1449.04</v>
      </c>
      <c r="U427" s="2">
        <v>1231.68</v>
      </c>
      <c r="V427">
        <v>221.37</v>
      </c>
      <c r="W427">
        <v>606.98</v>
      </c>
      <c r="X427" s="2">
        <v>403.33</v>
      </c>
      <c r="Y427">
        <v>0.32750000000000001</v>
      </c>
      <c r="Z427">
        <v>0</v>
      </c>
      <c r="AA427" t="s">
        <v>97</v>
      </c>
      <c r="AB427" t="s">
        <v>47</v>
      </c>
      <c r="AE427" s="2">
        <v>1114.21</v>
      </c>
      <c r="AF427">
        <v>1.1053999999999999</v>
      </c>
      <c r="AG427" t="s">
        <v>49</v>
      </c>
      <c r="AH427" s="23">
        <f>SUM(Amazon_Data_Set[[#This Row],[Gross Sales]]-Amazon_Data_Set[[#This Row],[Discount Amount]])</f>
        <v>1231.6799999999998</v>
      </c>
    </row>
    <row r="428" spans="1:34">
      <c r="A428" t="s">
        <v>1277</v>
      </c>
      <c r="B428" s="1">
        <v>46364</v>
      </c>
      <c r="C428" t="str">
        <f>TEXT(Amazon_Data_Set[[#This Row],[Order Date]],"mmm")</f>
        <v>Dec</v>
      </c>
      <c r="D428" t="s">
        <v>1278</v>
      </c>
      <c r="E428" t="s">
        <v>109</v>
      </c>
      <c r="F428" t="s">
        <v>110</v>
      </c>
      <c r="G428" t="s">
        <v>111</v>
      </c>
      <c r="H428" t="s">
        <v>142</v>
      </c>
      <c r="I428" t="s">
        <v>143</v>
      </c>
      <c r="J428" t="s">
        <v>144</v>
      </c>
      <c r="K428" t="s">
        <v>145</v>
      </c>
      <c r="L428" t="s">
        <v>1279</v>
      </c>
      <c r="M428" t="s">
        <v>43</v>
      </c>
      <c r="N428" t="s">
        <v>95</v>
      </c>
      <c r="O428" t="s">
        <v>45</v>
      </c>
      <c r="P428">
        <v>5</v>
      </c>
      <c r="Q428">
        <v>993.95</v>
      </c>
      <c r="R428" s="19">
        <v>0</v>
      </c>
      <c r="S428" s="21">
        <v>0</v>
      </c>
      <c r="T428">
        <v>4969.75</v>
      </c>
      <c r="U428" s="2">
        <v>4969.75</v>
      </c>
      <c r="V428">
        <v>231.94</v>
      </c>
      <c r="W428">
        <v>2967.07</v>
      </c>
      <c r="X428" s="2">
        <v>1770.74</v>
      </c>
      <c r="Y428">
        <v>0.35630000000000001</v>
      </c>
      <c r="Z428">
        <v>1</v>
      </c>
      <c r="AA428" t="s">
        <v>46</v>
      </c>
      <c r="AB428" t="s">
        <v>47</v>
      </c>
      <c r="AD428">
        <v>3</v>
      </c>
      <c r="AE428" s="2">
        <v>4749.9799999999996</v>
      </c>
      <c r="AF428">
        <v>1.0463</v>
      </c>
      <c r="AG428" t="s">
        <v>49</v>
      </c>
      <c r="AH428" s="23">
        <f>SUM(Amazon_Data_Set[[#This Row],[Gross Sales]]-Amazon_Data_Set[[#This Row],[Discount Amount]])</f>
        <v>4969.75</v>
      </c>
    </row>
    <row r="429" spans="1:34">
      <c r="A429" t="s">
        <v>1280</v>
      </c>
      <c r="B429" s="1">
        <v>46369</v>
      </c>
      <c r="C429" t="str">
        <f>TEXT(Amazon_Data_Set[[#This Row],[Order Date]],"mmm")</f>
        <v>Dec</v>
      </c>
      <c r="D429" t="s">
        <v>1281</v>
      </c>
      <c r="E429" t="s">
        <v>228</v>
      </c>
      <c r="F429" t="s">
        <v>229</v>
      </c>
      <c r="G429" t="s">
        <v>37</v>
      </c>
      <c r="H429" t="s">
        <v>142</v>
      </c>
      <c r="I429" t="s">
        <v>143</v>
      </c>
      <c r="J429" t="s">
        <v>144</v>
      </c>
      <c r="K429" t="s">
        <v>145</v>
      </c>
      <c r="L429" t="s">
        <v>1282</v>
      </c>
      <c r="M429" t="s">
        <v>43</v>
      </c>
      <c r="N429" t="s">
        <v>77</v>
      </c>
      <c r="O429" t="s">
        <v>45</v>
      </c>
      <c r="P429">
        <v>4</v>
      </c>
      <c r="Q429">
        <v>4270.43</v>
      </c>
      <c r="R429" s="19">
        <v>0.05</v>
      </c>
      <c r="S429" s="21">
        <v>854.09</v>
      </c>
      <c r="T429">
        <v>17081.72</v>
      </c>
      <c r="U429" s="2">
        <v>16227.63</v>
      </c>
      <c r="V429">
        <v>7.13</v>
      </c>
      <c r="W429">
        <v>8999.09</v>
      </c>
      <c r="X429" s="2">
        <v>7221.41</v>
      </c>
      <c r="Y429">
        <v>0.44500000000000001</v>
      </c>
      <c r="Z429">
        <v>6</v>
      </c>
      <c r="AA429" t="s">
        <v>61</v>
      </c>
      <c r="AB429" t="s">
        <v>48</v>
      </c>
      <c r="AC429" t="s">
        <v>203</v>
      </c>
      <c r="AD429">
        <v>5</v>
      </c>
      <c r="AE429" s="2">
        <v>18127.61</v>
      </c>
      <c r="AF429">
        <v>0.8952</v>
      </c>
      <c r="AG429" t="s">
        <v>49</v>
      </c>
      <c r="AH429" s="23">
        <f>SUM(Amazon_Data_Set[[#This Row],[Gross Sales]]-Amazon_Data_Set[[#This Row],[Discount Amount]])</f>
        <v>16227.630000000001</v>
      </c>
    </row>
    <row r="430" spans="1:34">
      <c r="A430" t="s">
        <v>1283</v>
      </c>
      <c r="B430" s="1">
        <v>46339</v>
      </c>
      <c r="C430" t="str">
        <f>TEXT(Amazon_Data_Set[[#This Row],[Order Date]],"mmm")</f>
        <v>Nov</v>
      </c>
      <c r="D430" t="s">
        <v>898</v>
      </c>
      <c r="E430" t="s">
        <v>149</v>
      </c>
      <c r="F430" t="s">
        <v>150</v>
      </c>
      <c r="G430" t="s">
        <v>37</v>
      </c>
      <c r="H430" t="s">
        <v>55</v>
      </c>
      <c r="I430" t="s">
        <v>56</v>
      </c>
      <c r="J430" t="s">
        <v>366</v>
      </c>
      <c r="K430" t="s">
        <v>367</v>
      </c>
      <c r="L430" t="s">
        <v>1284</v>
      </c>
      <c r="M430" t="s">
        <v>106</v>
      </c>
      <c r="N430" t="s">
        <v>95</v>
      </c>
      <c r="O430" t="s">
        <v>130</v>
      </c>
      <c r="P430">
        <v>1</v>
      </c>
      <c r="Q430">
        <v>1618.23</v>
      </c>
      <c r="R430" s="19">
        <v>0.3</v>
      </c>
      <c r="S430" s="21">
        <v>485.47</v>
      </c>
      <c r="T430">
        <v>1618.23</v>
      </c>
      <c r="U430" s="2">
        <v>1132.76</v>
      </c>
      <c r="V430">
        <v>176.56</v>
      </c>
      <c r="W430">
        <v>592.11</v>
      </c>
      <c r="X430" s="2">
        <v>364.09</v>
      </c>
      <c r="Y430">
        <v>0.32140000000000002</v>
      </c>
      <c r="Z430">
        <v>3</v>
      </c>
      <c r="AA430" t="s">
        <v>131</v>
      </c>
      <c r="AB430" t="s">
        <v>47</v>
      </c>
      <c r="AE430" s="2">
        <v>1263.03</v>
      </c>
      <c r="AF430">
        <v>0.89690000000000003</v>
      </c>
      <c r="AG430" t="s">
        <v>49</v>
      </c>
      <c r="AH430" s="23">
        <f>SUM(Amazon_Data_Set[[#This Row],[Gross Sales]]-Amazon_Data_Set[[#This Row],[Discount Amount]])</f>
        <v>1132.76</v>
      </c>
    </row>
    <row r="431" spans="1:34">
      <c r="A431" t="s">
        <v>1285</v>
      </c>
      <c r="B431" s="1">
        <v>46154</v>
      </c>
      <c r="C431" t="str">
        <f>TEXT(Amazon_Data_Set[[#This Row],[Order Date]],"mmm")</f>
        <v>May</v>
      </c>
      <c r="D431" t="s">
        <v>354</v>
      </c>
      <c r="E431" t="s">
        <v>109</v>
      </c>
      <c r="F431" t="s">
        <v>110</v>
      </c>
      <c r="G431" t="s">
        <v>111</v>
      </c>
      <c r="H431" t="s">
        <v>38</v>
      </c>
      <c r="I431" t="s">
        <v>39</v>
      </c>
      <c r="J431" t="s">
        <v>281</v>
      </c>
      <c r="K431" t="s">
        <v>282</v>
      </c>
      <c r="L431" t="s">
        <v>1286</v>
      </c>
      <c r="M431" t="s">
        <v>106</v>
      </c>
      <c r="N431" t="s">
        <v>70</v>
      </c>
      <c r="O431" t="s">
        <v>130</v>
      </c>
      <c r="P431">
        <v>2</v>
      </c>
      <c r="Q431">
        <v>1449.92</v>
      </c>
      <c r="R431" s="19">
        <v>0.25</v>
      </c>
      <c r="S431" s="21">
        <v>724.96</v>
      </c>
      <c r="T431">
        <v>2899.84</v>
      </c>
      <c r="U431" s="2">
        <v>2174.88</v>
      </c>
      <c r="V431">
        <v>162.56</v>
      </c>
      <c r="W431">
        <v>1187.2</v>
      </c>
      <c r="X431" s="2">
        <v>825.12</v>
      </c>
      <c r="Y431">
        <v>0.37940000000000002</v>
      </c>
      <c r="Z431">
        <v>6</v>
      </c>
      <c r="AA431" t="s">
        <v>131</v>
      </c>
      <c r="AB431" t="s">
        <v>47</v>
      </c>
      <c r="AE431" s="2">
        <v>2616.21</v>
      </c>
      <c r="AF431">
        <v>0.83130000000000004</v>
      </c>
      <c r="AG431" t="s">
        <v>49</v>
      </c>
      <c r="AH431" s="23">
        <f>SUM(Amazon_Data_Set[[#This Row],[Gross Sales]]-Amazon_Data_Set[[#This Row],[Discount Amount]])</f>
        <v>2174.88</v>
      </c>
    </row>
    <row r="432" spans="1:34">
      <c r="A432" t="s">
        <v>1287</v>
      </c>
      <c r="B432" s="1">
        <v>46107</v>
      </c>
      <c r="C432" t="str">
        <f>TEXT(Amazon_Data_Set[[#This Row],[Order Date]],"mmm")</f>
        <v>Mar</v>
      </c>
      <c r="D432" t="s">
        <v>274</v>
      </c>
      <c r="E432" t="s">
        <v>235</v>
      </c>
      <c r="F432" t="s">
        <v>236</v>
      </c>
      <c r="G432" t="s">
        <v>82</v>
      </c>
      <c r="H432" t="s">
        <v>142</v>
      </c>
      <c r="I432" t="s">
        <v>143</v>
      </c>
      <c r="J432" t="s">
        <v>144</v>
      </c>
      <c r="K432" t="s">
        <v>145</v>
      </c>
      <c r="L432" t="s">
        <v>1288</v>
      </c>
      <c r="M432" t="s">
        <v>43</v>
      </c>
      <c r="N432" t="s">
        <v>60</v>
      </c>
      <c r="O432" t="s">
        <v>45</v>
      </c>
      <c r="P432">
        <v>4</v>
      </c>
      <c r="Q432">
        <v>1216.81</v>
      </c>
      <c r="R432" s="19">
        <v>0.15</v>
      </c>
      <c r="S432" s="21">
        <v>730.09</v>
      </c>
      <c r="T432">
        <v>4867.24</v>
      </c>
      <c r="U432" s="2">
        <v>4137.1499999999996</v>
      </c>
      <c r="V432">
        <v>34.22</v>
      </c>
      <c r="W432">
        <v>2934.15</v>
      </c>
      <c r="X432" s="2">
        <v>1168.78</v>
      </c>
      <c r="Y432">
        <v>0.28249999999999997</v>
      </c>
      <c r="Z432">
        <v>4</v>
      </c>
      <c r="AA432" t="s">
        <v>46</v>
      </c>
      <c r="AB432" t="s">
        <v>47</v>
      </c>
      <c r="AD432">
        <v>4</v>
      </c>
      <c r="AE432" s="2">
        <v>3588.97</v>
      </c>
      <c r="AF432">
        <v>1.1527000000000001</v>
      </c>
      <c r="AG432" t="s">
        <v>49</v>
      </c>
      <c r="AH432" s="23">
        <f>SUM(Amazon_Data_Set[[#This Row],[Gross Sales]]-Amazon_Data_Set[[#This Row],[Discount Amount]])</f>
        <v>4137.1499999999996</v>
      </c>
    </row>
    <row r="433" spans="1:34">
      <c r="A433" t="s">
        <v>1289</v>
      </c>
      <c r="B433" s="1">
        <v>46173</v>
      </c>
      <c r="C433" t="str">
        <f>TEXT(Amazon_Data_Set[[#This Row],[Order Date]],"mmm")</f>
        <v>May</v>
      </c>
      <c r="D433" t="s">
        <v>847</v>
      </c>
      <c r="E433" t="s">
        <v>228</v>
      </c>
      <c r="F433" t="s">
        <v>229</v>
      </c>
      <c r="G433" t="s">
        <v>37</v>
      </c>
      <c r="H433" t="s">
        <v>142</v>
      </c>
      <c r="I433" t="s">
        <v>143</v>
      </c>
      <c r="J433" t="s">
        <v>183</v>
      </c>
      <c r="K433" t="s">
        <v>184</v>
      </c>
      <c r="L433" t="s">
        <v>1290</v>
      </c>
      <c r="M433" t="s">
        <v>43</v>
      </c>
      <c r="N433" t="s">
        <v>70</v>
      </c>
      <c r="O433" t="s">
        <v>96</v>
      </c>
      <c r="P433">
        <v>4</v>
      </c>
      <c r="Q433">
        <v>894.57</v>
      </c>
      <c r="R433" s="19">
        <v>0.3</v>
      </c>
      <c r="S433" s="21">
        <v>1073.48</v>
      </c>
      <c r="T433">
        <v>3578.28</v>
      </c>
      <c r="U433" s="2">
        <v>2504.8000000000002</v>
      </c>
      <c r="V433">
        <v>144.87</v>
      </c>
      <c r="W433">
        <v>1496.06</v>
      </c>
      <c r="X433" s="2">
        <v>863.87</v>
      </c>
      <c r="Y433">
        <v>0.34489999999999998</v>
      </c>
      <c r="Z433">
        <v>0</v>
      </c>
      <c r="AA433" t="s">
        <v>97</v>
      </c>
      <c r="AB433" t="s">
        <v>47</v>
      </c>
      <c r="AE433" s="2">
        <v>2647.53</v>
      </c>
      <c r="AF433">
        <v>0.94610000000000005</v>
      </c>
      <c r="AG433" t="s">
        <v>49</v>
      </c>
      <c r="AH433" s="23">
        <f>SUM(Amazon_Data_Set[[#This Row],[Gross Sales]]-Amazon_Data_Set[[#This Row],[Discount Amount]])</f>
        <v>2504.8000000000002</v>
      </c>
    </row>
    <row r="434" spans="1:34">
      <c r="A434" t="s">
        <v>1291</v>
      </c>
      <c r="B434" s="1">
        <v>46057</v>
      </c>
      <c r="C434" t="str">
        <f>TEXT(Amazon_Data_Set[[#This Row],[Order Date]],"mmm")</f>
        <v>Feb</v>
      </c>
      <c r="D434" t="s">
        <v>1074</v>
      </c>
      <c r="E434" t="s">
        <v>228</v>
      </c>
      <c r="F434" t="s">
        <v>229</v>
      </c>
      <c r="G434" t="s">
        <v>37</v>
      </c>
      <c r="H434" t="s">
        <v>38</v>
      </c>
      <c r="I434" t="s">
        <v>161</v>
      </c>
      <c r="J434" t="s">
        <v>297</v>
      </c>
      <c r="K434" t="s">
        <v>298</v>
      </c>
      <c r="L434" t="s">
        <v>1292</v>
      </c>
      <c r="M434" t="s">
        <v>106</v>
      </c>
      <c r="N434" t="s">
        <v>95</v>
      </c>
      <c r="O434" t="s">
        <v>45</v>
      </c>
      <c r="P434">
        <v>2</v>
      </c>
      <c r="Q434">
        <v>1017.56</v>
      </c>
      <c r="R434" s="19">
        <v>0</v>
      </c>
      <c r="S434" s="21">
        <v>0</v>
      </c>
      <c r="T434">
        <v>2035.12</v>
      </c>
      <c r="U434" s="2">
        <v>2035.12</v>
      </c>
      <c r="V434">
        <v>156.82</v>
      </c>
      <c r="W434">
        <v>1184.1300000000001</v>
      </c>
      <c r="X434" s="2">
        <v>694.17</v>
      </c>
      <c r="Y434">
        <v>0.34110000000000001</v>
      </c>
      <c r="Z434">
        <v>8</v>
      </c>
      <c r="AA434" t="s">
        <v>61</v>
      </c>
      <c r="AB434" t="s">
        <v>47</v>
      </c>
      <c r="AD434">
        <v>4</v>
      </c>
      <c r="AE434" s="2">
        <v>2016.82</v>
      </c>
      <c r="AF434">
        <v>1.0091000000000001</v>
      </c>
      <c r="AG434" t="s">
        <v>49</v>
      </c>
      <c r="AH434" s="23">
        <f>SUM(Amazon_Data_Set[[#This Row],[Gross Sales]]-Amazon_Data_Set[[#This Row],[Discount Amount]])</f>
        <v>2035.12</v>
      </c>
    </row>
    <row r="435" spans="1:34">
      <c r="A435" t="s">
        <v>1293</v>
      </c>
      <c r="B435" s="1">
        <v>46243</v>
      </c>
      <c r="C435" t="str">
        <f>TEXT(Amazon_Data_Set[[#This Row],[Order Date]],"mmm")</f>
        <v>Aug</v>
      </c>
      <c r="D435" t="s">
        <v>504</v>
      </c>
      <c r="E435" t="s">
        <v>64</v>
      </c>
      <c r="F435" t="s">
        <v>65</v>
      </c>
      <c r="G435" t="s">
        <v>54</v>
      </c>
      <c r="H435" t="s">
        <v>38</v>
      </c>
      <c r="I435" t="s">
        <v>161</v>
      </c>
      <c r="J435" t="s">
        <v>223</v>
      </c>
      <c r="K435" t="s">
        <v>224</v>
      </c>
      <c r="L435" t="s">
        <v>1294</v>
      </c>
      <c r="M435" t="s">
        <v>43</v>
      </c>
      <c r="N435" t="s">
        <v>70</v>
      </c>
      <c r="O435" t="s">
        <v>45</v>
      </c>
      <c r="P435">
        <v>5</v>
      </c>
      <c r="Q435">
        <v>1306.33</v>
      </c>
      <c r="R435" s="19">
        <v>0.3</v>
      </c>
      <c r="S435" s="21">
        <v>1959.49</v>
      </c>
      <c r="T435">
        <v>6531.65</v>
      </c>
      <c r="U435" s="2">
        <v>4572.16</v>
      </c>
      <c r="V435">
        <v>180.82</v>
      </c>
      <c r="W435">
        <v>2296</v>
      </c>
      <c r="X435" s="2">
        <v>2095.34</v>
      </c>
      <c r="Y435">
        <v>0.45829999999999999</v>
      </c>
      <c r="Z435">
        <v>6</v>
      </c>
      <c r="AA435" t="s">
        <v>61</v>
      </c>
      <c r="AB435" t="s">
        <v>47</v>
      </c>
      <c r="AD435">
        <v>4</v>
      </c>
      <c r="AE435" s="2">
        <v>5397.9</v>
      </c>
      <c r="AF435">
        <v>0.84699999999999998</v>
      </c>
      <c r="AG435" t="s">
        <v>49</v>
      </c>
      <c r="AH435" s="23">
        <f>SUM(Amazon_Data_Set[[#This Row],[Gross Sales]]-Amazon_Data_Set[[#This Row],[Discount Amount]])</f>
        <v>4572.16</v>
      </c>
    </row>
    <row r="436" spans="1:34">
      <c r="A436" t="s">
        <v>1295</v>
      </c>
      <c r="B436" s="1">
        <v>46278</v>
      </c>
      <c r="C436" t="str">
        <f>TEXT(Amazon_Data_Set[[#This Row],[Order Date]],"mmm")</f>
        <v>Sep</v>
      </c>
      <c r="D436" t="s">
        <v>1296</v>
      </c>
      <c r="E436" t="s">
        <v>235</v>
      </c>
      <c r="F436" t="s">
        <v>236</v>
      </c>
      <c r="G436" t="s">
        <v>82</v>
      </c>
      <c r="H436" t="s">
        <v>90</v>
      </c>
      <c r="I436" t="s">
        <v>252</v>
      </c>
      <c r="J436" t="s">
        <v>528</v>
      </c>
      <c r="K436" t="s">
        <v>529</v>
      </c>
      <c r="L436" t="s">
        <v>1297</v>
      </c>
      <c r="M436" t="s">
        <v>43</v>
      </c>
      <c r="N436" t="s">
        <v>44</v>
      </c>
      <c r="O436" t="s">
        <v>130</v>
      </c>
      <c r="P436">
        <v>1</v>
      </c>
      <c r="Q436">
        <v>150.72999999999999</v>
      </c>
      <c r="R436" s="19">
        <v>0.25</v>
      </c>
      <c r="S436" s="21">
        <v>37.68</v>
      </c>
      <c r="T436">
        <v>150.72999999999999</v>
      </c>
      <c r="U436" s="2">
        <v>113.05</v>
      </c>
      <c r="V436">
        <v>17.09</v>
      </c>
      <c r="W436">
        <v>66.86</v>
      </c>
      <c r="X436" s="2">
        <v>29.1</v>
      </c>
      <c r="Y436">
        <v>0.25740000000000002</v>
      </c>
      <c r="Z436">
        <v>4</v>
      </c>
      <c r="AA436" t="s">
        <v>131</v>
      </c>
      <c r="AB436" t="s">
        <v>47</v>
      </c>
      <c r="AE436" s="2">
        <v>130.25</v>
      </c>
      <c r="AF436">
        <v>0.8679</v>
      </c>
      <c r="AG436" t="s">
        <v>347</v>
      </c>
      <c r="AH436" s="23">
        <f>SUM(Amazon_Data_Set[[#This Row],[Gross Sales]]-Amazon_Data_Set[[#This Row],[Discount Amount]])</f>
        <v>113.04999999999998</v>
      </c>
    </row>
    <row r="437" spans="1:34">
      <c r="A437" t="s">
        <v>1298</v>
      </c>
      <c r="B437" s="1">
        <v>46362</v>
      </c>
      <c r="C437" t="str">
        <f>TEXT(Amazon_Data_Set[[#This Row],[Order Date]],"mmm")</f>
        <v>Dec</v>
      </c>
      <c r="D437" t="s">
        <v>703</v>
      </c>
      <c r="E437" t="s">
        <v>109</v>
      </c>
      <c r="F437" t="s">
        <v>110</v>
      </c>
      <c r="G437" t="s">
        <v>111</v>
      </c>
      <c r="H437" t="s">
        <v>55</v>
      </c>
      <c r="I437" t="s">
        <v>73</v>
      </c>
      <c r="J437" t="s">
        <v>74</v>
      </c>
      <c r="K437" t="s">
        <v>75</v>
      </c>
      <c r="L437" t="s">
        <v>1299</v>
      </c>
      <c r="M437" t="s">
        <v>43</v>
      </c>
      <c r="N437" t="s">
        <v>44</v>
      </c>
      <c r="O437" t="s">
        <v>45</v>
      </c>
      <c r="P437">
        <v>1</v>
      </c>
      <c r="Q437">
        <v>33000.9</v>
      </c>
      <c r="R437" s="19">
        <v>0.05</v>
      </c>
      <c r="S437" s="21">
        <v>1650.05</v>
      </c>
      <c r="T437">
        <v>33000.9</v>
      </c>
      <c r="U437" s="2">
        <v>31350.85</v>
      </c>
      <c r="V437">
        <v>65.680000000000007</v>
      </c>
      <c r="W437">
        <v>21135.03</v>
      </c>
      <c r="X437" s="2">
        <v>10150.14</v>
      </c>
      <c r="Y437">
        <v>0.32379999999999998</v>
      </c>
      <c r="Z437">
        <v>5</v>
      </c>
      <c r="AA437" t="s">
        <v>61</v>
      </c>
      <c r="AB437" t="s">
        <v>47</v>
      </c>
      <c r="AD437">
        <v>4</v>
      </c>
      <c r="AE437" s="2">
        <v>34169.79</v>
      </c>
      <c r="AF437">
        <v>0.91749999999999998</v>
      </c>
      <c r="AG437" t="s">
        <v>49</v>
      </c>
      <c r="AH437" s="23">
        <f>SUM(Amazon_Data_Set[[#This Row],[Gross Sales]]-Amazon_Data_Set[[#This Row],[Discount Amount]])</f>
        <v>31350.850000000002</v>
      </c>
    </row>
    <row r="438" spans="1:34">
      <c r="A438" t="s">
        <v>1300</v>
      </c>
      <c r="B438" s="1">
        <v>46352</v>
      </c>
      <c r="C438" t="str">
        <f>TEXT(Amazon_Data_Set[[#This Row],[Order Date]],"mmm")</f>
        <v>Nov</v>
      </c>
      <c r="D438" t="s">
        <v>1301</v>
      </c>
      <c r="E438" t="s">
        <v>35</v>
      </c>
      <c r="F438" t="s">
        <v>36</v>
      </c>
      <c r="G438" t="s">
        <v>37</v>
      </c>
      <c r="H438" t="s">
        <v>142</v>
      </c>
      <c r="I438" t="s">
        <v>209</v>
      </c>
      <c r="J438" t="s">
        <v>210</v>
      </c>
      <c r="K438" t="s">
        <v>201</v>
      </c>
      <c r="L438" t="s">
        <v>1302</v>
      </c>
      <c r="M438" t="s">
        <v>106</v>
      </c>
      <c r="N438" t="s">
        <v>95</v>
      </c>
      <c r="O438" t="s">
        <v>45</v>
      </c>
      <c r="P438">
        <v>5</v>
      </c>
      <c r="Q438">
        <v>6151.98</v>
      </c>
      <c r="R438" s="19">
        <v>0.15</v>
      </c>
      <c r="S438" s="21">
        <v>4613.9799999999996</v>
      </c>
      <c r="T438">
        <v>30759.9</v>
      </c>
      <c r="U438" s="2">
        <v>26145.919999999998</v>
      </c>
      <c r="V438">
        <v>198.75</v>
      </c>
      <c r="W438">
        <v>13791.46</v>
      </c>
      <c r="X438" s="2">
        <v>12155.71</v>
      </c>
      <c r="Y438">
        <v>0.46489999999999998</v>
      </c>
      <c r="Z438">
        <v>6</v>
      </c>
      <c r="AA438" t="s">
        <v>61</v>
      </c>
      <c r="AB438" t="s">
        <v>47</v>
      </c>
      <c r="AD438">
        <v>4</v>
      </c>
      <c r="AE438" s="2">
        <v>31576.74</v>
      </c>
      <c r="AF438">
        <v>0.82799999999999996</v>
      </c>
      <c r="AG438" t="s">
        <v>49</v>
      </c>
      <c r="AH438" s="23">
        <f>SUM(Amazon_Data_Set[[#This Row],[Gross Sales]]-Amazon_Data_Set[[#This Row],[Discount Amount]])</f>
        <v>26145.920000000002</v>
      </c>
    </row>
    <row r="439" spans="1:34">
      <c r="A439" t="s">
        <v>1303</v>
      </c>
      <c r="B439" s="1">
        <v>46026</v>
      </c>
      <c r="C439" t="str">
        <f>TEXT(Amazon_Data_Set[[#This Row],[Order Date]],"mmm")</f>
        <v>Jan</v>
      </c>
      <c r="D439" t="s">
        <v>566</v>
      </c>
      <c r="E439" t="s">
        <v>35</v>
      </c>
      <c r="F439" t="s">
        <v>36</v>
      </c>
      <c r="G439" t="s">
        <v>37</v>
      </c>
      <c r="H439" t="s">
        <v>90</v>
      </c>
      <c r="I439" t="s">
        <v>112</v>
      </c>
      <c r="J439" t="s">
        <v>134</v>
      </c>
      <c r="K439" t="s">
        <v>135</v>
      </c>
      <c r="L439" t="s">
        <v>1304</v>
      </c>
      <c r="M439" t="s">
        <v>43</v>
      </c>
      <c r="N439" t="s">
        <v>124</v>
      </c>
      <c r="O439" t="s">
        <v>130</v>
      </c>
      <c r="P439">
        <v>2</v>
      </c>
      <c r="Q439">
        <v>84.82</v>
      </c>
      <c r="R439" s="19">
        <v>0.3</v>
      </c>
      <c r="S439" s="21">
        <v>50.89</v>
      </c>
      <c r="T439">
        <v>169.64</v>
      </c>
      <c r="U439" s="2">
        <v>118.75</v>
      </c>
      <c r="V439">
        <v>150.05000000000001</v>
      </c>
      <c r="W439">
        <v>79.680000000000007</v>
      </c>
      <c r="X439" s="2">
        <v>-110.98</v>
      </c>
      <c r="Y439">
        <v>-0.93459999999999999</v>
      </c>
      <c r="Z439">
        <v>4</v>
      </c>
      <c r="AA439" t="s">
        <v>131</v>
      </c>
      <c r="AB439" t="s">
        <v>47</v>
      </c>
      <c r="AE439" s="2">
        <v>115.09</v>
      </c>
      <c r="AF439">
        <v>1.0318000000000001</v>
      </c>
      <c r="AG439" t="s">
        <v>49</v>
      </c>
      <c r="AH439" s="23">
        <f>SUM(Amazon_Data_Set[[#This Row],[Gross Sales]]-Amazon_Data_Set[[#This Row],[Discount Amount]])</f>
        <v>118.74999999999999</v>
      </c>
    </row>
    <row r="440" spans="1:34">
      <c r="A440" t="s">
        <v>1305</v>
      </c>
      <c r="B440" s="1">
        <v>46101</v>
      </c>
      <c r="C440" t="str">
        <f>TEXT(Amazon_Data_Set[[#This Row],[Order Date]],"mmm")</f>
        <v>Mar</v>
      </c>
      <c r="D440" t="s">
        <v>1074</v>
      </c>
      <c r="E440" t="s">
        <v>100</v>
      </c>
      <c r="F440" t="s">
        <v>179</v>
      </c>
      <c r="G440" t="s">
        <v>54</v>
      </c>
      <c r="H440" t="s">
        <v>55</v>
      </c>
      <c r="I440" t="s">
        <v>120</v>
      </c>
      <c r="J440" t="s">
        <v>121</v>
      </c>
      <c r="K440" t="s">
        <v>122</v>
      </c>
      <c r="L440" t="s">
        <v>1306</v>
      </c>
      <c r="M440" t="s">
        <v>43</v>
      </c>
      <c r="N440" t="s">
        <v>95</v>
      </c>
      <c r="O440" t="s">
        <v>45</v>
      </c>
      <c r="P440">
        <v>1</v>
      </c>
      <c r="Q440">
        <v>12339.6</v>
      </c>
      <c r="R440" s="19">
        <v>0.1</v>
      </c>
      <c r="S440" s="21">
        <v>1233.96</v>
      </c>
      <c r="T440">
        <v>12339.6</v>
      </c>
      <c r="U440" s="2">
        <v>11105.64</v>
      </c>
      <c r="V440">
        <v>162.31</v>
      </c>
      <c r="W440">
        <v>6515</v>
      </c>
      <c r="X440" s="2">
        <v>4428.33</v>
      </c>
      <c r="Y440">
        <v>0.3987</v>
      </c>
      <c r="Z440">
        <v>7</v>
      </c>
      <c r="AA440" t="s">
        <v>61</v>
      </c>
      <c r="AB440" t="s">
        <v>48</v>
      </c>
      <c r="AC440" t="s">
        <v>158</v>
      </c>
      <c r="AD440">
        <v>4</v>
      </c>
      <c r="AE440" s="2">
        <v>10557.18</v>
      </c>
      <c r="AF440">
        <v>1.052</v>
      </c>
      <c r="AG440" t="s">
        <v>49</v>
      </c>
      <c r="AH440" s="23">
        <f>SUM(Amazon_Data_Set[[#This Row],[Gross Sales]]-Amazon_Data_Set[[#This Row],[Discount Amount]])</f>
        <v>11105.64</v>
      </c>
    </row>
    <row r="441" spans="1:34">
      <c r="A441" t="s">
        <v>1307</v>
      </c>
      <c r="B441" s="1">
        <v>46237</v>
      </c>
      <c r="C441" t="str">
        <f>TEXT(Amazon_Data_Set[[#This Row],[Order Date]],"mmm")</f>
        <v>Aug</v>
      </c>
      <c r="D441" t="s">
        <v>602</v>
      </c>
      <c r="E441" t="s">
        <v>194</v>
      </c>
      <c r="F441" t="s">
        <v>195</v>
      </c>
      <c r="G441" t="s">
        <v>111</v>
      </c>
      <c r="H441" t="s">
        <v>83</v>
      </c>
      <c r="I441" t="s">
        <v>188</v>
      </c>
      <c r="J441" t="s">
        <v>475</v>
      </c>
      <c r="K441" t="s">
        <v>476</v>
      </c>
      <c r="L441" t="s">
        <v>1308</v>
      </c>
      <c r="M441" t="s">
        <v>43</v>
      </c>
      <c r="N441" t="s">
        <v>124</v>
      </c>
      <c r="O441" t="s">
        <v>45</v>
      </c>
      <c r="P441">
        <v>2</v>
      </c>
      <c r="Q441">
        <v>159.51</v>
      </c>
      <c r="R441" s="19">
        <v>0.2</v>
      </c>
      <c r="S441" s="21">
        <v>63.8</v>
      </c>
      <c r="T441">
        <v>319.02</v>
      </c>
      <c r="U441" s="2">
        <v>255.22</v>
      </c>
      <c r="V441">
        <v>239.99</v>
      </c>
      <c r="W441">
        <v>130.51</v>
      </c>
      <c r="X441" s="2">
        <v>-115.28</v>
      </c>
      <c r="Y441">
        <v>-0.45169999999999999</v>
      </c>
      <c r="Z441">
        <v>7</v>
      </c>
      <c r="AA441" t="s">
        <v>61</v>
      </c>
      <c r="AB441" t="s">
        <v>47</v>
      </c>
      <c r="AD441">
        <v>5</v>
      </c>
      <c r="AE441" s="2">
        <v>302.23</v>
      </c>
      <c r="AF441">
        <v>0.84450000000000003</v>
      </c>
      <c r="AG441" t="s">
        <v>49</v>
      </c>
      <c r="AH441" s="23">
        <f>SUM(Amazon_Data_Set[[#This Row],[Gross Sales]]-Amazon_Data_Set[[#This Row],[Discount Amount]])</f>
        <v>255.21999999999997</v>
      </c>
    </row>
    <row r="442" spans="1:34">
      <c r="A442" t="s">
        <v>1309</v>
      </c>
      <c r="B442" s="1">
        <v>46082</v>
      </c>
      <c r="C442" t="str">
        <f>TEXT(Amazon_Data_Set[[#This Row],[Order Date]],"mmm")</f>
        <v>Mar</v>
      </c>
      <c r="D442" t="s">
        <v>589</v>
      </c>
      <c r="E442" t="s">
        <v>149</v>
      </c>
      <c r="F442" t="s">
        <v>150</v>
      </c>
      <c r="G442" t="s">
        <v>37</v>
      </c>
      <c r="H442" t="s">
        <v>55</v>
      </c>
      <c r="I442" t="s">
        <v>120</v>
      </c>
      <c r="J442" t="s">
        <v>127</v>
      </c>
      <c r="K442" t="s">
        <v>128</v>
      </c>
      <c r="L442" t="s">
        <v>1310</v>
      </c>
      <c r="M442" t="s">
        <v>43</v>
      </c>
      <c r="N442" t="s">
        <v>70</v>
      </c>
      <c r="O442" t="s">
        <v>45</v>
      </c>
      <c r="P442">
        <v>2</v>
      </c>
      <c r="Q442">
        <v>52871.34</v>
      </c>
      <c r="R442" s="19">
        <v>0.2</v>
      </c>
      <c r="S442" s="21">
        <v>21148.54</v>
      </c>
      <c r="T442">
        <v>105742.68</v>
      </c>
      <c r="U442" s="2">
        <v>84594.14</v>
      </c>
      <c r="V442">
        <v>73.86</v>
      </c>
      <c r="W442">
        <v>47107.32</v>
      </c>
      <c r="X442" s="2">
        <v>37412.959999999999</v>
      </c>
      <c r="Y442">
        <v>0.44230000000000003</v>
      </c>
      <c r="Z442">
        <v>5</v>
      </c>
      <c r="AA442" t="s">
        <v>61</v>
      </c>
      <c r="AB442" t="s">
        <v>47</v>
      </c>
      <c r="AD442">
        <v>4</v>
      </c>
      <c r="AE442" s="2">
        <v>97219.8</v>
      </c>
      <c r="AF442">
        <v>0.87009999999999998</v>
      </c>
      <c r="AG442" t="s">
        <v>49</v>
      </c>
      <c r="AH442" s="23">
        <f>SUM(Amazon_Data_Set[[#This Row],[Gross Sales]]-Amazon_Data_Set[[#This Row],[Discount Amount]])</f>
        <v>84594.139999999985</v>
      </c>
    </row>
    <row r="443" spans="1:34">
      <c r="A443" t="s">
        <v>1311</v>
      </c>
      <c r="B443" s="1">
        <v>46370</v>
      </c>
      <c r="C443" t="str">
        <f>TEXT(Amazon_Data_Set[[#This Row],[Order Date]],"mmm")</f>
        <v>Dec</v>
      </c>
      <c r="D443" t="s">
        <v>411</v>
      </c>
      <c r="E443" t="s">
        <v>118</v>
      </c>
      <c r="F443" t="s">
        <v>119</v>
      </c>
      <c r="G443" t="s">
        <v>82</v>
      </c>
      <c r="H443" t="s">
        <v>142</v>
      </c>
      <c r="I443" t="s">
        <v>143</v>
      </c>
      <c r="J443" t="s">
        <v>183</v>
      </c>
      <c r="K443" t="s">
        <v>184</v>
      </c>
      <c r="L443" t="s">
        <v>1312</v>
      </c>
      <c r="M443" t="s">
        <v>106</v>
      </c>
      <c r="N443" t="s">
        <v>95</v>
      </c>
      <c r="O443" t="s">
        <v>130</v>
      </c>
      <c r="P443">
        <v>4</v>
      </c>
      <c r="Q443">
        <v>6350.53</v>
      </c>
      <c r="R443" s="19">
        <v>0.1</v>
      </c>
      <c r="S443" s="21">
        <v>2540.21</v>
      </c>
      <c r="T443">
        <v>25402.12</v>
      </c>
      <c r="U443" s="2">
        <v>22861.91</v>
      </c>
      <c r="V443">
        <v>87.38</v>
      </c>
      <c r="W443">
        <v>17230.689999999999</v>
      </c>
      <c r="X443" s="2">
        <v>5543.84</v>
      </c>
      <c r="Y443">
        <v>0.24249999999999999</v>
      </c>
      <c r="Z443">
        <v>4</v>
      </c>
      <c r="AA443" t="s">
        <v>131</v>
      </c>
      <c r="AB443" t="s">
        <v>47</v>
      </c>
      <c r="AE443" s="2">
        <v>26696.6</v>
      </c>
      <c r="AF443">
        <v>0.85640000000000005</v>
      </c>
      <c r="AG443" t="s">
        <v>49</v>
      </c>
      <c r="AH443" s="23">
        <f>SUM(Amazon_Data_Set[[#This Row],[Gross Sales]]-Amazon_Data_Set[[#This Row],[Discount Amount]])</f>
        <v>22861.91</v>
      </c>
    </row>
    <row r="444" spans="1:34">
      <c r="A444" t="s">
        <v>1313</v>
      </c>
      <c r="B444" s="1">
        <v>46229</v>
      </c>
      <c r="C444" t="str">
        <f>TEXT(Amazon_Data_Set[[#This Row],[Order Date]],"mmm")</f>
        <v>Jul</v>
      </c>
      <c r="D444" t="s">
        <v>714</v>
      </c>
      <c r="E444" t="s">
        <v>235</v>
      </c>
      <c r="F444" t="s">
        <v>236</v>
      </c>
      <c r="G444" t="s">
        <v>82</v>
      </c>
      <c r="H444" t="s">
        <v>38</v>
      </c>
      <c r="I444" t="s">
        <v>66</v>
      </c>
      <c r="J444" t="s">
        <v>67</v>
      </c>
      <c r="K444" t="s">
        <v>68</v>
      </c>
      <c r="L444" t="s">
        <v>1314</v>
      </c>
      <c r="M444" t="s">
        <v>43</v>
      </c>
      <c r="N444" t="s">
        <v>44</v>
      </c>
      <c r="O444" t="s">
        <v>45</v>
      </c>
      <c r="P444">
        <v>2</v>
      </c>
      <c r="Q444">
        <v>1550.93</v>
      </c>
      <c r="R444" s="19">
        <v>0</v>
      </c>
      <c r="S444" s="21">
        <v>0</v>
      </c>
      <c r="T444">
        <v>3101.86</v>
      </c>
      <c r="U444" s="2">
        <v>3101.86</v>
      </c>
      <c r="V444">
        <v>217.72</v>
      </c>
      <c r="W444">
        <v>1545.28</v>
      </c>
      <c r="X444" s="2">
        <v>1338.86</v>
      </c>
      <c r="Y444">
        <v>0.43159999999999998</v>
      </c>
      <c r="Z444">
        <v>6</v>
      </c>
      <c r="AA444" t="s">
        <v>61</v>
      </c>
      <c r="AB444" t="s">
        <v>47</v>
      </c>
      <c r="AD444">
        <v>5</v>
      </c>
      <c r="AE444" s="2">
        <v>3034.69</v>
      </c>
      <c r="AF444">
        <v>1.0221</v>
      </c>
      <c r="AG444" t="s">
        <v>49</v>
      </c>
      <c r="AH444" s="23">
        <f>SUM(Amazon_Data_Set[[#This Row],[Gross Sales]]-Amazon_Data_Set[[#This Row],[Discount Amount]])</f>
        <v>3101.86</v>
      </c>
    </row>
    <row r="445" spans="1:34">
      <c r="A445" t="s">
        <v>1315</v>
      </c>
      <c r="B445" s="1">
        <v>46268</v>
      </c>
      <c r="C445" t="str">
        <f>TEXT(Amazon_Data_Set[[#This Row],[Order Date]],"mmm")</f>
        <v>Sep</v>
      </c>
      <c r="D445" t="s">
        <v>1090</v>
      </c>
      <c r="E445" t="s">
        <v>80</v>
      </c>
      <c r="F445" t="s">
        <v>81</v>
      </c>
      <c r="G445" t="s">
        <v>82</v>
      </c>
      <c r="H445" t="s">
        <v>90</v>
      </c>
      <c r="I445" t="s">
        <v>252</v>
      </c>
      <c r="J445" t="s">
        <v>528</v>
      </c>
      <c r="K445" t="s">
        <v>529</v>
      </c>
      <c r="L445" t="s">
        <v>1316</v>
      </c>
      <c r="M445" t="s">
        <v>106</v>
      </c>
      <c r="N445" t="s">
        <v>44</v>
      </c>
      <c r="O445" t="s">
        <v>96</v>
      </c>
      <c r="P445">
        <v>3</v>
      </c>
      <c r="Q445">
        <v>911.72</v>
      </c>
      <c r="R445" s="19">
        <v>0.05</v>
      </c>
      <c r="S445" s="21">
        <v>136.76</v>
      </c>
      <c r="T445">
        <v>2735.16</v>
      </c>
      <c r="U445" s="2">
        <v>2598.4</v>
      </c>
      <c r="V445">
        <v>210.31</v>
      </c>
      <c r="W445">
        <v>1842.57</v>
      </c>
      <c r="X445" s="2">
        <v>545.52</v>
      </c>
      <c r="Y445">
        <v>0.2099</v>
      </c>
      <c r="Z445">
        <v>0</v>
      </c>
      <c r="AA445" t="s">
        <v>97</v>
      </c>
      <c r="AB445" t="s">
        <v>47</v>
      </c>
      <c r="AE445" s="2">
        <v>2961.83</v>
      </c>
      <c r="AF445">
        <v>0.87729999999999997</v>
      </c>
      <c r="AG445" t="s">
        <v>828</v>
      </c>
      <c r="AH445" s="23">
        <f>SUM(Amazon_Data_Set[[#This Row],[Gross Sales]]-Amazon_Data_Set[[#This Row],[Discount Amount]])</f>
        <v>2598.3999999999996</v>
      </c>
    </row>
    <row r="446" spans="1:34">
      <c r="A446" t="s">
        <v>1317</v>
      </c>
      <c r="B446" s="1">
        <v>46347</v>
      </c>
      <c r="C446" t="str">
        <f>TEXT(Amazon_Data_Set[[#This Row],[Order Date]],"mmm")</f>
        <v>Nov</v>
      </c>
      <c r="D446" t="s">
        <v>914</v>
      </c>
      <c r="E446" t="s">
        <v>35</v>
      </c>
      <c r="F446" t="s">
        <v>36</v>
      </c>
      <c r="G446" t="s">
        <v>37</v>
      </c>
      <c r="H446" t="s">
        <v>142</v>
      </c>
      <c r="I446" t="s">
        <v>143</v>
      </c>
      <c r="J446" t="s">
        <v>200</v>
      </c>
      <c r="K446" t="s">
        <v>201</v>
      </c>
      <c r="L446" t="s">
        <v>1318</v>
      </c>
      <c r="M446" t="s">
        <v>43</v>
      </c>
      <c r="N446" t="s">
        <v>60</v>
      </c>
      <c r="O446" t="s">
        <v>45</v>
      </c>
      <c r="P446">
        <v>3</v>
      </c>
      <c r="Q446">
        <v>5811.33</v>
      </c>
      <c r="R446" s="19">
        <v>0.05</v>
      </c>
      <c r="S446" s="21">
        <v>871.7</v>
      </c>
      <c r="T446">
        <v>17433.990000000002</v>
      </c>
      <c r="U446" s="2">
        <v>16562.29</v>
      </c>
      <c r="V446">
        <v>186.36</v>
      </c>
      <c r="W446">
        <v>11599.97</v>
      </c>
      <c r="X446" s="2">
        <v>4775.96</v>
      </c>
      <c r="Y446">
        <v>0.28839999999999999</v>
      </c>
      <c r="Z446">
        <v>2</v>
      </c>
      <c r="AA446" t="s">
        <v>46</v>
      </c>
      <c r="AB446" t="s">
        <v>47</v>
      </c>
      <c r="AD446">
        <v>5</v>
      </c>
      <c r="AE446" s="2">
        <v>19301.45</v>
      </c>
      <c r="AF446">
        <v>0.85809999999999997</v>
      </c>
      <c r="AG446" t="s">
        <v>49</v>
      </c>
      <c r="AH446" s="23">
        <f>SUM(Amazon_Data_Set[[#This Row],[Gross Sales]]-Amazon_Data_Set[[#This Row],[Discount Amount]])</f>
        <v>16562.29</v>
      </c>
    </row>
    <row r="447" spans="1:34">
      <c r="A447" t="s">
        <v>1319</v>
      </c>
      <c r="B447" s="1">
        <v>46146</v>
      </c>
      <c r="C447" t="str">
        <f>TEXT(Amazon_Data_Set[[#This Row],[Order Date]],"mmm")</f>
        <v>May</v>
      </c>
      <c r="D447" t="s">
        <v>126</v>
      </c>
      <c r="E447" t="s">
        <v>109</v>
      </c>
      <c r="F447" t="s">
        <v>110</v>
      </c>
      <c r="G447" t="s">
        <v>111</v>
      </c>
      <c r="H447" t="s">
        <v>83</v>
      </c>
      <c r="I447" t="s">
        <v>102</v>
      </c>
      <c r="J447" t="s">
        <v>373</v>
      </c>
      <c r="K447" t="s">
        <v>374</v>
      </c>
      <c r="L447" t="s">
        <v>1320</v>
      </c>
      <c r="M447" t="s">
        <v>43</v>
      </c>
      <c r="N447" t="s">
        <v>70</v>
      </c>
      <c r="O447" t="s">
        <v>45</v>
      </c>
      <c r="P447">
        <v>5</v>
      </c>
      <c r="Q447">
        <v>2162.65</v>
      </c>
      <c r="R447" s="19">
        <v>0.15</v>
      </c>
      <c r="S447" s="21">
        <v>1621.99</v>
      </c>
      <c r="T447">
        <v>10813.25</v>
      </c>
      <c r="U447" s="2">
        <v>9191.26</v>
      </c>
      <c r="V447">
        <v>53.51</v>
      </c>
      <c r="W447">
        <v>5029.96</v>
      </c>
      <c r="X447" s="2">
        <v>4107.79</v>
      </c>
      <c r="Y447">
        <v>0.44690000000000002</v>
      </c>
      <c r="Z447">
        <v>6</v>
      </c>
      <c r="AA447" t="s">
        <v>61</v>
      </c>
      <c r="AB447" t="s">
        <v>47</v>
      </c>
      <c r="AD447">
        <v>3</v>
      </c>
      <c r="AE447" s="2">
        <v>8941.24</v>
      </c>
      <c r="AF447">
        <v>1.028</v>
      </c>
      <c r="AG447" t="s">
        <v>49</v>
      </c>
      <c r="AH447" s="23">
        <f>SUM(Amazon_Data_Set[[#This Row],[Gross Sales]]-Amazon_Data_Set[[#This Row],[Discount Amount]])</f>
        <v>9191.26</v>
      </c>
    </row>
    <row r="448" spans="1:34">
      <c r="A448" t="s">
        <v>1321</v>
      </c>
      <c r="B448" s="1">
        <v>46380</v>
      </c>
      <c r="C448" t="str">
        <f>TEXT(Amazon_Data_Set[[#This Row],[Order Date]],"mmm")</f>
        <v>Dec</v>
      </c>
      <c r="D448" t="s">
        <v>304</v>
      </c>
      <c r="E448" t="s">
        <v>109</v>
      </c>
      <c r="F448" t="s">
        <v>110</v>
      </c>
      <c r="G448" t="s">
        <v>111</v>
      </c>
      <c r="H448" t="s">
        <v>38</v>
      </c>
      <c r="I448" t="s">
        <v>161</v>
      </c>
      <c r="J448" t="s">
        <v>223</v>
      </c>
      <c r="K448" t="s">
        <v>224</v>
      </c>
      <c r="L448" t="s">
        <v>1322</v>
      </c>
      <c r="M448" t="s">
        <v>106</v>
      </c>
      <c r="N448" t="s">
        <v>124</v>
      </c>
      <c r="O448" t="s">
        <v>45</v>
      </c>
      <c r="P448">
        <v>5</v>
      </c>
      <c r="Q448">
        <v>2670.85</v>
      </c>
      <c r="R448" s="19">
        <v>0.2</v>
      </c>
      <c r="S448" s="21">
        <v>2670.85</v>
      </c>
      <c r="T448">
        <v>13354.25</v>
      </c>
      <c r="U448" s="2">
        <v>10683.4</v>
      </c>
      <c r="V448">
        <v>29.96</v>
      </c>
      <c r="W448">
        <v>5256.93</v>
      </c>
      <c r="X448" s="2">
        <v>5396.51</v>
      </c>
      <c r="Y448">
        <v>0.50509999999999999</v>
      </c>
      <c r="Z448">
        <v>8</v>
      </c>
      <c r="AA448" t="s">
        <v>61</v>
      </c>
      <c r="AB448" t="s">
        <v>47</v>
      </c>
      <c r="AD448">
        <v>5</v>
      </c>
      <c r="AE448" s="2">
        <v>9397.77</v>
      </c>
      <c r="AF448">
        <v>1.1368</v>
      </c>
      <c r="AG448" t="s">
        <v>49</v>
      </c>
      <c r="AH448" s="23">
        <f>SUM(Amazon_Data_Set[[#This Row],[Gross Sales]]-Amazon_Data_Set[[#This Row],[Discount Amount]])</f>
        <v>10683.4</v>
      </c>
    </row>
    <row r="449" spans="1:34">
      <c r="A449" t="s">
        <v>1323</v>
      </c>
      <c r="B449" s="1">
        <v>46091</v>
      </c>
      <c r="C449" t="str">
        <f>TEXT(Amazon_Data_Set[[#This Row],[Order Date]],"mmm")</f>
        <v>Mar</v>
      </c>
      <c r="D449" t="s">
        <v>790</v>
      </c>
      <c r="E449" t="s">
        <v>80</v>
      </c>
      <c r="F449" t="s">
        <v>81</v>
      </c>
      <c r="G449" t="s">
        <v>82</v>
      </c>
      <c r="H449" t="s">
        <v>142</v>
      </c>
      <c r="I449" t="s">
        <v>214</v>
      </c>
      <c r="J449" t="s">
        <v>215</v>
      </c>
      <c r="K449" t="s">
        <v>216</v>
      </c>
      <c r="L449" t="s">
        <v>1324</v>
      </c>
      <c r="M449" t="s">
        <v>43</v>
      </c>
      <c r="N449" t="s">
        <v>44</v>
      </c>
      <c r="O449" t="s">
        <v>96</v>
      </c>
      <c r="P449">
        <v>2</v>
      </c>
      <c r="Q449">
        <v>2954.62</v>
      </c>
      <c r="R449" s="19">
        <v>0.15</v>
      </c>
      <c r="S449" s="21">
        <v>886.39</v>
      </c>
      <c r="T449">
        <v>5909.24</v>
      </c>
      <c r="U449" s="2">
        <v>5022.8500000000004</v>
      </c>
      <c r="V449">
        <v>76.31</v>
      </c>
      <c r="W449">
        <v>3049.59</v>
      </c>
      <c r="X449" s="2">
        <v>1896.95</v>
      </c>
      <c r="Y449">
        <v>0.37769999999999998</v>
      </c>
      <c r="Z449">
        <v>0</v>
      </c>
      <c r="AA449" t="s">
        <v>97</v>
      </c>
      <c r="AB449" t="s">
        <v>47</v>
      </c>
      <c r="AE449" s="2">
        <v>5645.14</v>
      </c>
      <c r="AF449">
        <v>0.88980000000000004</v>
      </c>
      <c r="AG449" t="s">
        <v>49</v>
      </c>
      <c r="AH449" s="23">
        <f>SUM(Amazon_Data_Set[[#This Row],[Gross Sales]]-Amazon_Data_Set[[#This Row],[Discount Amount]])</f>
        <v>5022.8499999999995</v>
      </c>
    </row>
    <row r="450" spans="1:34">
      <c r="A450" t="s">
        <v>1325</v>
      </c>
      <c r="B450" s="1">
        <v>46346</v>
      </c>
      <c r="C450" t="str">
        <f>TEXT(Amazon_Data_Set[[#This Row],[Order Date]],"mmm")</f>
        <v>Nov</v>
      </c>
      <c r="D450" t="s">
        <v>569</v>
      </c>
      <c r="E450" t="s">
        <v>174</v>
      </c>
      <c r="F450" t="s">
        <v>175</v>
      </c>
      <c r="G450" t="s">
        <v>82</v>
      </c>
      <c r="H450" t="s">
        <v>90</v>
      </c>
      <c r="I450" t="s">
        <v>252</v>
      </c>
      <c r="J450" t="s">
        <v>253</v>
      </c>
      <c r="K450" t="s">
        <v>254</v>
      </c>
      <c r="L450" t="s">
        <v>1326</v>
      </c>
      <c r="M450" t="s">
        <v>43</v>
      </c>
      <c r="N450" t="s">
        <v>70</v>
      </c>
      <c r="O450" t="s">
        <v>96</v>
      </c>
      <c r="P450">
        <v>3</v>
      </c>
      <c r="Q450">
        <v>617.54</v>
      </c>
      <c r="R450" s="19">
        <v>0.25</v>
      </c>
      <c r="S450" s="21">
        <v>463.15</v>
      </c>
      <c r="T450">
        <v>1852.62</v>
      </c>
      <c r="U450" s="2">
        <v>1389.47</v>
      </c>
      <c r="V450">
        <v>77.36</v>
      </c>
      <c r="W450">
        <v>943.58</v>
      </c>
      <c r="X450" s="2">
        <v>368.53</v>
      </c>
      <c r="Y450">
        <v>0.26519999999999999</v>
      </c>
      <c r="Z450">
        <v>0</v>
      </c>
      <c r="AA450" t="s">
        <v>97</v>
      </c>
      <c r="AB450" t="s">
        <v>47</v>
      </c>
      <c r="AE450" s="2">
        <v>1728.72</v>
      </c>
      <c r="AF450">
        <v>0.80379999999999996</v>
      </c>
      <c r="AG450" t="s">
        <v>49</v>
      </c>
      <c r="AH450" s="23">
        <f>SUM(Amazon_Data_Set[[#This Row],[Gross Sales]]-Amazon_Data_Set[[#This Row],[Discount Amount]])</f>
        <v>1389.4699999999998</v>
      </c>
    </row>
    <row r="451" spans="1:34">
      <c r="A451" t="s">
        <v>1327</v>
      </c>
      <c r="B451" s="1">
        <v>46070</v>
      </c>
      <c r="C451" t="str">
        <f>TEXT(Amazon_Data_Set[[#This Row],[Order Date]],"mmm")</f>
        <v>Feb</v>
      </c>
      <c r="D451" t="s">
        <v>380</v>
      </c>
      <c r="E451" t="s">
        <v>52</v>
      </c>
      <c r="F451" t="s">
        <v>53</v>
      </c>
      <c r="G451" t="s">
        <v>54</v>
      </c>
      <c r="H451" t="s">
        <v>142</v>
      </c>
      <c r="I451" t="s">
        <v>209</v>
      </c>
      <c r="J451" t="s">
        <v>511</v>
      </c>
      <c r="K451" t="s">
        <v>512</v>
      </c>
      <c r="L451" t="s">
        <v>1328</v>
      </c>
      <c r="M451" t="s">
        <v>106</v>
      </c>
      <c r="N451" t="s">
        <v>124</v>
      </c>
      <c r="O451" t="s">
        <v>96</v>
      </c>
      <c r="P451">
        <v>5</v>
      </c>
      <c r="Q451">
        <v>692.94</v>
      </c>
      <c r="R451" s="19">
        <v>0</v>
      </c>
      <c r="S451" s="21">
        <v>0</v>
      </c>
      <c r="T451">
        <v>3464.7</v>
      </c>
      <c r="U451" s="2">
        <v>3464.7</v>
      </c>
      <c r="V451">
        <v>174.97</v>
      </c>
      <c r="W451">
        <v>2301.44</v>
      </c>
      <c r="X451" s="2">
        <v>988.29</v>
      </c>
      <c r="Y451">
        <v>0.28520000000000001</v>
      </c>
      <c r="Z451">
        <v>0</v>
      </c>
      <c r="AA451" t="s">
        <v>97</v>
      </c>
      <c r="AB451" t="s">
        <v>47</v>
      </c>
      <c r="AE451" s="2">
        <v>3903.29</v>
      </c>
      <c r="AF451">
        <v>0.88759999999999994</v>
      </c>
      <c r="AG451" t="s">
        <v>49</v>
      </c>
      <c r="AH451" s="23">
        <f>SUM(Amazon_Data_Set[[#This Row],[Gross Sales]]-Amazon_Data_Set[[#This Row],[Discount Amount]])</f>
        <v>3464.7</v>
      </c>
    </row>
    <row r="452" spans="1:34">
      <c r="A452" t="s">
        <v>1329</v>
      </c>
      <c r="B452" s="1">
        <v>46230</v>
      </c>
      <c r="C452" t="str">
        <f>TEXT(Amazon_Data_Set[[#This Row],[Order Date]],"mmm")</f>
        <v>Jul</v>
      </c>
      <c r="D452" t="s">
        <v>1330</v>
      </c>
      <c r="E452" t="s">
        <v>100</v>
      </c>
      <c r="F452" t="s">
        <v>179</v>
      </c>
      <c r="G452" t="s">
        <v>54</v>
      </c>
      <c r="H452" t="s">
        <v>83</v>
      </c>
      <c r="I452" t="s">
        <v>102</v>
      </c>
      <c r="J452" t="s">
        <v>259</v>
      </c>
      <c r="K452" t="s">
        <v>260</v>
      </c>
      <c r="L452" t="s">
        <v>1331</v>
      </c>
      <c r="M452" t="s">
        <v>43</v>
      </c>
      <c r="N452" t="s">
        <v>60</v>
      </c>
      <c r="O452" t="s">
        <v>45</v>
      </c>
      <c r="P452">
        <v>4</v>
      </c>
      <c r="Q452">
        <v>374.66</v>
      </c>
      <c r="R452" s="19">
        <v>0.2</v>
      </c>
      <c r="S452" s="21">
        <v>299.73</v>
      </c>
      <c r="T452">
        <v>1498.64</v>
      </c>
      <c r="U452" s="2">
        <v>1198.9100000000001</v>
      </c>
      <c r="V452">
        <v>145.68</v>
      </c>
      <c r="W452">
        <v>709.58</v>
      </c>
      <c r="X452" s="2">
        <v>343.65</v>
      </c>
      <c r="Y452">
        <v>0.28660000000000002</v>
      </c>
      <c r="Z452">
        <v>4</v>
      </c>
      <c r="AA452" t="s">
        <v>46</v>
      </c>
      <c r="AB452" t="s">
        <v>47</v>
      </c>
      <c r="AD452">
        <v>4</v>
      </c>
      <c r="AE452" s="2">
        <v>1211.79</v>
      </c>
      <c r="AF452">
        <v>0.98939999999999995</v>
      </c>
      <c r="AG452" t="s">
        <v>49</v>
      </c>
      <c r="AH452" s="23">
        <f>SUM(Amazon_Data_Set[[#This Row],[Gross Sales]]-Amazon_Data_Set[[#This Row],[Discount Amount]])</f>
        <v>1198.9100000000001</v>
      </c>
    </row>
    <row r="453" spans="1:34">
      <c r="A453" t="s">
        <v>1332</v>
      </c>
      <c r="B453" s="1">
        <v>46077</v>
      </c>
      <c r="C453" t="str">
        <f>TEXT(Amazon_Data_Set[[#This Row],[Order Date]],"mmm")</f>
        <v>Feb</v>
      </c>
      <c r="D453" t="s">
        <v>1333</v>
      </c>
      <c r="E453" t="s">
        <v>149</v>
      </c>
      <c r="F453" t="s">
        <v>150</v>
      </c>
      <c r="G453" t="s">
        <v>37</v>
      </c>
      <c r="H453" t="s">
        <v>38</v>
      </c>
      <c r="I453" t="s">
        <v>161</v>
      </c>
      <c r="J453" t="s">
        <v>162</v>
      </c>
      <c r="K453" t="s">
        <v>163</v>
      </c>
      <c r="L453" t="s">
        <v>1334</v>
      </c>
      <c r="M453" t="s">
        <v>43</v>
      </c>
      <c r="N453" t="s">
        <v>124</v>
      </c>
      <c r="O453" t="s">
        <v>45</v>
      </c>
      <c r="P453">
        <v>1</v>
      </c>
      <c r="Q453">
        <v>2546.71</v>
      </c>
      <c r="R453" s="19">
        <v>0</v>
      </c>
      <c r="S453" s="21">
        <v>0</v>
      </c>
      <c r="T453">
        <v>2546.71</v>
      </c>
      <c r="U453" s="2">
        <v>2546.71</v>
      </c>
      <c r="V453">
        <v>111.91</v>
      </c>
      <c r="W453">
        <v>1610.86</v>
      </c>
      <c r="X453" s="2">
        <v>823.94</v>
      </c>
      <c r="Y453">
        <v>0.32350000000000001</v>
      </c>
      <c r="Z453">
        <v>7</v>
      </c>
      <c r="AA453" t="s">
        <v>61</v>
      </c>
      <c r="AB453" t="s">
        <v>47</v>
      </c>
      <c r="AD453">
        <v>4</v>
      </c>
      <c r="AE453" s="2">
        <v>2640.04</v>
      </c>
      <c r="AF453">
        <v>0.96460000000000001</v>
      </c>
      <c r="AG453" t="s">
        <v>49</v>
      </c>
      <c r="AH453" s="23">
        <f>SUM(Amazon_Data_Set[[#This Row],[Gross Sales]]-Amazon_Data_Set[[#This Row],[Discount Amount]])</f>
        <v>2546.71</v>
      </c>
    </row>
    <row r="454" spans="1:34">
      <c r="A454" t="s">
        <v>1335</v>
      </c>
      <c r="B454" s="1">
        <v>46322</v>
      </c>
      <c r="C454" t="str">
        <f>TEXT(Amazon_Data_Set[[#This Row],[Order Date]],"mmm")</f>
        <v>Oct</v>
      </c>
      <c r="D454" t="s">
        <v>748</v>
      </c>
      <c r="E454" t="s">
        <v>174</v>
      </c>
      <c r="F454" t="s">
        <v>175</v>
      </c>
      <c r="G454" t="s">
        <v>82</v>
      </c>
      <c r="H454" t="s">
        <v>55</v>
      </c>
      <c r="I454" t="s">
        <v>73</v>
      </c>
      <c r="J454" t="s">
        <v>74</v>
      </c>
      <c r="K454" t="s">
        <v>75</v>
      </c>
      <c r="L454" t="s">
        <v>1336</v>
      </c>
      <c r="M454" t="s">
        <v>43</v>
      </c>
      <c r="N454" t="s">
        <v>95</v>
      </c>
      <c r="O454" t="s">
        <v>45</v>
      </c>
      <c r="P454">
        <v>5</v>
      </c>
      <c r="Q454">
        <v>2443.5700000000002</v>
      </c>
      <c r="R454" s="19">
        <v>0</v>
      </c>
      <c r="S454" s="21">
        <v>0</v>
      </c>
      <c r="T454">
        <v>12217.85</v>
      </c>
      <c r="U454" s="2">
        <v>12217.85</v>
      </c>
      <c r="V454">
        <v>95.38</v>
      </c>
      <c r="W454">
        <v>7279.83</v>
      </c>
      <c r="X454" s="2">
        <v>4842.6400000000003</v>
      </c>
      <c r="Y454">
        <v>0.39639999999999997</v>
      </c>
      <c r="Z454">
        <v>3</v>
      </c>
      <c r="AA454" t="s">
        <v>46</v>
      </c>
      <c r="AB454" t="s">
        <v>47</v>
      </c>
      <c r="AD454">
        <v>5</v>
      </c>
      <c r="AE454" s="2">
        <v>13039.7</v>
      </c>
      <c r="AF454">
        <v>0.93700000000000006</v>
      </c>
      <c r="AG454" t="s">
        <v>49</v>
      </c>
      <c r="AH454" s="23">
        <f>SUM(Amazon_Data_Set[[#This Row],[Gross Sales]]-Amazon_Data_Set[[#This Row],[Discount Amount]])</f>
        <v>12217.85</v>
      </c>
    </row>
    <row r="455" spans="1:34">
      <c r="A455" t="s">
        <v>1337</v>
      </c>
      <c r="B455" s="1">
        <v>46269</v>
      </c>
      <c r="C455" t="str">
        <f>TEXT(Amazon_Data_Set[[#This Row],[Order Date]],"mmm")</f>
        <v>Sep</v>
      </c>
      <c r="D455" t="s">
        <v>935</v>
      </c>
      <c r="E455" t="s">
        <v>194</v>
      </c>
      <c r="F455" t="s">
        <v>195</v>
      </c>
      <c r="G455" t="s">
        <v>111</v>
      </c>
      <c r="H455" t="s">
        <v>55</v>
      </c>
      <c r="I455" t="s">
        <v>56</v>
      </c>
      <c r="J455" t="s">
        <v>57</v>
      </c>
      <c r="K455" t="s">
        <v>58</v>
      </c>
      <c r="L455" t="s">
        <v>1338</v>
      </c>
      <c r="M455" t="s">
        <v>43</v>
      </c>
      <c r="N455" t="s">
        <v>77</v>
      </c>
      <c r="O455" t="s">
        <v>45</v>
      </c>
      <c r="P455">
        <v>5</v>
      </c>
      <c r="Q455">
        <v>4733.3999999999996</v>
      </c>
      <c r="R455" s="19">
        <v>0.1</v>
      </c>
      <c r="S455" s="21">
        <v>2366.6999999999998</v>
      </c>
      <c r="T455">
        <v>23667</v>
      </c>
      <c r="U455" s="2">
        <v>21300.3</v>
      </c>
      <c r="V455">
        <v>143.08000000000001</v>
      </c>
      <c r="W455">
        <v>11620.42</v>
      </c>
      <c r="X455" s="2">
        <v>9536.7999999999993</v>
      </c>
      <c r="Y455">
        <v>0.44769999999999999</v>
      </c>
      <c r="Z455">
        <v>6</v>
      </c>
      <c r="AA455" t="s">
        <v>61</v>
      </c>
      <c r="AB455" t="s">
        <v>47</v>
      </c>
      <c r="AD455">
        <v>4</v>
      </c>
      <c r="AE455" s="2">
        <v>25721.13</v>
      </c>
      <c r="AF455">
        <v>0.82809999999999995</v>
      </c>
      <c r="AG455" t="s">
        <v>49</v>
      </c>
      <c r="AH455" s="23">
        <f>SUM(Amazon_Data_Set[[#This Row],[Gross Sales]]-Amazon_Data_Set[[#This Row],[Discount Amount]])</f>
        <v>21300.3</v>
      </c>
    </row>
    <row r="456" spans="1:34">
      <c r="A456" t="s">
        <v>1339</v>
      </c>
      <c r="B456" s="1">
        <v>46155</v>
      </c>
      <c r="C456" t="str">
        <f>TEXT(Amazon_Data_Set[[#This Row],[Order Date]],"mmm")</f>
        <v>May</v>
      </c>
      <c r="D456" t="s">
        <v>527</v>
      </c>
      <c r="E456" t="s">
        <v>235</v>
      </c>
      <c r="F456" t="s">
        <v>236</v>
      </c>
      <c r="G456" t="s">
        <v>82</v>
      </c>
      <c r="H456" t="s">
        <v>38</v>
      </c>
      <c r="I456" t="s">
        <v>161</v>
      </c>
      <c r="J456" t="s">
        <v>162</v>
      </c>
      <c r="K456" t="s">
        <v>163</v>
      </c>
      <c r="L456" t="s">
        <v>1340</v>
      </c>
      <c r="M456" t="s">
        <v>106</v>
      </c>
      <c r="N456" t="s">
        <v>95</v>
      </c>
      <c r="O456" t="s">
        <v>130</v>
      </c>
      <c r="P456">
        <v>3</v>
      </c>
      <c r="Q456">
        <v>673.41</v>
      </c>
      <c r="R456" s="19">
        <v>0.3</v>
      </c>
      <c r="S456" s="21">
        <v>606.07000000000005</v>
      </c>
      <c r="T456">
        <v>2020.23</v>
      </c>
      <c r="U456" s="2">
        <v>1414.16</v>
      </c>
      <c r="V456">
        <v>122.44</v>
      </c>
      <c r="W456">
        <v>802.15</v>
      </c>
      <c r="X456" s="2">
        <v>489.57</v>
      </c>
      <c r="Y456">
        <v>0.34620000000000001</v>
      </c>
      <c r="Z456">
        <v>8</v>
      </c>
      <c r="AA456" t="s">
        <v>131</v>
      </c>
      <c r="AB456" t="s">
        <v>47</v>
      </c>
      <c r="AE456" s="2">
        <v>1269.77</v>
      </c>
      <c r="AF456">
        <v>1.1136999999999999</v>
      </c>
      <c r="AG456" t="s">
        <v>49</v>
      </c>
      <c r="AH456" s="23">
        <f>SUM(Amazon_Data_Set[[#This Row],[Gross Sales]]-Amazon_Data_Set[[#This Row],[Discount Amount]])</f>
        <v>1414.1599999999999</v>
      </c>
    </row>
    <row r="457" spans="1:34">
      <c r="A457" t="s">
        <v>1341</v>
      </c>
      <c r="B457" s="1">
        <v>46076</v>
      </c>
      <c r="C457" t="str">
        <f>TEXT(Amazon_Data_Set[[#This Row],[Order Date]],"mmm")</f>
        <v>Feb</v>
      </c>
      <c r="D457" t="s">
        <v>1342</v>
      </c>
      <c r="E457" t="s">
        <v>235</v>
      </c>
      <c r="F457" t="s">
        <v>236</v>
      </c>
      <c r="G457" t="s">
        <v>82</v>
      </c>
      <c r="H457" t="s">
        <v>90</v>
      </c>
      <c r="I457" t="s">
        <v>112</v>
      </c>
      <c r="J457" t="s">
        <v>113</v>
      </c>
      <c r="K457" t="s">
        <v>114</v>
      </c>
      <c r="L457" t="s">
        <v>1343</v>
      </c>
      <c r="M457" t="s">
        <v>43</v>
      </c>
      <c r="N457" t="s">
        <v>77</v>
      </c>
      <c r="O457" t="s">
        <v>45</v>
      </c>
      <c r="P457">
        <v>3</v>
      </c>
      <c r="Q457">
        <v>204.15</v>
      </c>
      <c r="R457" s="19">
        <v>0.3</v>
      </c>
      <c r="S457" s="21">
        <v>183.74</v>
      </c>
      <c r="T457">
        <v>612.45000000000005</v>
      </c>
      <c r="U457" s="2">
        <v>428.71</v>
      </c>
      <c r="V457">
        <v>10.67</v>
      </c>
      <c r="W457">
        <v>246.51</v>
      </c>
      <c r="X457" s="2">
        <v>171.53</v>
      </c>
      <c r="Y457">
        <v>0.40010000000000001</v>
      </c>
      <c r="Z457">
        <v>6</v>
      </c>
      <c r="AA457" t="s">
        <v>61</v>
      </c>
      <c r="AB457" t="s">
        <v>47</v>
      </c>
      <c r="AD457">
        <v>5</v>
      </c>
      <c r="AE457" s="2">
        <v>531.26</v>
      </c>
      <c r="AF457">
        <v>0.80700000000000005</v>
      </c>
      <c r="AG457" t="s">
        <v>49</v>
      </c>
      <c r="AH457" s="23">
        <f>SUM(Amazon_Data_Set[[#This Row],[Gross Sales]]-Amazon_Data_Set[[#This Row],[Discount Amount]])</f>
        <v>428.71000000000004</v>
      </c>
    </row>
    <row r="458" spans="1:34">
      <c r="A458" t="s">
        <v>1344</v>
      </c>
      <c r="B458" s="1">
        <v>46062</v>
      </c>
      <c r="C458" t="str">
        <f>TEXT(Amazon_Data_Set[[#This Row],[Order Date]],"mmm")</f>
        <v>Feb</v>
      </c>
      <c r="D458" t="s">
        <v>1333</v>
      </c>
      <c r="E458" t="s">
        <v>80</v>
      </c>
      <c r="F458" t="s">
        <v>81</v>
      </c>
      <c r="G458" t="s">
        <v>82</v>
      </c>
      <c r="H458" t="s">
        <v>90</v>
      </c>
      <c r="I458" t="s">
        <v>112</v>
      </c>
      <c r="J458" t="s">
        <v>134</v>
      </c>
      <c r="K458" t="s">
        <v>135</v>
      </c>
      <c r="L458" t="s">
        <v>1345</v>
      </c>
      <c r="M458" t="s">
        <v>43</v>
      </c>
      <c r="N458" t="s">
        <v>95</v>
      </c>
      <c r="O458" t="s">
        <v>96</v>
      </c>
      <c r="P458">
        <v>4</v>
      </c>
      <c r="Q458">
        <v>641.15</v>
      </c>
      <c r="R458" s="19">
        <v>0</v>
      </c>
      <c r="S458" s="21">
        <v>0</v>
      </c>
      <c r="T458">
        <v>2564.6</v>
      </c>
      <c r="U458" s="2">
        <v>2564.6</v>
      </c>
      <c r="V458">
        <v>123.25</v>
      </c>
      <c r="W458">
        <v>1597.61</v>
      </c>
      <c r="X458" s="2">
        <v>843.74</v>
      </c>
      <c r="Y458">
        <v>0.32900000000000001</v>
      </c>
      <c r="Z458">
        <v>0</v>
      </c>
      <c r="AA458" t="s">
        <v>97</v>
      </c>
      <c r="AB458" t="s">
        <v>47</v>
      </c>
      <c r="AE458" s="2">
        <v>2525.61</v>
      </c>
      <c r="AF458">
        <v>1.0154000000000001</v>
      </c>
      <c r="AG458" t="s">
        <v>49</v>
      </c>
      <c r="AH458" s="23">
        <f>SUM(Amazon_Data_Set[[#This Row],[Gross Sales]]-Amazon_Data_Set[[#This Row],[Discount Amount]])</f>
        <v>2564.6</v>
      </c>
    </row>
    <row r="459" spans="1:34">
      <c r="A459" t="s">
        <v>1346</v>
      </c>
      <c r="B459" s="1">
        <v>46106</v>
      </c>
      <c r="C459" t="str">
        <f>TEXT(Amazon_Data_Set[[#This Row],[Order Date]],"mmm")</f>
        <v>Mar</v>
      </c>
      <c r="D459" t="s">
        <v>755</v>
      </c>
      <c r="E459" t="s">
        <v>80</v>
      </c>
      <c r="F459" t="s">
        <v>81</v>
      </c>
      <c r="G459" t="s">
        <v>82</v>
      </c>
      <c r="H459" t="s">
        <v>142</v>
      </c>
      <c r="I459" t="s">
        <v>214</v>
      </c>
      <c r="J459" t="s">
        <v>215</v>
      </c>
      <c r="K459" t="s">
        <v>216</v>
      </c>
      <c r="L459" t="s">
        <v>1347</v>
      </c>
      <c r="M459" t="s">
        <v>43</v>
      </c>
      <c r="N459" t="s">
        <v>95</v>
      </c>
      <c r="O459" t="s">
        <v>45</v>
      </c>
      <c r="P459">
        <v>3</v>
      </c>
      <c r="Q459">
        <v>2013.7</v>
      </c>
      <c r="R459" s="19">
        <v>0</v>
      </c>
      <c r="S459" s="21">
        <v>0</v>
      </c>
      <c r="T459">
        <v>6041.1</v>
      </c>
      <c r="U459" s="2">
        <v>6041.1</v>
      </c>
      <c r="V459">
        <v>31.94</v>
      </c>
      <c r="W459">
        <v>3940.72</v>
      </c>
      <c r="X459" s="2">
        <v>2068.44</v>
      </c>
      <c r="Y459">
        <v>0.34239999999999998</v>
      </c>
      <c r="Z459">
        <v>8</v>
      </c>
      <c r="AA459" t="s">
        <v>61</v>
      </c>
      <c r="AB459" t="s">
        <v>47</v>
      </c>
      <c r="AD459">
        <v>5</v>
      </c>
      <c r="AE459" s="2">
        <v>6744.3</v>
      </c>
      <c r="AF459">
        <v>0.89570000000000005</v>
      </c>
      <c r="AG459" t="s">
        <v>49</v>
      </c>
      <c r="AH459" s="23">
        <f>SUM(Amazon_Data_Set[[#This Row],[Gross Sales]]-Amazon_Data_Set[[#This Row],[Discount Amount]])</f>
        <v>6041.1</v>
      </c>
    </row>
    <row r="460" spans="1:34">
      <c r="A460" t="s">
        <v>1348</v>
      </c>
      <c r="B460" s="1">
        <v>46121</v>
      </c>
      <c r="C460" t="str">
        <f>TEXT(Amazon_Data_Set[[#This Row],[Order Date]],"mmm")</f>
        <v>Apr</v>
      </c>
      <c r="D460" t="s">
        <v>133</v>
      </c>
      <c r="E460" t="s">
        <v>174</v>
      </c>
      <c r="F460" t="s">
        <v>175</v>
      </c>
      <c r="G460" t="s">
        <v>82</v>
      </c>
      <c r="H460" t="s">
        <v>38</v>
      </c>
      <c r="I460" t="s">
        <v>66</v>
      </c>
      <c r="J460" t="s">
        <v>318</v>
      </c>
      <c r="K460" t="s">
        <v>282</v>
      </c>
      <c r="L460" t="s">
        <v>1349</v>
      </c>
      <c r="M460" t="s">
        <v>43</v>
      </c>
      <c r="N460" t="s">
        <v>60</v>
      </c>
      <c r="O460" t="s">
        <v>96</v>
      </c>
      <c r="P460">
        <v>4</v>
      </c>
      <c r="Q460">
        <v>2542.7399999999998</v>
      </c>
      <c r="R460" s="19">
        <v>0.15</v>
      </c>
      <c r="S460" s="21">
        <v>1525.64</v>
      </c>
      <c r="T460">
        <v>10170.959999999999</v>
      </c>
      <c r="U460" s="2">
        <v>8645.32</v>
      </c>
      <c r="V460">
        <v>151.74</v>
      </c>
      <c r="W460">
        <v>4996.8100000000004</v>
      </c>
      <c r="X460" s="2">
        <v>3496.77</v>
      </c>
      <c r="Y460">
        <v>0.40450000000000003</v>
      </c>
      <c r="Z460">
        <v>0</v>
      </c>
      <c r="AA460" t="s">
        <v>97</v>
      </c>
      <c r="AB460" t="s">
        <v>47</v>
      </c>
      <c r="AE460" s="2">
        <v>9067.9699999999993</v>
      </c>
      <c r="AF460">
        <v>0.95340000000000003</v>
      </c>
      <c r="AG460" t="s">
        <v>49</v>
      </c>
      <c r="AH460" s="23">
        <f>SUM(Amazon_Data_Set[[#This Row],[Gross Sales]]-Amazon_Data_Set[[#This Row],[Discount Amount]])</f>
        <v>8645.32</v>
      </c>
    </row>
    <row r="461" spans="1:34">
      <c r="A461" t="s">
        <v>1350</v>
      </c>
      <c r="B461" s="1">
        <v>46027</v>
      </c>
      <c r="C461" t="str">
        <f>TEXT(Amazon_Data_Set[[#This Row],[Order Date]],"mmm")</f>
        <v>Jan</v>
      </c>
      <c r="D461" t="s">
        <v>868</v>
      </c>
      <c r="E461" t="s">
        <v>174</v>
      </c>
      <c r="F461" t="s">
        <v>175</v>
      </c>
      <c r="G461" t="s">
        <v>82</v>
      </c>
      <c r="H461" t="s">
        <v>90</v>
      </c>
      <c r="I461" t="s">
        <v>112</v>
      </c>
      <c r="J461" t="s">
        <v>292</v>
      </c>
      <c r="K461" t="s">
        <v>293</v>
      </c>
      <c r="L461" t="s">
        <v>1351</v>
      </c>
      <c r="M461" t="s">
        <v>106</v>
      </c>
      <c r="N461" t="s">
        <v>44</v>
      </c>
      <c r="O461" t="s">
        <v>45</v>
      </c>
      <c r="P461">
        <v>5</v>
      </c>
      <c r="Q461">
        <v>1336.4</v>
      </c>
      <c r="R461" s="19">
        <v>0</v>
      </c>
      <c r="S461" s="21">
        <v>0</v>
      </c>
      <c r="T461">
        <v>6682</v>
      </c>
      <c r="U461" s="2">
        <v>6682</v>
      </c>
      <c r="V461">
        <v>158.63999999999999</v>
      </c>
      <c r="W461">
        <v>5124.6499999999996</v>
      </c>
      <c r="X461" s="2">
        <v>1398.71</v>
      </c>
      <c r="Y461">
        <v>0.20930000000000001</v>
      </c>
      <c r="Z461">
        <v>3</v>
      </c>
      <c r="AA461" t="s">
        <v>46</v>
      </c>
      <c r="AB461" t="s">
        <v>47</v>
      </c>
      <c r="AD461">
        <v>4</v>
      </c>
      <c r="AE461" s="2">
        <v>7629.44</v>
      </c>
      <c r="AF461">
        <v>0.87580000000000002</v>
      </c>
      <c r="AG461" t="s">
        <v>49</v>
      </c>
      <c r="AH461" s="23">
        <f>SUM(Amazon_Data_Set[[#This Row],[Gross Sales]]-Amazon_Data_Set[[#This Row],[Discount Amount]])</f>
        <v>6682</v>
      </c>
    </row>
    <row r="462" spans="1:34">
      <c r="A462" t="s">
        <v>1352</v>
      </c>
      <c r="B462" s="1">
        <v>46142</v>
      </c>
      <c r="C462" t="str">
        <f>TEXT(Amazon_Data_Set[[#This Row],[Order Date]],"mmm")</f>
        <v>Apr</v>
      </c>
      <c r="D462" t="s">
        <v>1353</v>
      </c>
      <c r="E462" t="s">
        <v>140</v>
      </c>
      <c r="F462" t="s">
        <v>141</v>
      </c>
      <c r="G462" t="s">
        <v>54</v>
      </c>
      <c r="H462" t="s">
        <v>55</v>
      </c>
      <c r="I462" t="s">
        <v>56</v>
      </c>
      <c r="J462" t="s">
        <v>57</v>
      </c>
      <c r="K462" t="s">
        <v>58</v>
      </c>
      <c r="L462" t="s">
        <v>1354</v>
      </c>
      <c r="M462" t="s">
        <v>43</v>
      </c>
      <c r="N462" t="s">
        <v>95</v>
      </c>
      <c r="O462" t="s">
        <v>45</v>
      </c>
      <c r="P462">
        <v>2</v>
      </c>
      <c r="Q462">
        <v>26745.93</v>
      </c>
      <c r="R462" s="19">
        <v>0</v>
      </c>
      <c r="S462" s="21">
        <v>0</v>
      </c>
      <c r="T462">
        <v>53491.86</v>
      </c>
      <c r="U462" s="2">
        <v>53491.86</v>
      </c>
      <c r="V462">
        <v>4.4800000000000004</v>
      </c>
      <c r="W462">
        <v>31197.82</v>
      </c>
      <c r="X462" s="2">
        <v>22289.56</v>
      </c>
      <c r="Y462">
        <v>0.41670000000000001</v>
      </c>
      <c r="Z462">
        <v>6</v>
      </c>
      <c r="AA462" t="s">
        <v>61</v>
      </c>
      <c r="AB462" t="s">
        <v>47</v>
      </c>
      <c r="AD462">
        <v>5</v>
      </c>
      <c r="AE462" s="2">
        <v>57540.75</v>
      </c>
      <c r="AF462">
        <v>0.92959999999999998</v>
      </c>
      <c r="AG462" t="s">
        <v>49</v>
      </c>
      <c r="AH462" s="23">
        <f>SUM(Amazon_Data_Set[[#This Row],[Gross Sales]]-Amazon_Data_Set[[#This Row],[Discount Amount]])</f>
        <v>53491.86</v>
      </c>
    </row>
    <row r="463" spans="1:34">
      <c r="A463" t="s">
        <v>1355</v>
      </c>
      <c r="B463" s="1">
        <v>46197</v>
      </c>
      <c r="C463" t="str">
        <f>TEXT(Amazon_Data_Set[[#This Row],[Order Date]],"mmm")</f>
        <v>Jun</v>
      </c>
      <c r="D463" t="s">
        <v>1356</v>
      </c>
      <c r="E463" t="s">
        <v>140</v>
      </c>
      <c r="F463" t="s">
        <v>141</v>
      </c>
      <c r="G463" t="s">
        <v>54</v>
      </c>
      <c r="H463" t="s">
        <v>83</v>
      </c>
      <c r="I463" t="s">
        <v>84</v>
      </c>
      <c r="J463" t="s">
        <v>277</v>
      </c>
      <c r="K463" t="s">
        <v>86</v>
      </c>
      <c r="L463" t="s">
        <v>1357</v>
      </c>
      <c r="M463" t="s">
        <v>106</v>
      </c>
      <c r="N463" t="s">
        <v>95</v>
      </c>
      <c r="O463" t="s">
        <v>45</v>
      </c>
      <c r="P463">
        <v>4</v>
      </c>
      <c r="Q463">
        <v>1404.93</v>
      </c>
      <c r="R463" s="19">
        <v>0.3</v>
      </c>
      <c r="S463" s="21">
        <v>1685.92</v>
      </c>
      <c r="T463">
        <v>5619.72</v>
      </c>
      <c r="U463" s="2">
        <v>3933.8</v>
      </c>
      <c r="V463">
        <v>166.96</v>
      </c>
      <c r="W463">
        <v>2809.18</v>
      </c>
      <c r="X463" s="2">
        <v>957.66</v>
      </c>
      <c r="Y463">
        <v>0.24340000000000001</v>
      </c>
      <c r="Z463">
        <v>7</v>
      </c>
      <c r="AA463" t="s">
        <v>61</v>
      </c>
      <c r="AB463" t="s">
        <v>47</v>
      </c>
      <c r="AD463">
        <v>4</v>
      </c>
      <c r="AE463" s="2">
        <v>3679.05</v>
      </c>
      <c r="AF463">
        <v>1.0691999999999999</v>
      </c>
      <c r="AG463" t="s">
        <v>49</v>
      </c>
      <c r="AH463" s="23">
        <f>SUM(Amazon_Data_Set[[#This Row],[Gross Sales]]-Amazon_Data_Set[[#This Row],[Discount Amount]])</f>
        <v>3933.8</v>
      </c>
    </row>
    <row r="464" spans="1:34">
      <c r="A464" t="s">
        <v>1358</v>
      </c>
      <c r="B464" s="1">
        <v>46086</v>
      </c>
      <c r="C464" t="str">
        <f>TEXT(Amazon_Data_Set[[#This Row],[Order Date]],"mmm")</f>
        <v>Mar</v>
      </c>
      <c r="D464" t="s">
        <v>729</v>
      </c>
      <c r="E464" t="s">
        <v>167</v>
      </c>
      <c r="F464" t="s">
        <v>168</v>
      </c>
      <c r="G464" t="s">
        <v>111</v>
      </c>
      <c r="H464" t="s">
        <v>38</v>
      </c>
      <c r="I464" t="s">
        <v>161</v>
      </c>
      <c r="J464" t="s">
        <v>162</v>
      </c>
      <c r="K464" t="s">
        <v>163</v>
      </c>
      <c r="L464" t="s">
        <v>1359</v>
      </c>
      <c r="M464" t="s">
        <v>106</v>
      </c>
      <c r="N464" t="s">
        <v>124</v>
      </c>
      <c r="O464" t="s">
        <v>96</v>
      </c>
      <c r="P464">
        <v>5</v>
      </c>
      <c r="Q464">
        <v>1790.39</v>
      </c>
      <c r="R464" s="19">
        <v>0</v>
      </c>
      <c r="S464" s="21">
        <v>0</v>
      </c>
      <c r="T464">
        <v>8951.9500000000007</v>
      </c>
      <c r="U464" s="2">
        <v>8951.9500000000007</v>
      </c>
      <c r="V464">
        <v>193.02</v>
      </c>
      <c r="W464">
        <v>6858.36</v>
      </c>
      <c r="X464" s="2">
        <v>1900.57</v>
      </c>
      <c r="Y464">
        <v>0.21229999999999999</v>
      </c>
      <c r="Z464">
        <v>0</v>
      </c>
      <c r="AA464" t="s">
        <v>97</v>
      </c>
      <c r="AB464" t="s">
        <v>47</v>
      </c>
      <c r="AE464" s="2">
        <v>7904.01</v>
      </c>
      <c r="AF464">
        <v>1.1326000000000001</v>
      </c>
      <c r="AG464" t="s">
        <v>49</v>
      </c>
      <c r="AH464" s="23">
        <f>SUM(Amazon_Data_Set[[#This Row],[Gross Sales]]-Amazon_Data_Set[[#This Row],[Discount Amount]])</f>
        <v>8951.9500000000007</v>
      </c>
    </row>
    <row r="465" spans="1:34">
      <c r="A465" t="s">
        <v>1360</v>
      </c>
      <c r="B465" s="1">
        <v>46195</v>
      </c>
      <c r="C465" t="str">
        <f>TEXT(Amazon_Data_Set[[#This Row],[Order Date]],"mmm")</f>
        <v>Jun</v>
      </c>
      <c r="D465" t="s">
        <v>1361</v>
      </c>
      <c r="E465" t="s">
        <v>100</v>
      </c>
      <c r="F465" t="s">
        <v>179</v>
      </c>
      <c r="G465" t="s">
        <v>54</v>
      </c>
      <c r="H465" t="s">
        <v>38</v>
      </c>
      <c r="I465" t="s">
        <v>161</v>
      </c>
      <c r="J465" t="s">
        <v>223</v>
      </c>
      <c r="K465" t="s">
        <v>224</v>
      </c>
      <c r="L465" t="s">
        <v>1362</v>
      </c>
      <c r="M465" t="s">
        <v>106</v>
      </c>
      <c r="N465" t="s">
        <v>60</v>
      </c>
      <c r="O465" t="s">
        <v>45</v>
      </c>
      <c r="P465">
        <v>5</v>
      </c>
      <c r="Q465">
        <v>2358.54</v>
      </c>
      <c r="R465" s="19">
        <v>0.15</v>
      </c>
      <c r="S465" s="21">
        <v>1768.9</v>
      </c>
      <c r="T465">
        <v>11792.7</v>
      </c>
      <c r="U465" s="2">
        <v>10023.799999999999</v>
      </c>
      <c r="V465">
        <v>77.12</v>
      </c>
      <c r="W465">
        <v>7577.72</v>
      </c>
      <c r="X465" s="2">
        <v>2368.96</v>
      </c>
      <c r="Y465">
        <v>0.23630000000000001</v>
      </c>
      <c r="Z465">
        <v>6</v>
      </c>
      <c r="AA465" t="s">
        <v>61</v>
      </c>
      <c r="AB465" t="s">
        <v>47</v>
      </c>
      <c r="AD465">
        <v>4</v>
      </c>
      <c r="AE465" s="2">
        <v>11138.47</v>
      </c>
      <c r="AF465">
        <v>0.89990000000000003</v>
      </c>
      <c r="AG465" t="s">
        <v>49</v>
      </c>
      <c r="AH465" s="23">
        <f>SUM(Amazon_Data_Set[[#This Row],[Gross Sales]]-Amazon_Data_Set[[#This Row],[Discount Amount]])</f>
        <v>10023.800000000001</v>
      </c>
    </row>
    <row r="466" spans="1:34">
      <c r="A466" t="s">
        <v>1363</v>
      </c>
      <c r="B466" s="1">
        <v>46326</v>
      </c>
      <c r="C466" t="str">
        <f>TEXT(Amazon_Data_Set[[#This Row],[Order Date]],"mmm")</f>
        <v>Oct</v>
      </c>
      <c r="D466" t="s">
        <v>566</v>
      </c>
      <c r="E466" t="s">
        <v>100</v>
      </c>
      <c r="F466" t="s">
        <v>101</v>
      </c>
      <c r="G466" t="s">
        <v>54</v>
      </c>
      <c r="H466" t="s">
        <v>90</v>
      </c>
      <c r="I466" t="s">
        <v>112</v>
      </c>
      <c r="J466" t="s">
        <v>113</v>
      </c>
      <c r="K466" t="s">
        <v>114</v>
      </c>
      <c r="L466" t="s">
        <v>1364</v>
      </c>
      <c r="M466" t="s">
        <v>106</v>
      </c>
      <c r="N466" t="s">
        <v>70</v>
      </c>
      <c r="O466" t="s">
        <v>130</v>
      </c>
      <c r="P466">
        <v>4</v>
      </c>
      <c r="Q466">
        <v>176.12</v>
      </c>
      <c r="R466" s="19">
        <v>0.25</v>
      </c>
      <c r="S466" s="21">
        <v>176.12</v>
      </c>
      <c r="T466">
        <v>704.48</v>
      </c>
      <c r="U466" s="2">
        <v>528.36</v>
      </c>
      <c r="V466">
        <v>90.79</v>
      </c>
      <c r="W466">
        <v>390.17</v>
      </c>
      <c r="X466" s="2">
        <v>47.4</v>
      </c>
      <c r="Y466">
        <v>8.9700000000000002E-2</v>
      </c>
      <c r="Z466">
        <v>7</v>
      </c>
      <c r="AA466" t="s">
        <v>131</v>
      </c>
      <c r="AB466" t="s">
        <v>47</v>
      </c>
      <c r="AE466" s="2">
        <v>602.77</v>
      </c>
      <c r="AF466">
        <v>0.87660000000000005</v>
      </c>
      <c r="AG466" t="s">
        <v>49</v>
      </c>
      <c r="AH466" s="23">
        <f>SUM(Amazon_Data_Set[[#This Row],[Gross Sales]]-Amazon_Data_Set[[#This Row],[Discount Amount]])</f>
        <v>528.36</v>
      </c>
    </row>
    <row r="467" spans="1:34">
      <c r="A467" t="s">
        <v>1365</v>
      </c>
      <c r="B467" s="1">
        <v>46365</v>
      </c>
      <c r="C467" t="str">
        <f>TEXT(Amazon_Data_Set[[#This Row],[Order Date]],"mmm")</f>
        <v>Dec</v>
      </c>
      <c r="D467" t="s">
        <v>153</v>
      </c>
      <c r="E467" t="s">
        <v>275</v>
      </c>
      <c r="F467" t="s">
        <v>276</v>
      </c>
      <c r="G467" t="s">
        <v>37</v>
      </c>
      <c r="H467" t="s">
        <v>38</v>
      </c>
      <c r="I467" t="s">
        <v>66</v>
      </c>
      <c r="J467" t="s">
        <v>67</v>
      </c>
      <c r="K467" t="s">
        <v>68</v>
      </c>
      <c r="L467" t="s">
        <v>1366</v>
      </c>
      <c r="M467" t="s">
        <v>106</v>
      </c>
      <c r="N467" t="s">
        <v>95</v>
      </c>
      <c r="O467" t="s">
        <v>45</v>
      </c>
      <c r="P467">
        <v>4</v>
      </c>
      <c r="Q467">
        <v>3484.35</v>
      </c>
      <c r="R467" s="19">
        <v>0</v>
      </c>
      <c r="S467" s="21">
        <v>0</v>
      </c>
      <c r="T467">
        <v>13937.4</v>
      </c>
      <c r="U467" s="2">
        <v>13937.4</v>
      </c>
      <c r="V467">
        <v>99.04</v>
      </c>
      <c r="W467">
        <v>9632.1</v>
      </c>
      <c r="X467" s="2">
        <v>4206.26</v>
      </c>
      <c r="Y467">
        <v>0.30180000000000001</v>
      </c>
      <c r="Z467">
        <v>8</v>
      </c>
      <c r="AA467" t="s">
        <v>61</v>
      </c>
      <c r="AB467" t="s">
        <v>47</v>
      </c>
      <c r="AD467">
        <v>4</v>
      </c>
      <c r="AE467" s="2">
        <v>15628.67</v>
      </c>
      <c r="AF467">
        <v>0.89180000000000004</v>
      </c>
      <c r="AG467" t="s">
        <v>49</v>
      </c>
      <c r="AH467" s="23">
        <f>SUM(Amazon_Data_Set[[#This Row],[Gross Sales]]-Amazon_Data_Set[[#This Row],[Discount Amount]])</f>
        <v>13937.4</v>
      </c>
    </row>
    <row r="468" spans="1:34">
      <c r="A468" t="s">
        <v>1367</v>
      </c>
      <c r="B468" s="1">
        <v>46284</v>
      </c>
      <c r="C468" t="str">
        <f>TEXT(Amazon_Data_Set[[#This Row],[Order Date]],"mmm")</f>
        <v>Sep</v>
      </c>
      <c r="D468" t="s">
        <v>824</v>
      </c>
      <c r="E468" t="s">
        <v>109</v>
      </c>
      <c r="F468" t="s">
        <v>154</v>
      </c>
      <c r="G468" t="s">
        <v>111</v>
      </c>
      <c r="H468" t="s">
        <v>38</v>
      </c>
      <c r="I468" t="s">
        <v>66</v>
      </c>
      <c r="J468" t="s">
        <v>337</v>
      </c>
      <c r="K468" t="s">
        <v>224</v>
      </c>
      <c r="L468" t="s">
        <v>1368</v>
      </c>
      <c r="M468" t="s">
        <v>43</v>
      </c>
      <c r="N468" t="s">
        <v>60</v>
      </c>
      <c r="O468" t="s">
        <v>130</v>
      </c>
      <c r="P468">
        <v>4</v>
      </c>
      <c r="Q468">
        <v>1643.4</v>
      </c>
      <c r="R468" s="19">
        <v>0.25</v>
      </c>
      <c r="S468" s="21">
        <v>1643.4</v>
      </c>
      <c r="T468">
        <v>6573.6</v>
      </c>
      <c r="U468" s="2">
        <v>4930.2</v>
      </c>
      <c r="V468">
        <v>95.05</v>
      </c>
      <c r="W468">
        <v>3805.3</v>
      </c>
      <c r="X468" s="2">
        <v>1029.8499999999999</v>
      </c>
      <c r="Y468">
        <v>0.2089</v>
      </c>
      <c r="Z468">
        <v>1</v>
      </c>
      <c r="AA468" t="s">
        <v>131</v>
      </c>
      <c r="AB468" t="s">
        <v>47</v>
      </c>
      <c r="AE468" s="2">
        <v>6144.35</v>
      </c>
      <c r="AF468">
        <v>0.8024</v>
      </c>
      <c r="AG468" t="s">
        <v>347</v>
      </c>
      <c r="AH468" s="23">
        <f>SUM(Amazon_Data_Set[[#This Row],[Gross Sales]]-Amazon_Data_Set[[#This Row],[Discount Amount]])</f>
        <v>4930.2000000000007</v>
      </c>
    </row>
    <row r="469" spans="1:34">
      <c r="A469" t="s">
        <v>1369</v>
      </c>
      <c r="B469" s="1">
        <v>46241</v>
      </c>
      <c r="C469" t="str">
        <f>TEXT(Amazon_Data_Set[[#This Row],[Order Date]],"mmm")</f>
        <v>Aug</v>
      </c>
      <c r="D469" t="s">
        <v>317</v>
      </c>
      <c r="E469" t="s">
        <v>52</v>
      </c>
      <c r="F469" t="s">
        <v>53</v>
      </c>
      <c r="G469" t="s">
        <v>54</v>
      </c>
      <c r="H469" t="s">
        <v>83</v>
      </c>
      <c r="I469" t="s">
        <v>188</v>
      </c>
      <c r="J469" t="s">
        <v>475</v>
      </c>
      <c r="K469" t="s">
        <v>476</v>
      </c>
      <c r="L469" t="s">
        <v>1370</v>
      </c>
      <c r="M469" t="s">
        <v>106</v>
      </c>
      <c r="N469" t="s">
        <v>70</v>
      </c>
      <c r="O469" t="s">
        <v>45</v>
      </c>
      <c r="P469">
        <v>3</v>
      </c>
      <c r="Q469">
        <v>287.8</v>
      </c>
      <c r="R469" s="19">
        <v>0.05</v>
      </c>
      <c r="S469" s="21">
        <v>43.17</v>
      </c>
      <c r="T469">
        <v>863.4</v>
      </c>
      <c r="U469" s="2">
        <v>820.23</v>
      </c>
      <c r="V469">
        <v>246.97</v>
      </c>
      <c r="W469">
        <v>502.73</v>
      </c>
      <c r="X469" s="2">
        <v>70.53</v>
      </c>
      <c r="Y469">
        <v>8.5999999999999993E-2</v>
      </c>
      <c r="Z469">
        <v>4</v>
      </c>
      <c r="AA469" t="s">
        <v>46</v>
      </c>
      <c r="AB469" t="s">
        <v>47</v>
      </c>
      <c r="AD469">
        <v>3</v>
      </c>
      <c r="AE469" s="2">
        <v>965.78</v>
      </c>
      <c r="AF469">
        <v>0.84930000000000005</v>
      </c>
      <c r="AG469" t="s">
        <v>49</v>
      </c>
      <c r="AH469" s="23">
        <f>SUM(Amazon_Data_Set[[#This Row],[Gross Sales]]-Amazon_Data_Set[[#This Row],[Discount Amount]])</f>
        <v>820.23</v>
      </c>
    </row>
    <row r="470" spans="1:34">
      <c r="A470" t="s">
        <v>1371</v>
      </c>
      <c r="B470" s="1">
        <v>46149</v>
      </c>
      <c r="C470" t="str">
        <f>TEXT(Amazon_Data_Set[[#This Row],[Order Date]],"mmm")</f>
        <v>May</v>
      </c>
      <c r="D470" t="s">
        <v>1074</v>
      </c>
      <c r="E470" t="s">
        <v>100</v>
      </c>
      <c r="F470" t="s">
        <v>179</v>
      </c>
      <c r="G470" t="s">
        <v>54</v>
      </c>
      <c r="H470" t="s">
        <v>142</v>
      </c>
      <c r="I470" t="s">
        <v>209</v>
      </c>
      <c r="J470" t="s">
        <v>243</v>
      </c>
      <c r="K470" t="s">
        <v>145</v>
      </c>
      <c r="L470" t="s">
        <v>1372</v>
      </c>
      <c r="M470" t="s">
        <v>106</v>
      </c>
      <c r="N470" t="s">
        <v>60</v>
      </c>
      <c r="O470" t="s">
        <v>45</v>
      </c>
      <c r="P470">
        <v>3</v>
      </c>
      <c r="Q470">
        <v>8359.2900000000009</v>
      </c>
      <c r="R470" s="19">
        <v>0</v>
      </c>
      <c r="S470" s="21">
        <v>0</v>
      </c>
      <c r="T470">
        <v>25077.87</v>
      </c>
      <c r="U470" s="2">
        <v>25077.87</v>
      </c>
      <c r="V470">
        <v>97.63</v>
      </c>
      <c r="W470">
        <v>19463.849999999999</v>
      </c>
      <c r="X470" s="2">
        <v>5516.39</v>
      </c>
      <c r="Y470">
        <v>0.22</v>
      </c>
      <c r="Z470">
        <v>1</v>
      </c>
      <c r="AA470" t="s">
        <v>46</v>
      </c>
      <c r="AB470" t="s">
        <v>47</v>
      </c>
      <c r="AD470">
        <v>4</v>
      </c>
      <c r="AE470" s="2">
        <v>30656.35</v>
      </c>
      <c r="AF470">
        <v>0.81799999999999995</v>
      </c>
      <c r="AG470" t="s">
        <v>49</v>
      </c>
      <c r="AH470" s="23">
        <f>SUM(Amazon_Data_Set[[#This Row],[Gross Sales]]-Amazon_Data_Set[[#This Row],[Discount Amount]])</f>
        <v>25077.87</v>
      </c>
    </row>
    <row r="471" spans="1:34">
      <c r="A471" t="s">
        <v>1373</v>
      </c>
      <c r="B471" s="1">
        <v>46262</v>
      </c>
      <c r="C471" t="str">
        <f>TEXT(Amazon_Data_Set[[#This Row],[Order Date]],"mmm")</f>
        <v>Aug</v>
      </c>
      <c r="D471" t="s">
        <v>1356</v>
      </c>
      <c r="E471" t="s">
        <v>80</v>
      </c>
      <c r="F471" t="s">
        <v>81</v>
      </c>
      <c r="G471" t="s">
        <v>82</v>
      </c>
      <c r="H471" t="s">
        <v>142</v>
      </c>
      <c r="I471" t="s">
        <v>209</v>
      </c>
      <c r="J471" t="s">
        <v>210</v>
      </c>
      <c r="K471" t="s">
        <v>201</v>
      </c>
      <c r="L471" t="s">
        <v>1374</v>
      </c>
      <c r="M471" t="s">
        <v>43</v>
      </c>
      <c r="N471" t="s">
        <v>95</v>
      </c>
      <c r="O471" t="s">
        <v>130</v>
      </c>
      <c r="P471">
        <v>5</v>
      </c>
      <c r="Q471">
        <v>276.82</v>
      </c>
      <c r="R471" s="19">
        <v>0.1</v>
      </c>
      <c r="S471" s="21">
        <v>138.41</v>
      </c>
      <c r="T471">
        <v>1384.1</v>
      </c>
      <c r="U471" s="2">
        <v>1245.69</v>
      </c>
      <c r="V471">
        <v>187.51</v>
      </c>
      <c r="W471">
        <v>798.29</v>
      </c>
      <c r="X471" s="2">
        <v>259.89</v>
      </c>
      <c r="Y471">
        <v>0.20860000000000001</v>
      </c>
      <c r="Z471">
        <v>1</v>
      </c>
      <c r="AA471" t="s">
        <v>131</v>
      </c>
      <c r="AB471" t="s">
        <v>47</v>
      </c>
      <c r="AE471" s="2">
        <v>1504.27</v>
      </c>
      <c r="AF471">
        <v>0.82809999999999995</v>
      </c>
      <c r="AG471" t="s">
        <v>49</v>
      </c>
      <c r="AH471" s="23">
        <f>SUM(Amazon_Data_Set[[#This Row],[Gross Sales]]-Amazon_Data_Set[[#This Row],[Discount Amount]])</f>
        <v>1245.6899999999998</v>
      </c>
    </row>
    <row r="472" spans="1:34">
      <c r="A472" t="s">
        <v>1375</v>
      </c>
      <c r="B472" s="1">
        <v>46061</v>
      </c>
      <c r="C472" t="str">
        <f>TEXT(Amazon_Data_Set[[#This Row],[Order Date]],"mmm")</f>
        <v>Feb</v>
      </c>
      <c r="D472" t="s">
        <v>1015</v>
      </c>
      <c r="E472" t="s">
        <v>35</v>
      </c>
      <c r="F472" t="s">
        <v>36</v>
      </c>
      <c r="G472" t="s">
        <v>37</v>
      </c>
      <c r="H472" t="s">
        <v>90</v>
      </c>
      <c r="I472" t="s">
        <v>252</v>
      </c>
      <c r="J472" t="s">
        <v>528</v>
      </c>
      <c r="K472" t="s">
        <v>529</v>
      </c>
      <c r="L472" t="s">
        <v>1376</v>
      </c>
      <c r="M472" t="s">
        <v>43</v>
      </c>
      <c r="N472" t="s">
        <v>77</v>
      </c>
      <c r="O472" t="s">
        <v>130</v>
      </c>
      <c r="P472">
        <v>4</v>
      </c>
      <c r="Q472">
        <v>240.95</v>
      </c>
      <c r="R472" s="19">
        <v>0</v>
      </c>
      <c r="S472" s="21">
        <v>0</v>
      </c>
      <c r="T472">
        <v>963.8</v>
      </c>
      <c r="U472" s="2">
        <v>963.8</v>
      </c>
      <c r="V472">
        <v>202.24</v>
      </c>
      <c r="W472">
        <v>541.94000000000005</v>
      </c>
      <c r="X472" s="2">
        <v>219.62</v>
      </c>
      <c r="Y472">
        <v>0.22789999999999999</v>
      </c>
      <c r="Z472">
        <v>7</v>
      </c>
      <c r="AA472" t="s">
        <v>131</v>
      </c>
      <c r="AB472" t="s">
        <v>47</v>
      </c>
      <c r="AE472" s="2">
        <v>875.82</v>
      </c>
      <c r="AF472">
        <v>1.1005</v>
      </c>
      <c r="AG472" t="s">
        <v>49</v>
      </c>
      <c r="AH472" s="23">
        <f>SUM(Amazon_Data_Set[[#This Row],[Gross Sales]]-Amazon_Data_Set[[#This Row],[Discount Amount]])</f>
        <v>963.8</v>
      </c>
    </row>
    <row r="473" spans="1:34">
      <c r="A473" t="s">
        <v>1377</v>
      </c>
      <c r="B473" s="1">
        <v>46214</v>
      </c>
      <c r="C473" t="str">
        <f>TEXT(Amazon_Data_Set[[#This Row],[Order Date]],"mmm")</f>
        <v>Jul</v>
      </c>
      <c r="D473" t="s">
        <v>471</v>
      </c>
      <c r="E473" t="s">
        <v>109</v>
      </c>
      <c r="F473" t="s">
        <v>154</v>
      </c>
      <c r="G473" t="s">
        <v>111</v>
      </c>
      <c r="H473" t="s">
        <v>55</v>
      </c>
      <c r="I473" t="s">
        <v>120</v>
      </c>
      <c r="J473" t="s">
        <v>121</v>
      </c>
      <c r="K473" t="s">
        <v>122</v>
      </c>
      <c r="L473" t="s">
        <v>1378</v>
      </c>
      <c r="M473" t="s">
        <v>43</v>
      </c>
      <c r="N473" t="s">
        <v>77</v>
      </c>
      <c r="O473" t="s">
        <v>45</v>
      </c>
      <c r="P473">
        <v>4</v>
      </c>
      <c r="Q473">
        <v>29776.82</v>
      </c>
      <c r="R473" s="19">
        <v>0.3</v>
      </c>
      <c r="S473" s="21">
        <v>35732.18</v>
      </c>
      <c r="T473">
        <v>119107.28</v>
      </c>
      <c r="U473" s="2">
        <v>83375.100000000006</v>
      </c>
      <c r="V473">
        <v>119.22</v>
      </c>
      <c r="W473">
        <v>46372.77</v>
      </c>
      <c r="X473" s="2">
        <v>36883.11</v>
      </c>
      <c r="Y473">
        <v>0.44240000000000002</v>
      </c>
      <c r="Z473">
        <v>3</v>
      </c>
      <c r="AA473" t="s">
        <v>46</v>
      </c>
      <c r="AB473" t="s">
        <v>47</v>
      </c>
      <c r="AD473">
        <v>4</v>
      </c>
      <c r="AE473" s="2">
        <v>75572.31</v>
      </c>
      <c r="AF473">
        <v>1.1032</v>
      </c>
      <c r="AG473" t="s">
        <v>49</v>
      </c>
      <c r="AH473" s="23">
        <f>SUM(Amazon_Data_Set[[#This Row],[Gross Sales]]-Amazon_Data_Set[[#This Row],[Discount Amount]])</f>
        <v>83375.100000000006</v>
      </c>
    </row>
    <row r="474" spans="1:34">
      <c r="A474" t="s">
        <v>1379</v>
      </c>
      <c r="B474" s="1">
        <v>46173</v>
      </c>
      <c r="C474" t="str">
        <f>TEXT(Amazon_Data_Set[[#This Row],[Order Date]],"mmm")</f>
        <v>May</v>
      </c>
      <c r="D474" t="s">
        <v>208</v>
      </c>
      <c r="E474" t="s">
        <v>109</v>
      </c>
      <c r="F474" t="s">
        <v>154</v>
      </c>
      <c r="G474" t="s">
        <v>111</v>
      </c>
      <c r="H474" t="s">
        <v>38</v>
      </c>
      <c r="I474" t="s">
        <v>161</v>
      </c>
      <c r="J474" t="s">
        <v>223</v>
      </c>
      <c r="K474" t="s">
        <v>224</v>
      </c>
      <c r="L474" t="s">
        <v>1380</v>
      </c>
      <c r="M474" t="s">
        <v>43</v>
      </c>
      <c r="N474" t="s">
        <v>95</v>
      </c>
      <c r="O474" t="s">
        <v>45</v>
      </c>
      <c r="P474">
        <v>5</v>
      </c>
      <c r="Q474">
        <v>3029.87</v>
      </c>
      <c r="R474" s="19">
        <v>0.3</v>
      </c>
      <c r="S474" s="21">
        <v>4544.8100000000004</v>
      </c>
      <c r="T474">
        <v>15149.35</v>
      </c>
      <c r="U474" s="2">
        <v>10604.54</v>
      </c>
      <c r="V474">
        <v>3.62</v>
      </c>
      <c r="W474">
        <v>6709.55</v>
      </c>
      <c r="X474" s="2">
        <v>3891.37</v>
      </c>
      <c r="Y474">
        <v>0.36699999999999999</v>
      </c>
      <c r="Z474">
        <v>8</v>
      </c>
      <c r="AA474" t="s">
        <v>61</v>
      </c>
      <c r="AB474" t="s">
        <v>47</v>
      </c>
      <c r="AD474">
        <v>5</v>
      </c>
      <c r="AE474" s="2">
        <v>11528.38</v>
      </c>
      <c r="AF474">
        <v>0.91990000000000005</v>
      </c>
      <c r="AG474" t="s">
        <v>49</v>
      </c>
      <c r="AH474" s="23">
        <f>SUM(Amazon_Data_Set[[#This Row],[Gross Sales]]-Amazon_Data_Set[[#This Row],[Discount Amount]])</f>
        <v>10604.54</v>
      </c>
    </row>
    <row r="475" spans="1:34">
      <c r="A475" t="s">
        <v>1381</v>
      </c>
      <c r="B475" s="1">
        <v>46113</v>
      </c>
      <c r="C475" t="str">
        <f>TEXT(Amazon_Data_Set[[#This Row],[Order Date]],"mmm")</f>
        <v>Apr</v>
      </c>
      <c r="D475" t="s">
        <v>1382</v>
      </c>
      <c r="E475" t="s">
        <v>149</v>
      </c>
      <c r="F475" t="s">
        <v>150</v>
      </c>
      <c r="G475" t="s">
        <v>37</v>
      </c>
      <c r="H475" t="s">
        <v>90</v>
      </c>
      <c r="I475" t="s">
        <v>91</v>
      </c>
      <c r="J475" t="s">
        <v>92</v>
      </c>
      <c r="K475" t="s">
        <v>93</v>
      </c>
      <c r="L475" t="s">
        <v>1383</v>
      </c>
      <c r="M475" t="s">
        <v>43</v>
      </c>
      <c r="N475" t="s">
        <v>70</v>
      </c>
      <c r="O475" t="s">
        <v>45</v>
      </c>
      <c r="P475">
        <v>3</v>
      </c>
      <c r="Q475">
        <v>962.52</v>
      </c>
      <c r="R475" s="19">
        <v>0</v>
      </c>
      <c r="S475" s="21">
        <v>0</v>
      </c>
      <c r="T475">
        <v>2887.56</v>
      </c>
      <c r="U475" s="2">
        <v>2887.56</v>
      </c>
      <c r="V475">
        <v>228.06</v>
      </c>
      <c r="W475">
        <v>1884.16</v>
      </c>
      <c r="X475" s="2">
        <v>775.34</v>
      </c>
      <c r="Y475">
        <v>0.26850000000000002</v>
      </c>
      <c r="Z475">
        <v>5</v>
      </c>
      <c r="AA475" t="s">
        <v>61</v>
      </c>
      <c r="AB475" t="s">
        <v>47</v>
      </c>
      <c r="AD475">
        <v>5</v>
      </c>
      <c r="AE475" s="2">
        <v>2684.31</v>
      </c>
      <c r="AF475">
        <v>1.0757000000000001</v>
      </c>
      <c r="AG475" t="s">
        <v>49</v>
      </c>
      <c r="AH475" s="23">
        <f>SUM(Amazon_Data_Set[[#This Row],[Gross Sales]]-Amazon_Data_Set[[#This Row],[Discount Amount]])</f>
        <v>2887.56</v>
      </c>
    </row>
    <row r="476" spans="1:34">
      <c r="A476" t="s">
        <v>1384</v>
      </c>
      <c r="B476" s="1">
        <v>46247</v>
      </c>
      <c r="C476" t="str">
        <f>TEXT(Amazon_Data_Set[[#This Row],[Order Date]],"mmm")</f>
        <v>Aug</v>
      </c>
      <c r="D476" t="s">
        <v>1385</v>
      </c>
      <c r="E476" t="s">
        <v>52</v>
      </c>
      <c r="F476" t="s">
        <v>53</v>
      </c>
      <c r="G476" t="s">
        <v>54</v>
      </c>
      <c r="H476" t="s">
        <v>83</v>
      </c>
      <c r="I476" t="s">
        <v>188</v>
      </c>
      <c r="J476" t="s">
        <v>690</v>
      </c>
      <c r="K476" t="s">
        <v>691</v>
      </c>
      <c r="L476" t="s">
        <v>1386</v>
      </c>
      <c r="M476" t="s">
        <v>43</v>
      </c>
      <c r="N476" t="s">
        <v>95</v>
      </c>
      <c r="O476" t="s">
        <v>45</v>
      </c>
      <c r="P476">
        <v>2</v>
      </c>
      <c r="Q476">
        <v>797.92</v>
      </c>
      <c r="R476" s="19">
        <v>0</v>
      </c>
      <c r="S476" s="21">
        <v>0</v>
      </c>
      <c r="T476">
        <v>1595.84</v>
      </c>
      <c r="U476" s="2">
        <v>1595.84</v>
      </c>
      <c r="V476">
        <v>152.87</v>
      </c>
      <c r="W476">
        <v>839.9</v>
      </c>
      <c r="X476" s="2">
        <v>603.07000000000005</v>
      </c>
      <c r="Y476">
        <v>0.37790000000000001</v>
      </c>
      <c r="Z476">
        <v>3</v>
      </c>
      <c r="AA476" t="s">
        <v>46</v>
      </c>
      <c r="AB476" t="s">
        <v>47</v>
      </c>
      <c r="AD476">
        <v>5</v>
      </c>
      <c r="AE476" s="2">
        <v>1987.95</v>
      </c>
      <c r="AF476">
        <v>0.80279999999999996</v>
      </c>
      <c r="AG476" t="s">
        <v>49</v>
      </c>
      <c r="AH476" s="23">
        <f>SUM(Amazon_Data_Set[[#This Row],[Gross Sales]]-Amazon_Data_Set[[#This Row],[Discount Amount]])</f>
        <v>1595.84</v>
      </c>
    </row>
    <row r="477" spans="1:34">
      <c r="A477" t="s">
        <v>1387</v>
      </c>
      <c r="B477" s="1">
        <v>46118</v>
      </c>
      <c r="C477" t="str">
        <f>TEXT(Amazon_Data_Set[[#This Row],[Order Date]],"mmm")</f>
        <v>Apr</v>
      </c>
      <c r="D477" t="s">
        <v>1022</v>
      </c>
      <c r="E477" t="s">
        <v>194</v>
      </c>
      <c r="F477" t="s">
        <v>195</v>
      </c>
      <c r="G477" t="s">
        <v>111</v>
      </c>
      <c r="H477" t="s">
        <v>55</v>
      </c>
      <c r="I477" t="s">
        <v>120</v>
      </c>
      <c r="J477" t="s">
        <v>344</v>
      </c>
      <c r="K477" t="s">
        <v>345</v>
      </c>
      <c r="L477" t="s">
        <v>1388</v>
      </c>
      <c r="M477" t="s">
        <v>43</v>
      </c>
      <c r="N477" t="s">
        <v>95</v>
      </c>
      <c r="O477" t="s">
        <v>130</v>
      </c>
      <c r="P477">
        <v>4</v>
      </c>
      <c r="Q477">
        <v>7656.79</v>
      </c>
      <c r="R477" s="19">
        <v>0.2</v>
      </c>
      <c r="S477" s="21">
        <v>6125.43</v>
      </c>
      <c r="T477">
        <v>30627.16</v>
      </c>
      <c r="U477" s="2">
        <v>24501.73</v>
      </c>
      <c r="V477">
        <v>37.32</v>
      </c>
      <c r="W477">
        <v>14351.79</v>
      </c>
      <c r="X477" s="2">
        <v>10112.620000000001</v>
      </c>
      <c r="Y477">
        <v>0.41270000000000001</v>
      </c>
      <c r="Z477">
        <v>1</v>
      </c>
      <c r="AA477" t="s">
        <v>131</v>
      </c>
      <c r="AB477" t="s">
        <v>47</v>
      </c>
      <c r="AE477" s="2">
        <v>27642.15</v>
      </c>
      <c r="AF477">
        <v>0.88639999999999997</v>
      </c>
      <c r="AG477" t="s">
        <v>49</v>
      </c>
      <c r="AH477" s="23">
        <f>SUM(Amazon_Data_Set[[#This Row],[Gross Sales]]-Amazon_Data_Set[[#This Row],[Discount Amount]])</f>
        <v>24501.73</v>
      </c>
    </row>
    <row r="478" spans="1:34">
      <c r="A478" t="s">
        <v>1389</v>
      </c>
      <c r="B478" s="1">
        <v>46084</v>
      </c>
      <c r="C478" t="str">
        <f>TEXT(Amazon_Data_Set[[#This Row],[Order Date]],"mmm")</f>
        <v>Mar</v>
      </c>
      <c r="D478" t="s">
        <v>160</v>
      </c>
      <c r="E478" t="s">
        <v>235</v>
      </c>
      <c r="F478" t="s">
        <v>236</v>
      </c>
      <c r="G478" t="s">
        <v>82</v>
      </c>
      <c r="H478" t="s">
        <v>142</v>
      </c>
      <c r="I478" t="s">
        <v>143</v>
      </c>
      <c r="J478" t="s">
        <v>144</v>
      </c>
      <c r="K478" t="s">
        <v>145</v>
      </c>
      <c r="L478" t="s">
        <v>1390</v>
      </c>
      <c r="M478" t="s">
        <v>106</v>
      </c>
      <c r="N478" t="s">
        <v>124</v>
      </c>
      <c r="O478" t="s">
        <v>130</v>
      </c>
      <c r="P478">
        <v>2</v>
      </c>
      <c r="Q478">
        <v>8729.9599999999991</v>
      </c>
      <c r="R478" s="19">
        <v>0</v>
      </c>
      <c r="S478" s="21">
        <v>0</v>
      </c>
      <c r="T478">
        <v>17459.919999999998</v>
      </c>
      <c r="U478" s="2">
        <v>17459.919999999998</v>
      </c>
      <c r="V478">
        <v>157.33000000000001</v>
      </c>
      <c r="W478">
        <v>13528.42</v>
      </c>
      <c r="X478" s="2">
        <v>3774.17</v>
      </c>
      <c r="Y478">
        <v>0.2162</v>
      </c>
      <c r="Z478">
        <v>2</v>
      </c>
      <c r="AA478" t="s">
        <v>131</v>
      </c>
      <c r="AB478" t="s">
        <v>47</v>
      </c>
      <c r="AE478" s="2">
        <v>18625.43</v>
      </c>
      <c r="AF478">
        <v>0.93740000000000001</v>
      </c>
      <c r="AG478" t="s">
        <v>49</v>
      </c>
      <c r="AH478" s="23">
        <f>SUM(Amazon_Data_Set[[#This Row],[Gross Sales]]-Amazon_Data_Set[[#This Row],[Discount Amount]])</f>
        <v>17459.919999999998</v>
      </c>
    </row>
    <row r="479" spans="1:34">
      <c r="A479" t="s">
        <v>1391</v>
      </c>
      <c r="B479" s="1">
        <v>46059</v>
      </c>
      <c r="C479" t="str">
        <f>TEXT(Amazon_Data_Set[[#This Row],[Order Date]],"mmm")</f>
        <v>Feb</v>
      </c>
      <c r="D479" t="s">
        <v>336</v>
      </c>
      <c r="E479" t="s">
        <v>149</v>
      </c>
      <c r="F479" t="s">
        <v>150</v>
      </c>
      <c r="G479" t="s">
        <v>37</v>
      </c>
      <c r="H479" t="s">
        <v>83</v>
      </c>
      <c r="I479" t="s">
        <v>188</v>
      </c>
      <c r="J479" t="s">
        <v>189</v>
      </c>
      <c r="K479" t="s">
        <v>190</v>
      </c>
      <c r="L479" t="s">
        <v>1392</v>
      </c>
      <c r="M479" t="s">
        <v>106</v>
      </c>
      <c r="N479" t="s">
        <v>70</v>
      </c>
      <c r="O479" t="s">
        <v>45</v>
      </c>
      <c r="P479">
        <v>4</v>
      </c>
      <c r="Q479">
        <v>688.49</v>
      </c>
      <c r="R479" s="19">
        <v>0.25</v>
      </c>
      <c r="S479" s="21">
        <v>688.49</v>
      </c>
      <c r="T479">
        <v>2753.96</v>
      </c>
      <c r="U479" s="2">
        <v>2065.4699999999998</v>
      </c>
      <c r="V479">
        <v>18.78</v>
      </c>
      <c r="W479">
        <v>1139.94</v>
      </c>
      <c r="X479" s="2">
        <v>906.75</v>
      </c>
      <c r="Y479">
        <v>0.439</v>
      </c>
      <c r="Z479">
        <v>3</v>
      </c>
      <c r="AA479" t="s">
        <v>46</v>
      </c>
      <c r="AB479" t="s">
        <v>47</v>
      </c>
      <c r="AD479">
        <v>4</v>
      </c>
      <c r="AE479" s="2">
        <v>1835.47</v>
      </c>
      <c r="AF479">
        <v>1.1253</v>
      </c>
      <c r="AG479" t="s">
        <v>49</v>
      </c>
      <c r="AH479" s="23">
        <f>SUM(Amazon_Data_Set[[#This Row],[Gross Sales]]-Amazon_Data_Set[[#This Row],[Discount Amount]])</f>
        <v>2065.4700000000003</v>
      </c>
    </row>
    <row r="480" spans="1:34">
      <c r="A480" t="s">
        <v>1393</v>
      </c>
      <c r="B480" s="1">
        <v>46025</v>
      </c>
      <c r="C480" t="str">
        <f>TEXT(Amazon_Data_Set[[#This Row],[Order Date]],"mmm")</f>
        <v>Jan</v>
      </c>
      <c r="D480" t="s">
        <v>824</v>
      </c>
      <c r="E480" t="s">
        <v>100</v>
      </c>
      <c r="F480" t="s">
        <v>101</v>
      </c>
      <c r="G480" t="s">
        <v>54</v>
      </c>
      <c r="H480" t="s">
        <v>90</v>
      </c>
      <c r="I480" t="s">
        <v>112</v>
      </c>
      <c r="J480" t="s">
        <v>134</v>
      </c>
      <c r="K480" t="s">
        <v>135</v>
      </c>
      <c r="L480" t="s">
        <v>1394</v>
      </c>
      <c r="M480" t="s">
        <v>43</v>
      </c>
      <c r="N480" t="s">
        <v>60</v>
      </c>
      <c r="O480" t="s">
        <v>45</v>
      </c>
      <c r="P480">
        <v>1</v>
      </c>
      <c r="Q480">
        <v>325.29000000000002</v>
      </c>
      <c r="R480" s="19">
        <v>0.15</v>
      </c>
      <c r="S480" s="21">
        <v>48.79</v>
      </c>
      <c r="T480">
        <v>325.29000000000002</v>
      </c>
      <c r="U480" s="2">
        <v>276.5</v>
      </c>
      <c r="V480">
        <v>68.349999999999994</v>
      </c>
      <c r="W480">
        <v>141.44999999999999</v>
      </c>
      <c r="X480" s="2">
        <v>66.7</v>
      </c>
      <c r="Y480">
        <v>0.2412</v>
      </c>
      <c r="Z480">
        <v>7</v>
      </c>
      <c r="AA480" t="s">
        <v>61</v>
      </c>
      <c r="AB480" t="s">
        <v>47</v>
      </c>
      <c r="AD480">
        <v>4</v>
      </c>
      <c r="AE480" s="2">
        <v>270.08999999999997</v>
      </c>
      <c r="AF480">
        <v>1.0237000000000001</v>
      </c>
      <c r="AG480" t="s">
        <v>49</v>
      </c>
      <c r="AH480" s="23">
        <f>SUM(Amazon_Data_Set[[#This Row],[Gross Sales]]-Amazon_Data_Set[[#This Row],[Discount Amount]])</f>
        <v>276.5</v>
      </c>
    </row>
    <row r="481" spans="1:34">
      <c r="A481" t="s">
        <v>1395</v>
      </c>
      <c r="B481" s="1">
        <v>46250</v>
      </c>
      <c r="C481" t="str">
        <f>TEXT(Amazon_Data_Set[[#This Row],[Order Date]],"mmm")</f>
        <v>Aug</v>
      </c>
      <c r="D481" t="s">
        <v>148</v>
      </c>
      <c r="E481" t="s">
        <v>64</v>
      </c>
      <c r="F481" t="s">
        <v>65</v>
      </c>
      <c r="G481" t="s">
        <v>54</v>
      </c>
      <c r="H481" t="s">
        <v>90</v>
      </c>
      <c r="I481" t="s">
        <v>91</v>
      </c>
      <c r="J481" t="s">
        <v>313</v>
      </c>
      <c r="K481" t="s">
        <v>314</v>
      </c>
      <c r="L481" t="s">
        <v>1396</v>
      </c>
      <c r="M481" t="s">
        <v>43</v>
      </c>
      <c r="N481" t="s">
        <v>60</v>
      </c>
      <c r="O481" t="s">
        <v>45</v>
      </c>
      <c r="P481">
        <v>1</v>
      </c>
      <c r="Q481">
        <v>842.82</v>
      </c>
      <c r="R481" s="19">
        <v>0.1</v>
      </c>
      <c r="S481" s="21">
        <v>84.28</v>
      </c>
      <c r="T481">
        <v>842.82</v>
      </c>
      <c r="U481" s="2">
        <v>758.54</v>
      </c>
      <c r="V481">
        <v>146.66</v>
      </c>
      <c r="W481">
        <v>466.17</v>
      </c>
      <c r="X481" s="2">
        <v>145.71</v>
      </c>
      <c r="Y481">
        <v>0.19209999999999999</v>
      </c>
      <c r="Z481">
        <v>4</v>
      </c>
      <c r="AA481" t="s">
        <v>46</v>
      </c>
      <c r="AB481" t="s">
        <v>47</v>
      </c>
      <c r="AD481">
        <v>4</v>
      </c>
      <c r="AE481" s="2">
        <v>668.75</v>
      </c>
      <c r="AF481">
        <v>1.1343000000000001</v>
      </c>
      <c r="AG481" t="s">
        <v>49</v>
      </c>
      <c r="AH481" s="23">
        <f>SUM(Amazon_Data_Set[[#This Row],[Gross Sales]]-Amazon_Data_Set[[#This Row],[Discount Amount]])</f>
        <v>758.54000000000008</v>
      </c>
    </row>
    <row r="482" spans="1:34">
      <c r="A482" t="s">
        <v>1397</v>
      </c>
      <c r="B482" s="1">
        <v>46084</v>
      </c>
      <c r="C482" t="str">
        <f>TEXT(Amazon_Data_Set[[#This Row],[Order Date]],"mmm")</f>
        <v>Mar</v>
      </c>
      <c r="D482" t="s">
        <v>1398</v>
      </c>
      <c r="E482" t="s">
        <v>109</v>
      </c>
      <c r="F482" t="s">
        <v>154</v>
      </c>
      <c r="G482" t="s">
        <v>111</v>
      </c>
      <c r="H482" t="s">
        <v>55</v>
      </c>
      <c r="I482" t="s">
        <v>120</v>
      </c>
      <c r="J482" t="s">
        <v>169</v>
      </c>
      <c r="K482" t="s">
        <v>170</v>
      </c>
      <c r="L482" t="s">
        <v>1399</v>
      </c>
      <c r="M482" t="s">
        <v>43</v>
      </c>
      <c r="N482" t="s">
        <v>77</v>
      </c>
      <c r="O482" t="s">
        <v>130</v>
      </c>
      <c r="P482">
        <v>2</v>
      </c>
      <c r="Q482">
        <v>18957.72</v>
      </c>
      <c r="R482" s="19">
        <v>0.25</v>
      </c>
      <c r="S482" s="21">
        <v>9478.86</v>
      </c>
      <c r="T482">
        <v>37915.440000000002</v>
      </c>
      <c r="U482" s="2">
        <v>28436.58</v>
      </c>
      <c r="V482">
        <v>183.8</v>
      </c>
      <c r="W482">
        <v>20538.75</v>
      </c>
      <c r="X482" s="2">
        <v>7714.03</v>
      </c>
      <c r="Y482">
        <v>0.27129999999999999</v>
      </c>
      <c r="Z482">
        <v>3</v>
      </c>
      <c r="AA482" t="s">
        <v>131</v>
      </c>
      <c r="AB482" t="s">
        <v>47</v>
      </c>
      <c r="AE482" s="2">
        <v>27763.360000000001</v>
      </c>
      <c r="AF482">
        <v>1.0242</v>
      </c>
      <c r="AG482" t="s">
        <v>49</v>
      </c>
      <c r="AH482" s="23">
        <f>SUM(Amazon_Data_Set[[#This Row],[Gross Sales]]-Amazon_Data_Set[[#This Row],[Discount Amount]])</f>
        <v>28436.58</v>
      </c>
    </row>
    <row r="483" spans="1:34">
      <c r="A483" t="s">
        <v>1400</v>
      </c>
      <c r="B483" s="1">
        <v>46245</v>
      </c>
      <c r="C483" t="str">
        <f>TEXT(Amazon_Data_Set[[#This Row],[Order Date]],"mmm")</f>
        <v>Aug</v>
      </c>
      <c r="D483" t="s">
        <v>1353</v>
      </c>
      <c r="E483" t="s">
        <v>80</v>
      </c>
      <c r="F483" t="s">
        <v>81</v>
      </c>
      <c r="G483" t="s">
        <v>82</v>
      </c>
      <c r="H483" t="s">
        <v>38</v>
      </c>
      <c r="I483" t="s">
        <v>39</v>
      </c>
      <c r="J483" t="s">
        <v>155</v>
      </c>
      <c r="K483" t="s">
        <v>156</v>
      </c>
      <c r="L483" t="s">
        <v>1401</v>
      </c>
      <c r="M483" t="s">
        <v>106</v>
      </c>
      <c r="N483" t="s">
        <v>95</v>
      </c>
      <c r="O483" t="s">
        <v>130</v>
      </c>
      <c r="P483">
        <v>5</v>
      </c>
      <c r="Q483">
        <v>3737.37</v>
      </c>
      <c r="R483" s="19">
        <v>0.1</v>
      </c>
      <c r="S483" s="21">
        <v>1868.68</v>
      </c>
      <c r="T483">
        <v>18686.849999999999</v>
      </c>
      <c r="U483" s="2">
        <v>16818.169999999998</v>
      </c>
      <c r="V483">
        <v>160.11000000000001</v>
      </c>
      <c r="W483">
        <v>13100.14</v>
      </c>
      <c r="X483" s="2">
        <v>3557.92</v>
      </c>
      <c r="Y483">
        <v>0.21160000000000001</v>
      </c>
      <c r="Z483">
        <v>4</v>
      </c>
      <c r="AA483" t="s">
        <v>131</v>
      </c>
      <c r="AB483" t="s">
        <v>47</v>
      </c>
      <c r="AE483" s="2">
        <v>17496.22</v>
      </c>
      <c r="AF483">
        <v>0.96120000000000005</v>
      </c>
      <c r="AG483" t="s">
        <v>49</v>
      </c>
      <c r="AH483" s="23">
        <f>SUM(Amazon_Data_Set[[#This Row],[Gross Sales]]-Amazon_Data_Set[[#This Row],[Discount Amount]])</f>
        <v>16818.169999999998</v>
      </c>
    </row>
    <row r="484" spans="1:34">
      <c r="A484" t="s">
        <v>1402</v>
      </c>
      <c r="B484" s="1">
        <v>46343</v>
      </c>
      <c r="C484" t="str">
        <f>TEXT(Amazon_Data_Set[[#This Row],[Order Date]],"mmm")</f>
        <v>Nov</v>
      </c>
      <c r="D484" t="s">
        <v>357</v>
      </c>
      <c r="E484" t="s">
        <v>235</v>
      </c>
      <c r="F484" t="s">
        <v>236</v>
      </c>
      <c r="G484" t="s">
        <v>82</v>
      </c>
      <c r="H484" t="s">
        <v>38</v>
      </c>
      <c r="I484" t="s">
        <v>161</v>
      </c>
      <c r="J484" t="s">
        <v>223</v>
      </c>
      <c r="K484" t="s">
        <v>224</v>
      </c>
      <c r="L484" t="s">
        <v>1403</v>
      </c>
      <c r="M484" t="s">
        <v>106</v>
      </c>
      <c r="N484" t="s">
        <v>60</v>
      </c>
      <c r="O484" t="s">
        <v>45</v>
      </c>
      <c r="P484">
        <v>1</v>
      </c>
      <c r="Q484">
        <v>646.98</v>
      </c>
      <c r="R484" s="19">
        <v>0.25</v>
      </c>
      <c r="S484" s="21">
        <v>161.75</v>
      </c>
      <c r="T484">
        <v>646.98</v>
      </c>
      <c r="U484" s="2">
        <v>485.23</v>
      </c>
      <c r="V484">
        <v>66.48</v>
      </c>
      <c r="W484">
        <v>234.94</v>
      </c>
      <c r="X484" s="2">
        <v>183.81</v>
      </c>
      <c r="Y484">
        <v>0.37880000000000003</v>
      </c>
      <c r="Z484">
        <v>2</v>
      </c>
      <c r="AA484" t="s">
        <v>46</v>
      </c>
      <c r="AB484" t="s">
        <v>47</v>
      </c>
      <c r="AD484">
        <v>5</v>
      </c>
      <c r="AE484" s="2">
        <v>581.62</v>
      </c>
      <c r="AF484">
        <v>0.83430000000000004</v>
      </c>
      <c r="AG484" t="s">
        <v>49</v>
      </c>
      <c r="AH484" s="23">
        <f>SUM(Amazon_Data_Set[[#This Row],[Gross Sales]]-Amazon_Data_Set[[#This Row],[Discount Amount]])</f>
        <v>485.23</v>
      </c>
    </row>
    <row r="485" spans="1:34">
      <c r="A485" t="s">
        <v>1404</v>
      </c>
      <c r="B485" s="1">
        <v>46270</v>
      </c>
      <c r="C485" t="str">
        <f>TEXT(Amazon_Data_Set[[#This Row],[Order Date]],"mmm")</f>
        <v>Sep</v>
      </c>
      <c r="D485" t="s">
        <v>561</v>
      </c>
      <c r="E485" t="s">
        <v>275</v>
      </c>
      <c r="F485" t="s">
        <v>276</v>
      </c>
      <c r="G485" t="s">
        <v>37</v>
      </c>
      <c r="H485" t="s">
        <v>90</v>
      </c>
      <c r="I485" t="s">
        <v>252</v>
      </c>
      <c r="J485" t="s">
        <v>270</v>
      </c>
      <c r="K485" t="s">
        <v>271</v>
      </c>
      <c r="L485" t="s">
        <v>1405</v>
      </c>
      <c r="M485" t="s">
        <v>106</v>
      </c>
      <c r="N485" t="s">
        <v>70</v>
      </c>
      <c r="O485" t="s">
        <v>130</v>
      </c>
      <c r="P485">
        <v>5</v>
      </c>
      <c r="Q485">
        <v>86.78</v>
      </c>
      <c r="R485" s="19">
        <v>0.15</v>
      </c>
      <c r="S485" s="21">
        <v>65.08</v>
      </c>
      <c r="T485">
        <v>433.9</v>
      </c>
      <c r="U485" s="2">
        <v>368.82</v>
      </c>
      <c r="V485">
        <v>81.25</v>
      </c>
      <c r="W485">
        <v>238.32</v>
      </c>
      <c r="X485" s="2">
        <v>49.25</v>
      </c>
      <c r="Y485">
        <v>0.13350000000000001</v>
      </c>
      <c r="Z485">
        <v>8</v>
      </c>
      <c r="AA485" t="s">
        <v>131</v>
      </c>
      <c r="AB485" t="s">
        <v>47</v>
      </c>
      <c r="AE485" s="2">
        <v>374.27</v>
      </c>
      <c r="AF485">
        <v>0.98540000000000005</v>
      </c>
      <c r="AG485" t="s">
        <v>347</v>
      </c>
      <c r="AH485" s="23">
        <f>SUM(Amazon_Data_Set[[#This Row],[Gross Sales]]-Amazon_Data_Set[[#This Row],[Discount Amount]])</f>
        <v>368.82</v>
      </c>
    </row>
    <row r="486" spans="1:34">
      <c r="A486" t="s">
        <v>1406</v>
      </c>
      <c r="B486" s="1">
        <v>46276</v>
      </c>
      <c r="C486" t="str">
        <f>TEXT(Amazon_Data_Set[[#This Row],[Order Date]],"mmm")</f>
        <v>Sep</v>
      </c>
      <c r="D486" t="s">
        <v>1173</v>
      </c>
      <c r="E486" t="s">
        <v>64</v>
      </c>
      <c r="F486" t="s">
        <v>65</v>
      </c>
      <c r="G486" t="s">
        <v>54</v>
      </c>
      <c r="H486" t="s">
        <v>90</v>
      </c>
      <c r="I486" t="s">
        <v>112</v>
      </c>
      <c r="J486" t="s">
        <v>134</v>
      </c>
      <c r="K486" t="s">
        <v>135</v>
      </c>
      <c r="L486" t="s">
        <v>1407</v>
      </c>
      <c r="M486" t="s">
        <v>43</v>
      </c>
      <c r="N486" t="s">
        <v>95</v>
      </c>
      <c r="O486" t="s">
        <v>45</v>
      </c>
      <c r="P486">
        <v>5</v>
      </c>
      <c r="Q486">
        <v>1703.47</v>
      </c>
      <c r="R486" s="19">
        <v>0.05</v>
      </c>
      <c r="S486" s="21">
        <v>425.87</v>
      </c>
      <c r="T486">
        <v>8517.35</v>
      </c>
      <c r="U486" s="2">
        <v>8091.48</v>
      </c>
      <c r="V486">
        <v>91.12</v>
      </c>
      <c r="W486">
        <v>3982.32</v>
      </c>
      <c r="X486" s="2">
        <v>4018.04</v>
      </c>
      <c r="Y486">
        <v>0.49659999999999999</v>
      </c>
      <c r="Z486">
        <v>7</v>
      </c>
      <c r="AA486" t="s">
        <v>61</v>
      </c>
      <c r="AB486" t="s">
        <v>48</v>
      </c>
      <c r="AC486" t="s">
        <v>520</v>
      </c>
      <c r="AD486">
        <v>5</v>
      </c>
      <c r="AE486" s="2">
        <v>6908.36</v>
      </c>
      <c r="AF486">
        <v>1.1713</v>
      </c>
      <c r="AG486" t="s">
        <v>49</v>
      </c>
      <c r="AH486" s="23">
        <f>SUM(Amazon_Data_Set[[#This Row],[Gross Sales]]-Amazon_Data_Set[[#This Row],[Discount Amount]])</f>
        <v>8091.4800000000005</v>
      </c>
    </row>
    <row r="487" spans="1:34">
      <c r="A487" t="s">
        <v>1408</v>
      </c>
      <c r="B487" s="1">
        <v>46315</v>
      </c>
      <c r="C487" t="str">
        <f>TEXT(Amazon_Data_Set[[#This Row],[Order Date]],"mmm")</f>
        <v>Oct</v>
      </c>
      <c r="D487" t="s">
        <v>799</v>
      </c>
      <c r="E487" t="s">
        <v>167</v>
      </c>
      <c r="F487" t="s">
        <v>168</v>
      </c>
      <c r="G487" t="s">
        <v>111</v>
      </c>
      <c r="H487" t="s">
        <v>38</v>
      </c>
      <c r="I487" t="s">
        <v>39</v>
      </c>
      <c r="J487" t="s">
        <v>281</v>
      </c>
      <c r="K487" t="s">
        <v>282</v>
      </c>
      <c r="L487" t="s">
        <v>1409</v>
      </c>
      <c r="M487" t="s">
        <v>43</v>
      </c>
      <c r="N487" t="s">
        <v>70</v>
      </c>
      <c r="O487" t="s">
        <v>45</v>
      </c>
      <c r="P487">
        <v>2</v>
      </c>
      <c r="Q487">
        <v>3886.9</v>
      </c>
      <c r="R487" s="19">
        <v>0</v>
      </c>
      <c r="S487" s="21">
        <v>0</v>
      </c>
      <c r="T487">
        <v>7773.8</v>
      </c>
      <c r="U487" s="2">
        <v>7773.8</v>
      </c>
      <c r="V487">
        <v>19.649999999999999</v>
      </c>
      <c r="W487">
        <v>3886.3</v>
      </c>
      <c r="X487" s="2">
        <v>3867.85</v>
      </c>
      <c r="Y487">
        <v>0.4975</v>
      </c>
      <c r="Z487">
        <v>1</v>
      </c>
      <c r="AA487" t="s">
        <v>46</v>
      </c>
      <c r="AB487" t="s">
        <v>47</v>
      </c>
      <c r="AD487">
        <v>4</v>
      </c>
      <c r="AE487" s="2">
        <v>9549.14</v>
      </c>
      <c r="AF487">
        <v>0.81410000000000005</v>
      </c>
      <c r="AG487" t="s">
        <v>49</v>
      </c>
      <c r="AH487" s="23">
        <f>SUM(Amazon_Data_Set[[#This Row],[Gross Sales]]-Amazon_Data_Set[[#This Row],[Discount Amount]])</f>
        <v>7773.8</v>
      </c>
    </row>
    <row r="488" spans="1:34">
      <c r="A488" t="s">
        <v>1410</v>
      </c>
      <c r="B488" s="1">
        <v>46225</v>
      </c>
      <c r="C488" t="str">
        <f>TEXT(Amazon_Data_Set[[#This Row],[Order Date]],"mmm")</f>
        <v>Jul</v>
      </c>
      <c r="D488" t="s">
        <v>219</v>
      </c>
      <c r="E488" t="s">
        <v>194</v>
      </c>
      <c r="F488" t="s">
        <v>195</v>
      </c>
      <c r="G488" t="s">
        <v>111</v>
      </c>
      <c r="H488" t="s">
        <v>90</v>
      </c>
      <c r="I488" t="s">
        <v>112</v>
      </c>
      <c r="J488" t="s">
        <v>134</v>
      </c>
      <c r="K488" t="s">
        <v>135</v>
      </c>
      <c r="L488" t="s">
        <v>1411</v>
      </c>
      <c r="M488" t="s">
        <v>106</v>
      </c>
      <c r="N488" t="s">
        <v>44</v>
      </c>
      <c r="O488" t="s">
        <v>45</v>
      </c>
      <c r="P488">
        <v>2</v>
      </c>
      <c r="Q488">
        <v>1788.43</v>
      </c>
      <c r="R488" s="19">
        <v>0.05</v>
      </c>
      <c r="S488" s="21">
        <v>178.84</v>
      </c>
      <c r="T488">
        <v>3576.86</v>
      </c>
      <c r="U488" s="2">
        <v>3398.02</v>
      </c>
      <c r="V488">
        <v>153.68</v>
      </c>
      <c r="W488">
        <v>1802.1</v>
      </c>
      <c r="X488" s="2">
        <v>1442.24</v>
      </c>
      <c r="Y488">
        <v>0.4244</v>
      </c>
      <c r="Z488">
        <v>2</v>
      </c>
      <c r="AA488" t="s">
        <v>46</v>
      </c>
      <c r="AB488" t="s">
        <v>47</v>
      </c>
      <c r="AD488">
        <v>4</v>
      </c>
      <c r="AE488" s="2">
        <v>2910.92</v>
      </c>
      <c r="AF488">
        <v>1.1673</v>
      </c>
      <c r="AG488" t="s">
        <v>347</v>
      </c>
      <c r="AH488" s="23">
        <f>SUM(Amazon_Data_Set[[#This Row],[Gross Sales]]-Amazon_Data_Set[[#This Row],[Discount Amount]])</f>
        <v>3398.02</v>
      </c>
    </row>
    <row r="489" spans="1:34">
      <c r="A489" t="s">
        <v>1412</v>
      </c>
      <c r="B489" s="1">
        <v>46087</v>
      </c>
      <c r="C489" t="str">
        <f>TEXT(Amazon_Data_Set[[#This Row],[Order Date]],"mmm")</f>
        <v>Mar</v>
      </c>
      <c r="D489" t="s">
        <v>1213</v>
      </c>
      <c r="E489" t="s">
        <v>64</v>
      </c>
      <c r="F489" t="s">
        <v>65</v>
      </c>
      <c r="G489" t="s">
        <v>54</v>
      </c>
      <c r="H489" t="s">
        <v>38</v>
      </c>
      <c r="I489" t="s">
        <v>39</v>
      </c>
      <c r="J489" t="s">
        <v>155</v>
      </c>
      <c r="K489" t="s">
        <v>156</v>
      </c>
      <c r="L489" t="s">
        <v>1413</v>
      </c>
      <c r="M489" t="s">
        <v>43</v>
      </c>
      <c r="N489" t="s">
        <v>77</v>
      </c>
      <c r="O489" t="s">
        <v>130</v>
      </c>
      <c r="P489">
        <v>2</v>
      </c>
      <c r="Q489">
        <v>4159.83</v>
      </c>
      <c r="R489" s="19">
        <v>0</v>
      </c>
      <c r="S489" s="21">
        <v>0</v>
      </c>
      <c r="T489">
        <v>8319.66</v>
      </c>
      <c r="U489" s="2">
        <v>8319.66</v>
      </c>
      <c r="V489">
        <v>12.52</v>
      </c>
      <c r="W489">
        <v>4716.12</v>
      </c>
      <c r="X489" s="2">
        <v>3591.02</v>
      </c>
      <c r="Y489">
        <v>0.43159999999999998</v>
      </c>
      <c r="Z489">
        <v>4</v>
      </c>
      <c r="AA489" t="s">
        <v>131</v>
      </c>
      <c r="AB489" t="s">
        <v>47</v>
      </c>
      <c r="AE489" s="2">
        <v>8949.35</v>
      </c>
      <c r="AF489">
        <v>0.92959999999999998</v>
      </c>
      <c r="AG489" t="s">
        <v>49</v>
      </c>
      <c r="AH489" s="23">
        <f>SUM(Amazon_Data_Set[[#This Row],[Gross Sales]]-Amazon_Data_Set[[#This Row],[Discount Amount]])</f>
        <v>8319.66</v>
      </c>
    </row>
    <row r="490" spans="1:34">
      <c r="A490" t="s">
        <v>1414</v>
      </c>
      <c r="B490" s="1">
        <v>46350</v>
      </c>
      <c r="C490" t="str">
        <f>TEXT(Amazon_Data_Set[[#This Row],[Order Date]],"mmm")</f>
        <v>Nov</v>
      </c>
      <c r="D490" t="s">
        <v>1415</v>
      </c>
      <c r="E490" t="s">
        <v>149</v>
      </c>
      <c r="F490" t="s">
        <v>150</v>
      </c>
      <c r="G490" t="s">
        <v>37</v>
      </c>
      <c r="H490" t="s">
        <v>142</v>
      </c>
      <c r="I490" t="s">
        <v>209</v>
      </c>
      <c r="J490" t="s">
        <v>243</v>
      </c>
      <c r="K490" t="s">
        <v>145</v>
      </c>
      <c r="L490" t="s">
        <v>1416</v>
      </c>
      <c r="M490" t="s">
        <v>43</v>
      </c>
      <c r="N490" t="s">
        <v>70</v>
      </c>
      <c r="O490" t="s">
        <v>96</v>
      </c>
      <c r="P490">
        <v>4</v>
      </c>
      <c r="Q490">
        <v>4461.1400000000003</v>
      </c>
      <c r="R490" s="19">
        <v>0.2</v>
      </c>
      <c r="S490" s="21">
        <v>3568.91</v>
      </c>
      <c r="T490">
        <v>17844.560000000001</v>
      </c>
      <c r="U490" s="2">
        <v>14275.65</v>
      </c>
      <c r="V490">
        <v>80.900000000000006</v>
      </c>
      <c r="W490">
        <v>9542.7099999999991</v>
      </c>
      <c r="X490" s="2">
        <v>4652.04</v>
      </c>
      <c r="Y490">
        <v>0.32590000000000002</v>
      </c>
      <c r="Z490">
        <v>0</v>
      </c>
      <c r="AA490" t="s">
        <v>97</v>
      </c>
      <c r="AB490" t="s">
        <v>47</v>
      </c>
      <c r="AE490" s="2">
        <v>16417.05</v>
      </c>
      <c r="AF490">
        <v>0.86960000000000004</v>
      </c>
      <c r="AG490" t="s">
        <v>49</v>
      </c>
      <c r="AH490" s="23">
        <f>SUM(Amazon_Data_Set[[#This Row],[Gross Sales]]-Amazon_Data_Set[[#This Row],[Discount Amount]])</f>
        <v>14275.650000000001</v>
      </c>
    </row>
    <row r="491" spans="1:34">
      <c r="A491" t="s">
        <v>1417</v>
      </c>
      <c r="B491" s="1">
        <v>46182</v>
      </c>
      <c r="C491" t="str">
        <f>TEXT(Amazon_Data_Set[[#This Row],[Order Date]],"mmm")</f>
        <v>Jun</v>
      </c>
      <c r="D491" t="s">
        <v>993</v>
      </c>
      <c r="E491" t="s">
        <v>64</v>
      </c>
      <c r="F491" t="s">
        <v>65</v>
      </c>
      <c r="G491" t="s">
        <v>54</v>
      </c>
      <c r="H491" t="s">
        <v>83</v>
      </c>
      <c r="I491" t="s">
        <v>102</v>
      </c>
      <c r="J491" t="s">
        <v>259</v>
      </c>
      <c r="K491" t="s">
        <v>260</v>
      </c>
      <c r="L491" t="s">
        <v>1418</v>
      </c>
      <c r="M491" t="s">
        <v>43</v>
      </c>
      <c r="N491" t="s">
        <v>95</v>
      </c>
      <c r="O491" t="s">
        <v>45</v>
      </c>
      <c r="P491">
        <v>3</v>
      </c>
      <c r="Q491">
        <v>2156.69</v>
      </c>
      <c r="R491" s="19">
        <v>0.3</v>
      </c>
      <c r="S491" s="21">
        <v>1941.02</v>
      </c>
      <c r="T491">
        <v>6470.07</v>
      </c>
      <c r="U491" s="2">
        <v>4529.05</v>
      </c>
      <c r="V491">
        <v>166.2</v>
      </c>
      <c r="W491">
        <v>2449</v>
      </c>
      <c r="X491" s="2">
        <v>1913.85</v>
      </c>
      <c r="Y491">
        <v>0.42259999999999998</v>
      </c>
      <c r="Z491">
        <v>6</v>
      </c>
      <c r="AA491" t="s">
        <v>61</v>
      </c>
      <c r="AB491" t="s">
        <v>47</v>
      </c>
      <c r="AD491">
        <v>5</v>
      </c>
      <c r="AE491" s="2">
        <v>5618.65</v>
      </c>
      <c r="AF491">
        <v>0.80610000000000004</v>
      </c>
      <c r="AG491" t="s">
        <v>49</v>
      </c>
      <c r="AH491" s="23">
        <f>SUM(Amazon_Data_Set[[#This Row],[Gross Sales]]-Amazon_Data_Set[[#This Row],[Discount Amount]])</f>
        <v>4529.0499999999993</v>
      </c>
    </row>
    <row r="492" spans="1:34">
      <c r="A492" t="s">
        <v>1419</v>
      </c>
      <c r="B492" s="1">
        <v>46194</v>
      </c>
      <c r="C492" t="str">
        <f>TEXT(Amazon_Data_Set[[#This Row],[Order Date]],"mmm")</f>
        <v>Jun</v>
      </c>
      <c r="D492" t="s">
        <v>901</v>
      </c>
      <c r="E492" t="s">
        <v>235</v>
      </c>
      <c r="F492" t="s">
        <v>236</v>
      </c>
      <c r="G492" t="s">
        <v>82</v>
      </c>
      <c r="H492" t="s">
        <v>90</v>
      </c>
      <c r="I492" t="s">
        <v>91</v>
      </c>
      <c r="J492" t="s">
        <v>313</v>
      </c>
      <c r="K492" t="s">
        <v>314</v>
      </c>
      <c r="L492" t="s">
        <v>1420</v>
      </c>
      <c r="M492" t="s">
        <v>106</v>
      </c>
      <c r="N492" t="s">
        <v>77</v>
      </c>
      <c r="O492" t="s">
        <v>45</v>
      </c>
      <c r="P492">
        <v>4</v>
      </c>
      <c r="Q492">
        <v>164.63</v>
      </c>
      <c r="R492" s="19">
        <v>0.05</v>
      </c>
      <c r="S492" s="21">
        <v>32.93</v>
      </c>
      <c r="T492">
        <v>658.52</v>
      </c>
      <c r="U492" s="2">
        <v>625.59</v>
      </c>
      <c r="V492">
        <v>14.08</v>
      </c>
      <c r="W492">
        <v>465.24</v>
      </c>
      <c r="X492" s="2">
        <v>146.27000000000001</v>
      </c>
      <c r="Y492">
        <v>0.23380000000000001</v>
      </c>
      <c r="Z492">
        <v>5</v>
      </c>
      <c r="AA492" t="s">
        <v>61</v>
      </c>
      <c r="AB492" t="s">
        <v>47</v>
      </c>
      <c r="AD492">
        <v>5</v>
      </c>
      <c r="AE492" s="2">
        <v>773.27</v>
      </c>
      <c r="AF492">
        <v>0.80900000000000005</v>
      </c>
      <c r="AG492" t="s">
        <v>49</v>
      </c>
      <c r="AH492" s="23">
        <f>SUM(Amazon_Data_Set[[#This Row],[Gross Sales]]-Amazon_Data_Set[[#This Row],[Discount Amount]])</f>
        <v>625.59</v>
      </c>
    </row>
    <row r="493" spans="1:34">
      <c r="A493" t="s">
        <v>1421</v>
      </c>
      <c r="B493" s="1">
        <v>46121</v>
      </c>
      <c r="C493" t="str">
        <f>TEXT(Amazon_Data_Set[[#This Row],[Order Date]],"mmm")</f>
        <v>Apr</v>
      </c>
      <c r="D493" t="s">
        <v>1422</v>
      </c>
      <c r="E493" t="s">
        <v>235</v>
      </c>
      <c r="F493" t="s">
        <v>236</v>
      </c>
      <c r="G493" t="s">
        <v>82</v>
      </c>
      <c r="H493" t="s">
        <v>38</v>
      </c>
      <c r="I493" t="s">
        <v>161</v>
      </c>
      <c r="J493" t="s">
        <v>297</v>
      </c>
      <c r="K493" t="s">
        <v>298</v>
      </c>
      <c r="L493" t="s">
        <v>1423</v>
      </c>
      <c r="M493" t="s">
        <v>43</v>
      </c>
      <c r="N493" t="s">
        <v>60</v>
      </c>
      <c r="O493" t="s">
        <v>45</v>
      </c>
      <c r="P493">
        <v>5</v>
      </c>
      <c r="Q493">
        <v>1478.46</v>
      </c>
      <c r="R493" s="19">
        <v>0.15</v>
      </c>
      <c r="S493" s="21">
        <v>1108.8499999999999</v>
      </c>
      <c r="T493">
        <v>7392.3</v>
      </c>
      <c r="U493" s="2">
        <v>6283.45</v>
      </c>
      <c r="V493">
        <v>137.66999999999999</v>
      </c>
      <c r="W493">
        <v>4356.3100000000004</v>
      </c>
      <c r="X493" s="2">
        <v>1789.47</v>
      </c>
      <c r="Y493">
        <v>0.2848</v>
      </c>
      <c r="Z493">
        <v>6</v>
      </c>
      <c r="AA493" t="s">
        <v>61</v>
      </c>
      <c r="AB493" t="s">
        <v>47</v>
      </c>
      <c r="AD493">
        <v>3</v>
      </c>
      <c r="AE493" s="2">
        <v>6102.95</v>
      </c>
      <c r="AF493">
        <v>1.0296000000000001</v>
      </c>
      <c r="AG493" t="s">
        <v>49</v>
      </c>
      <c r="AH493" s="23">
        <f>SUM(Amazon_Data_Set[[#This Row],[Gross Sales]]-Amazon_Data_Set[[#This Row],[Discount Amount]])</f>
        <v>6283.4500000000007</v>
      </c>
    </row>
    <row r="494" spans="1:34">
      <c r="A494" t="s">
        <v>1424</v>
      </c>
      <c r="B494" s="1">
        <v>46080</v>
      </c>
      <c r="C494" t="str">
        <f>TEXT(Amazon_Data_Set[[#This Row],[Order Date]],"mmm")</f>
        <v>Feb</v>
      </c>
      <c r="D494" t="s">
        <v>996</v>
      </c>
      <c r="E494" t="s">
        <v>140</v>
      </c>
      <c r="F494" t="s">
        <v>141</v>
      </c>
      <c r="G494" t="s">
        <v>54</v>
      </c>
      <c r="H494" t="s">
        <v>38</v>
      </c>
      <c r="I494" t="s">
        <v>66</v>
      </c>
      <c r="J494" t="s">
        <v>67</v>
      </c>
      <c r="K494" t="s">
        <v>68</v>
      </c>
      <c r="L494" t="s">
        <v>1425</v>
      </c>
      <c r="M494" t="s">
        <v>43</v>
      </c>
      <c r="N494" t="s">
        <v>77</v>
      </c>
      <c r="O494" t="s">
        <v>45</v>
      </c>
      <c r="P494">
        <v>3</v>
      </c>
      <c r="Q494">
        <v>723.89</v>
      </c>
      <c r="R494" s="19">
        <v>0.15</v>
      </c>
      <c r="S494" s="21">
        <v>325.75</v>
      </c>
      <c r="T494">
        <v>2171.67</v>
      </c>
      <c r="U494" s="2">
        <v>1845.92</v>
      </c>
      <c r="V494">
        <v>198.35</v>
      </c>
      <c r="W494">
        <v>1241.97</v>
      </c>
      <c r="X494" s="2">
        <v>405.6</v>
      </c>
      <c r="Y494">
        <v>0.21970000000000001</v>
      </c>
      <c r="Z494">
        <v>3</v>
      </c>
      <c r="AA494" t="s">
        <v>46</v>
      </c>
      <c r="AB494" t="s">
        <v>47</v>
      </c>
      <c r="AD494">
        <v>5</v>
      </c>
      <c r="AE494" s="2">
        <v>1741.05</v>
      </c>
      <c r="AF494">
        <v>1.0602</v>
      </c>
      <c r="AG494" t="s">
        <v>49</v>
      </c>
      <c r="AH494" s="23">
        <f>SUM(Amazon_Data_Set[[#This Row],[Gross Sales]]-Amazon_Data_Set[[#This Row],[Discount Amount]])</f>
        <v>1845.92</v>
      </c>
    </row>
    <row r="495" spans="1:34">
      <c r="A495" t="s">
        <v>1426</v>
      </c>
      <c r="B495" s="1">
        <v>46277</v>
      </c>
      <c r="C495" t="str">
        <f>TEXT(Amazon_Data_Set[[#This Row],[Order Date]],"mmm")</f>
        <v>Sep</v>
      </c>
      <c r="D495" t="s">
        <v>696</v>
      </c>
      <c r="E495" t="s">
        <v>80</v>
      </c>
      <c r="F495" t="s">
        <v>81</v>
      </c>
      <c r="G495" t="s">
        <v>82</v>
      </c>
      <c r="H495" t="s">
        <v>38</v>
      </c>
      <c r="I495" t="s">
        <v>161</v>
      </c>
      <c r="J495" t="s">
        <v>223</v>
      </c>
      <c r="K495" t="s">
        <v>224</v>
      </c>
      <c r="L495" t="s">
        <v>1427</v>
      </c>
      <c r="M495" t="s">
        <v>43</v>
      </c>
      <c r="N495" t="s">
        <v>95</v>
      </c>
      <c r="O495" t="s">
        <v>45</v>
      </c>
      <c r="P495">
        <v>3</v>
      </c>
      <c r="Q495">
        <v>2176.2399999999998</v>
      </c>
      <c r="R495" s="19">
        <v>0</v>
      </c>
      <c r="S495" s="21">
        <v>0</v>
      </c>
      <c r="T495">
        <v>6528.72</v>
      </c>
      <c r="U495" s="2">
        <v>6528.72</v>
      </c>
      <c r="V495">
        <v>196.36</v>
      </c>
      <c r="W495">
        <v>3341.51</v>
      </c>
      <c r="X495" s="2">
        <v>2990.85</v>
      </c>
      <c r="Y495">
        <v>0.45810000000000001</v>
      </c>
      <c r="Z495">
        <v>7</v>
      </c>
      <c r="AA495" t="s">
        <v>61</v>
      </c>
      <c r="AB495" t="s">
        <v>47</v>
      </c>
      <c r="AD495">
        <v>5</v>
      </c>
      <c r="AE495" s="2">
        <v>7085.18</v>
      </c>
      <c r="AF495">
        <v>0.92149999999999999</v>
      </c>
      <c r="AG495" t="s">
        <v>347</v>
      </c>
      <c r="AH495" s="23">
        <f>SUM(Amazon_Data_Set[[#This Row],[Gross Sales]]-Amazon_Data_Set[[#This Row],[Discount Amount]])</f>
        <v>6528.72</v>
      </c>
    </row>
    <row r="496" spans="1:34">
      <c r="A496" t="s">
        <v>1428</v>
      </c>
      <c r="B496" s="1">
        <v>46144</v>
      </c>
      <c r="C496" t="str">
        <f>TEXT(Amazon_Data_Set[[#This Row],[Order Date]],"mmm")</f>
        <v>May</v>
      </c>
      <c r="D496" t="s">
        <v>527</v>
      </c>
      <c r="E496" t="s">
        <v>235</v>
      </c>
      <c r="F496" t="s">
        <v>236</v>
      </c>
      <c r="G496" t="s">
        <v>82</v>
      </c>
      <c r="H496" t="s">
        <v>38</v>
      </c>
      <c r="I496" t="s">
        <v>66</v>
      </c>
      <c r="J496" t="s">
        <v>67</v>
      </c>
      <c r="K496" t="s">
        <v>68</v>
      </c>
      <c r="L496" t="s">
        <v>1429</v>
      </c>
      <c r="M496" t="s">
        <v>106</v>
      </c>
      <c r="N496" t="s">
        <v>124</v>
      </c>
      <c r="O496" t="s">
        <v>96</v>
      </c>
      <c r="P496">
        <v>3</v>
      </c>
      <c r="Q496">
        <v>354.11</v>
      </c>
      <c r="R496" s="19">
        <v>0.05</v>
      </c>
      <c r="S496" s="21">
        <v>53.12</v>
      </c>
      <c r="T496">
        <v>1062.33</v>
      </c>
      <c r="U496" s="2">
        <v>1009.21</v>
      </c>
      <c r="V496">
        <v>80.44</v>
      </c>
      <c r="W496">
        <v>632.1</v>
      </c>
      <c r="X496" s="2">
        <v>296.67</v>
      </c>
      <c r="Y496">
        <v>0.29399999999999998</v>
      </c>
      <c r="Z496">
        <v>0</v>
      </c>
      <c r="AA496" t="s">
        <v>97</v>
      </c>
      <c r="AB496" t="s">
        <v>47</v>
      </c>
      <c r="AE496" s="2">
        <v>1118.1500000000001</v>
      </c>
      <c r="AF496">
        <v>0.90259999999999996</v>
      </c>
      <c r="AG496" t="s">
        <v>49</v>
      </c>
      <c r="AH496" s="23">
        <f>SUM(Amazon_Data_Set[[#This Row],[Gross Sales]]-Amazon_Data_Set[[#This Row],[Discount Amount]])</f>
        <v>1009.2099999999999</v>
      </c>
    </row>
    <row r="497" spans="1:34">
      <c r="A497" t="s">
        <v>1430</v>
      </c>
      <c r="B497" s="1">
        <v>46197</v>
      </c>
      <c r="C497" t="str">
        <f>TEXT(Amazon_Data_Set[[#This Row],[Order Date]],"mmm")</f>
        <v>Jun</v>
      </c>
      <c r="D497" t="s">
        <v>498</v>
      </c>
      <c r="E497" t="s">
        <v>100</v>
      </c>
      <c r="F497" t="s">
        <v>179</v>
      </c>
      <c r="G497" t="s">
        <v>54</v>
      </c>
      <c r="H497" t="s">
        <v>38</v>
      </c>
      <c r="I497" t="s">
        <v>66</v>
      </c>
      <c r="J497" t="s">
        <v>67</v>
      </c>
      <c r="K497" t="s">
        <v>68</v>
      </c>
      <c r="L497" t="s">
        <v>1431</v>
      </c>
      <c r="M497" t="s">
        <v>43</v>
      </c>
      <c r="N497" t="s">
        <v>77</v>
      </c>
      <c r="O497" t="s">
        <v>96</v>
      </c>
      <c r="P497">
        <v>5</v>
      </c>
      <c r="Q497">
        <v>2315.7399999999998</v>
      </c>
      <c r="R497" s="19">
        <v>0.05</v>
      </c>
      <c r="S497" s="21">
        <v>578.94000000000005</v>
      </c>
      <c r="T497">
        <v>11578.7</v>
      </c>
      <c r="U497" s="2">
        <v>10999.76</v>
      </c>
      <c r="V497">
        <v>141.83000000000001</v>
      </c>
      <c r="W497">
        <v>6408.18</v>
      </c>
      <c r="X497" s="2">
        <v>4449.75</v>
      </c>
      <c r="Y497">
        <v>0.40450000000000003</v>
      </c>
      <c r="Z497">
        <v>0</v>
      </c>
      <c r="AA497" t="s">
        <v>97</v>
      </c>
      <c r="AB497" t="s">
        <v>47</v>
      </c>
      <c r="AE497" s="2">
        <v>12094.47</v>
      </c>
      <c r="AF497">
        <v>0.90949999999999998</v>
      </c>
      <c r="AG497" t="s">
        <v>49</v>
      </c>
      <c r="AH497" s="23">
        <f>SUM(Amazon_Data_Set[[#This Row],[Gross Sales]]-Amazon_Data_Set[[#This Row],[Discount Amount]])</f>
        <v>10999.76</v>
      </c>
    </row>
    <row r="498" spans="1:34">
      <c r="A498" t="s">
        <v>1432</v>
      </c>
      <c r="B498" s="1">
        <v>46315</v>
      </c>
      <c r="C498" t="str">
        <f>TEXT(Amazon_Data_Set[[#This Row],[Order Date]],"mmm")</f>
        <v>Oct</v>
      </c>
      <c r="D498" t="s">
        <v>714</v>
      </c>
      <c r="E498" t="s">
        <v>109</v>
      </c>
      <c r="F498" t="s">
        <v>110</v>
      </c>
      <c r="G498" t="s">
        <v>111</v>
      </c>
      <c r="H498" t="s">
        <v>83</v>
      </c>
      <c r="I498" t="s">
        <v>102</v>
      </c>
      <c r="J498" t="s">
        <v>259</v>
      </c>
      <c r="K498" t="s">
        <v>260</v>
      </c>
      <c r="L498" t="s">
        <v>1433</v>
      </c>
      <c r="M498" t="s">
        <v>106</v>
      </c>
      <c r="N498" t="s">
        <v>77</v>
      </c>
      <c r="O498" t="s">
        <v>130</v>
      </c>
      <c r="P498">
        <v>4</v>
      </c>
      <c r="Q498">
        <v>641.14</v>
      </c>
      <c r="R498" s="19">
        <v>0.05</v>
      </c>
      <c r="S498" s="21">
        <v>128.22999999999999</v>
      </c>
      <c r="T498">
        <v>2564.56</v>
      </c>
      <c r="U498" s="2">
        <v>2436.33</v>
      </c>
      <c r="V498">
        <v>0.8</v>
      </c>
      <c r="W498">
        <v>1828.03</v>
      </c>
      <c r="X498" s="2">
        <v>607.5</v>
      </c>
      <c r="Y498">
        <v>0.24940000000000001</v>
      </c>
      <c r="Z498">
        <v>4</v>
      </c>
      <c r="AA498" t="s">
        <v>131</v>
      </c>
      <c r="AB498" t="s">
        <v>47</v>
      </c>
      <c r="AE498" s="2">
        <v>2114.5500000000002</v>
      </c>
      <c r="AF498">
        <v>1.1521999999999999</v>
      </c>
      <c r="AG498" t="s">
        <v>49</v>
      </c>
      <c r="AH498" s="23">
        <f>SUM(Amazon_Data_Set[[#This Row],[Gross Sales]]-Amazon_Data_Set[[#This Row],[Discount Amount]])</f>
        <v>2436.33</v>
      </c>
    </row>
    <row r="499" spans="1:34">
      <c r="A499" t="s">
        <v>1434</v>
      </c>
      <c r="B499" s="1">
        <v>46321</v>
      </c>
      <c r="C499" t="str">
        <f>TEXT(Amazon_Data_Set[[#This Row],[Order Date]],"mmm")</f>
        <v>Oct</v>
      </c>
      <c r="D499" t="s">
        <v>1435</v>
      </c>
      <c r="E499" t="s">
        <v>235</v>
      </c>
      <c r="F499" t="s">
        <v>236</v>
      </c>
      <c r="G499" t="s">
        <v>82</v>
      </c>
      <c r="H499" t="s">
        <v>90</v>
      </c>
      <c r="I499" t="s">
        <v>91</v>
      </c>
      <c r="J499" t="s">
        <v>313</v>
      </c>
      <c r="K499" t="s">
        <v>314</v>
      </c>
      <c r="L499" t="s">
        <v>1436</v>
      </c>
      <c r="M499" t="s">
        <v>43</v>
      </c>
      <c r="N499" t="s">
        <v>95</v>
      </c>
      <c r="O499" t="s">
        <v>45</v>
      </c>
      <c r="P499">
        <v>4</v>
      </c>
      <c r="Q499">
        <v>332.26</v>
      </c>
      <c r="R499" s="19">
        <v>0.05</v>
      </c>
      <c r="S499" s="21">
        <v>66.45</v>
      </c>
      <c r="T499">
        <v>1329.04</v>
      </c>
      <c r="U499" s="2">
        <v>1262.5899999999999</v>
      </c>
      <c r="V499">
        <v>201.69</v>
      </c>
      <c r="W499">
        <v>978.06</v>
      </c>
      <c r="X499" s="2">
        <v>82.84</v>
      </c>
      <c r="Y499">
        <v>6.5600000000000006E-2</v>
      </c>
      <c r="Z499">
        <v>7</v>
      </c>
      <c r="AA499" t="s">
        <v>61</v>
      </c>
      <c r="AB499" t="s">
        <v>47</v>
      </c>
      <c r="AD499">
        <v>3</v>
      </c>
      <c r="AE499" s="2">
        <v>1530.83</v>
      </c>
      <c r="AF499">
        <v>0.82479999999999998</v>
      </c>
      <c r="AG499" t="s">
        <v>49</v>
      </c>
      <c r="AH499" s="23">
        <f>SUM(Amazon_Data_Set[[#This Row],[Gross Sales]]-Amazon_Data_Set[[#This Row],[Discount Amount]])</f>
        <v>1262.5899999999999</v>
      </c>
    </row>
    <row r="500" spans="1:34">
      <c r="A500" t="s">
        <v>1437</v>
      </c>
      <c r="B500" s="1">
        <v>46250</v>
      </c>
      <c r="C500" t="str">
        <f>TEXT(Amazon_Data_Set[[#This Row],[Order Date]],"mmm")</f>
        <v>Aug</v>
      </c>
      <c r="D500" t="s">
        <v>1415</v>
      </c>
      <c r="E500" t="s">
        <v>52</v>
      </c>
      <c r="F500" t="s">
        <v>53</v>
      </c>
      <c r="G500" t="s">
        <v>54</v>
      </c>
      <c r="H500" t="s">
        <v>83</v>
      </c>
      <c r="I500" t="s">
        <v>188</v>
      </c>
      <c r="J500" t="s">
        <v>475</v>
      </c>
      <c r="K500" t="s">
        <v>476</v>
      </c>
      <c r="L500" t="s">
        <v>1438</v>
      </c>
      <c r="M500" t="s">
        <v>106</v>
      </c>
      <c r="N500" t="s">
        <v>60</v>
      </c>
      <c r="O500" t="s">
        <v>45</v>
      </c>
      <c r="P500">
        <v>4</v>
      </c>
      <c r="Q500">
        <v>289.33999999999997</v>
      </c>
      <c r="R500" s="19">
        <v>0.15</v>
      </c>
      <c r="S500" s="21">
        <v>173.6</v>
      </c>
      <c r="T500">
        <v>1157.3599999999999</v>
      </c>
      <c r="U500" s="2">
        <v>983.76</v>
      </c>
      <c r="V500">
        <v>87.48</v>
      </c>
      <c r="W500">
        <v>645.16999999999996</v>
      </c>
      <c r="X500" s="2">
        <v>251.11</v>
      </c>
      <c r="Y500">
        <v>0.25530000000000003</v>
      </c>
      <c r="Z500">
        <v>3</v>
      </c>
      <c r="AA500" t="s">
        <v>46</v>
      </c>
      <c r="AB500" t="s">
        <v>47</v>
      </c>
      <c r="AD500">
        <v>4</v>
      </c>
      <c r="AE500" s="2">
        <v>840.44</v>
      </c>
      <c r="AF500">
        <v>1.1705000000000001</v>
      </c>
      <c r="AG500" t="s">
        <v>49</v>
      </c>
      <c r="AH500" s="23">
        <f>SUM(Amazon_Data_Set[[#This Row],[Gross Sales]]-Amazon_Data_Set[[#This Row],[Discount Amount]])</f>
        <v>983.75999999999988</v>
      </c>
    </row>
    <row r="501" spans="1:34">
      <c r="A501" t="s">
        <v>1439</v>
      </c>
      <c r="B501" s="1">
        <v>46366</v>
      </c>
      <c r="C501" t="str">
        <f>TEXT(Amazon_Data_Set[[#This Row],[Order Date]],"mmm")</f>
        <v>Dec</v>
      </c>
      <c r="D501" t="s">
        <v>1005</v>
      </c>
      <c r="E501" t="s">
        <v>140</v>
      </c>
      <c r="F501" t="s">
        <v>141</v>
      </c>
      <c r="G501" t="s">
        <v>54</v>
      </c>
      <c r="H501" t="s">
        <v>142</v>
      </c>
      <c r="I501" t="s">
        <v>214</v>
      </c>
      <c r="J501" t="s">
        <v>350</v>
      </c>
      <c r="K501" t="s">
        <v>351</v>
      </c>
      <c r="L501" t="s">
        <v>1440</v>
      </c>
      <c r="M501" t="s">
        <v>106</v>
      </c>
      <c r="N501" t="s">
        <v>95</v>
      </c>
      <c r="O501" t="s">
        <v>45</v>
      </c>
      <c r="P501">
        <v>5</v>
      </c>
      <c r="Q501">
        <v>6041.61</v>
      </c>
      <c r="R501" s="19">
        <v>0.2</v>
      </c>
      <c r="S501" s="21">
        <v>6041.61</v>
      </c>
      <c r="T501">
        <v>30208.05</v>
      </c>
      <c r="U501" s="2">
        <v>24166.44</v>
      </c>
      <c r="V501">
        <v>171.68</v>
      </c>
      <c r="W501">
        <v>12530.34</v>
      </c>
      <c r="X501" s="2">
        <v>11464.42</v>
      </c>
      <c r="Y501">
        <v>0.47439999999999999</v>
      </c>
      <c r="Z501">
        <v>8</v>
      </c>
      <c r="AA501" t="s">
        <v>61</v>
      </c>
      <c r="AB501" t="s">
        <v>47</v>
      </c>
      <c r="AD501">
        <v>3</v>
      </c>
      <c r="AE501" s="2">
        <v>22770.66</v>
      </c>
      <c r="AF501">
        <v>1.0612999999999999</v>
      </c>
      <c r="AG501" t="s">
        <v>49</v>
      </c>
      <c r="AH501" s="23">
        <f>SUM(Amazon_Data_Set[[#This Row],[Gross Sales]]-Amazon_Data_Set[[#This Row],[Discount Amount]])</f>
        <v>24166.44</v>
      </c>
    </row>
    <row r="502" spans="1:34">
      <c r="A502" t="s">
        <v>1441</v>
      </c>
      <c r="B502" s="1">
        <v>46184</v>
      </c>
      <c r="C502" t="str">
        <f>TEXT(Amazon_Data_Set[[#This Row],[Order Date]],"mmm")</f>
        <v>Jun</v>
      </c>
      <c r="D502" t="s">
        <v>868</v>
      </c>
      <c r="E502" t="s">
        <v>275</v>
      </c>
      <c r="F502" t="s">
        <v>276</v>
      </c>
      <c r="G502" t="s">
        <v>37</v>
      </c>
      <c r="H502" t="s">
        <v>142</v>
      </c>
      <c r="I502" t="s">
        <v>209</v>
      </c>
      <c r="J502" t="s">
        <v>210</v>
      </c>
      <c r="K502" t="s">
        <v>201</v>
      </c>
      <c r="L502" t="s">
        <v>1442</v>
      </c>
      <c r="M502" t="s">
        <v>106</v>
      </c>
      <c r="N502" t="s">
        <v>44</v>
      </c>
      <c r="O502" t="s">
        <v>45</v>
      </c>
      <c r="P502">
        <v>1</v>
      </c>
      <c r="Q502">
        <v>9485.83</v>
      </c>
      <c r="R502" s="19">
        <v>0.25</v>
      </c>
      <c r="S502" s="21">
        <v>2371.46</v>
      </c>
      <c r="T502">
        <v>9485.83</v>
      </c>
      <c r="U502" s="2">
        <v>7114.37</v>
      </c>
      <c r="V502">
        <v>116.53</v>
      </c>
      <c r="W502">
        <v>3890.23</v>
      </c>
      <c r="X502" s="2">
        <v>3107.61</v>
      </c>
      <c r="Y502">
        <v>0.43680000000000002</v>
      </c>
      <c r="Z502">
        <v>5</v>
      </c>
      <c r="AA502" t="s">
        <v>61</v>
      </c>
      <c r="AB502" t="s">
        <v>47</v>
      </c>
      <c r="AD502">
        <v>5</v>
      </c>
      <c r="AE502" s="2">
        <v>6172.05</v>
      </c>
      <c r="AF502">
        <v>1.1527000000000001</v>
      </c>
      <c r="AG502" t="s">
        <v>49</v>
      </c>
      <c r="AH502" s="23">
        <f>SUM(Amazon_Data_Set[[#This Row],[Gross Sales]]-Amazon_Data_Set[[#This Row],[Discount Amount]])</f>
        <v>7114.37</v>
      </c>
    </row>
    <row r="503" spans="1:34">
      <c r="A503" t="s">
        <v>1443</v>
      </c>
      <c r="B503" s="1">
        <v>46118</v>
      </c>
      <c r="C503" t="str">
        <f>TEXT(Amazon_Data_Set[[#This Row],[Order Date]],"mmm")</f>
        <v>Apr</v>
      </c>
      <c r="D503" t="s">
        <v>1444</v>
      </c>
      <c r="E503" t="s">
        <v>100</v>
      </c>
      <c r="F503" t="s">
        <v>179</v>
      </c>
      <c r="G503" t="s">
        <v>54</v>
      </c>
      <c r="H503" t="s">
        <v>142</v>
      </c>
      <c r="I503" t="s">
        <v>209</v>
      </c>
      <c r="J503" t="s">
        <v>511</v>
      </c>
      <c r="K503" t="s">
        <v>512</v>
      </c>
      <c r="L503" t="s">
        <v>1445</v>
      </c>
      <c r="M503" t="s">
        <v>43</v>
      </c>
      <c r="N503" t="s">
        <v>60</v>
      </c>
      <c r="O503" t="s">
        <v>45</v>
      </c>
      <c r="P503">
        <v>4</v>
      </c>
      <c r="Q503">
        <v>8557.6</v>
      </c>
      <c r="R503" s="19">
        <v>0</v>
      </c>
      <c r="S503" s="21">
        <v>0</v>
      </c>
      <c r="T503">
        <v>34230.400000000001</v>
      </c>
      <c r="U503" s="2">
        <v>34230.400000000001</v>
      </c>
      <c r="V503">
        <v>164.26</v>
      </c>
      <c r="W503">
        <v>26038.15</v>
      </c>
      <c r="X503" s="2">
        <v>8027.99</v>
      </c>
      <c r="Y503">
        <v>0.23449999999999999</v>
      </c>
      <c r="Z503">
        <v>7</v>
      </c>
      <c r="AA503" t="s">
        <v>61</v>
      </c>
      <c r="AB503" t="s">
        <v>48</v>
      </c>
      <c r="AC503" t="s">
        <v>520</v>
      </c>
      <c r="AD503">
        <v>5</v>
      </c>
      <c r="AE503" s="2">
        <v>30738.55</v>
      </c>
      <c r="AF503">
        <v>1.1135999999999999</v>
      </c>
      <c r="AG503" t="s">
        <v>49</v>
      </c>
      <c r="AH503" s="23">
        <f>SUM(Amazon_Data_Set[[#This Row],[Gross Sales]]-Amazon_Data_Set[[#This Row],[Discount Amount]])</f>
        <v>34230.400000000001</v>
      </c>
    </row>
    <row r="504" spans="1:34">
      <c r="A504" t="s">
        <v>1446</v>
      </c>
      <c r="B504" s="1">
        <v>46251</v>
      </c>
      <c r="C504" t="str">
        <f>TEXT(Amazon_Data_Set[[#This Row],[Order Date]],"mmm")</f>
        <v>Aug</v>
      </c>
      <c r="D504" t="s">
        <v>187</v>
      </c>
      <c r="E504" t="s">
        <v>140</v>
      </c>
      <c r="F504" t="s">
        <v>141</v>
      </c>
      <c r="G504" t="s">
        <v>54</v>
      </c>
      <c r="H504" t="s">
        <v>55</v>
      </c>
      <c r="I504" t="s">
        <v>56</v>
      </c>
      <c r="J504" t="s">
        <v>582</v>
      </c>
      <c r="K504" t="s">
        <v>583</v>
      </c>
      <c r="L504" t="s">
        <v>1447</v>
      </c>
      <c r="M504" t="s">
        <v>43</v>
      </c>
      <c r="N504" t="s">
        <v>44</v>
      </c>
      <c r="O504" t="s">
        <v>45</v>
      </c>
      <c r="P504">
        <v>5</v>
      </c>
      <c r="Q504">
        <v>38000.870000000003</v>
      </c>
      <c r="R504" s="19">
        <v>0.2</v>
      </c>
      <c r="S504" s="21">
        <v>38000.870000000003</v>
      </c>
      <c r="T504">
        <v>190004.35</v>
      </c>
      <c r="U504" s="2">
        <v>152003.48000000001</v>
      </c>
      <c r="V504">
        <v>42.54</v>
      </c>
      <c r="W504">
        <v>106575.11</v>
      </c>
      <c r="X504" s="2">
        <v>45385.83</v>
      </c>
      <c r="Y504">
        <v>0.29859999999999998</v>
      </c>
      <c r="Z504">
        <v>1</v>
      </c>
      <c r="AA504" t="s">
        <v>46</v>
      </c>
      <c r="AB504" t="s">
        <v>48</v>
      </c>
      <c r="AC504" t="s">
        <v>320</v>
      </c>
      <c r="AD504">
        <v>4</v>
      </c>
      <c r="AE504" s="2">
        <v>131994.75</v>
      </c>
      <c r="AF504">
        <v>1.1516</v>
      </c>
      <c r="AG504" t="s">
        <v>49</v>
      </c>
      <c r="AH504" s="23">
        <f>SUM(Amazon_Data_Set[[#This Row],[Gross Sales]]-Amazon_Data_Set[[#This Row],[Discount Amount]])</f>
        <v>152003.48000000001</v>
      </c>
    </row>
    <row r="505" spans="1:34">
      <c r="A505" t="s">
        <v>1448</v>
      </c>
      <c r="B505" s="1">
        <v>46355</v>
      </c>
      <c r="C505" t="str">
        <f>TEXT(Amazon_Data_Set[[#This Row],[Order Date]],"mmm")</f>
        <v>Nov</v>
      </c>
      <c r="D505" t="s">
        <v>1136</v>
      </c>
      <c r="E505" t="s">
        <v>109</v>
      </c>
      <c r="F505" t="s">
        <v>154</v>
      </c>
      <c r="G505" t="s">
        <v>111</v>
      </c>
      <c r="H505" t="s">
        <v>90</v>
      </c>
      <c r="I505" t="s">
        <v>112</v>
      </c>
      <c r="J505" t="s">
        <v>134</v>
      </c>
      <c r="K505" t="s">
        <v>135</v>
      </c>
      <c r="L505" t="s">
        <v>1449</v>
      </c>
      <c r="M505" t="s">
        <v>43</v>
      </c>
      <c r="N505" t="s">
        <v>77</v>
      </c>
      <c r="O505" t="s">
        <v>45</v>
      </c>
      <c r="P505">
        <v>5</v>
      </c>
      <c r="Q505">
        <v>250.55</v>
      </c>
      <c r="R505" s="19">
        <v>0.05</v>
      </c>
      <c r="S505" s="21">
        <v>62.64</v>
      </c>
      <c r="T505">
        <v>1252.75</v>
      </c>
      <c r="U505" s="2">
        <v>1190.1099999999999</v>
      </c>
      <c r="V505">
        <v>41.35</v>
      </c>
      <c r="W505">
        <v>813.71</v>
      </c>
      <c r="X505" s="2">
        <v>335.05</v>
      </c>
      <c r="Y505">
        <v>0.28149999999999997</v>
      </c>
      <c r="Z505">
        <v>7</v>
      </c>
      <c r="AA505" t="s">
        <v>61</v>
      </c>
      <c r="AB505" t="s">
        <v>47</v>
      </c>
      <c r="AD505">
        <v>4</v>
      </c>
      <c r="AE505" s="2">
        <v>1235.95</v>
      </c>
      <c r="AF505">
        <v>0.96289999999999998</v>
      </c>
      <c r="AG505" t="s">
        <v>49</v>
      </c>
      <c r="AH505" s="23">
        <f>SUM(Amazon_Data_Set[[#This Row],[Gross Sales]]-Amazon_Data_Set[[#This Row],[Discount Amount]])</f>
        <v>1190.1099999999999</v>
      </c>
    </row>
    <row r="506" spans="1:34">
      <c r="A506" t="s">
        <v>1450</v>
      </c>
      <c r="B506" s="1">
        <v>46346</v>
      </c>
      <c r="C506" t="str">
        <f>TEXT(Amazon_Data_Set[[#This Row],[Order Date]],"mmm")</f>
        <v>Nov</v>
      </c>
      <c r="D506" t="s">
        <v>901</v>
      </c>
      <c r="E506" t="s">
        <v>100</v>
      </c>
      <c r="F506" t="s">
        <v>101</v>
      </c>
      <c r="G506" t="s">
        <v>54</v>
      </c>
      <c r="H506" t="s">
        <v>142</v>
      </c>
      <c r="I506" t="s">
        <v>214</v>
      </c>
      <c r="J506" t="s">
        <v>215</v>
      </c>
      <c r="K506" t="s">
        <v>216</v>
      </c>
      <c r="L506" t="s">
        <v>1451</v>
      </c>
      <c r="M506" t="s">
        <v>106</v>
      </c>
      <c r="N506" t="s">
        <v>60</v>
      </c>
      <c r="O506" t="s">
        <v>45</v>
      </c>
      <c r="P506">
        <v>3</v>
      </c>
      <c r="Q506">
        <v>4272.28</v>
      </c>
      <c r="R506" s="19">
        <v>0.25</v>
      </c>
      <c r="S506" s="21">
        <v>3204.21</v>
      </c>
      <c r="T506">
        <v>12816.84</v>
      </c>
      <c r="U506" s="2">
        <v>9612.6299999999992</v>
      </c>
      <c r="V506">
        <v>122.26</v>
      </c>
      <c r="W506">
        <v>6272.05</v>
      </c>
      <c r="X506" s="2">
        <v>3218.32</v>
      </c>
      <c r="Y506">
        <v>0.33479999999999999</v>
      </c>
      <c r="Z506">
        <v>6</v>
      </c>
      <c r="AA506" t="s">
        <v>61</v>
      </c>
      <c r="AB506" t="s">
        <v>47</v>
      </c>
      <c r="AD506">
        <v>4</v>
      </c>
      <c r="AE506" s="2">
        <v>10000.209999999999</v>
      </c>
      <c r="AF506">
        <v>0.96120000000000005</v>
      </c>
      <c r="AG506" t="s">
        <v>49</v>
      </c>
      <c r="AH506" s="23">
        <f>SUM(Amazon_Data_Set[[#This Row],[Gross Sales]]-Amazon_Data_Set[[#This Row],[Discount Amount]])</f>
        <v>9612.630000000001</v>
      </c>
    </row>
    <row r="507" spans="1:34">
      <c r="A507" t="s">
        <v>1452</v>
      </c>
      <c r="B507" s="1">
        <v>46198</v>
      </c>
      <c r="C507" t="str">
        <f>TEXT(Amazon_Data_Set[[#This Row],[Order Date]],"mmm")</f>
        <v>Jun</v>
      </c>
      <c r="D507" t="s">
        <v>537</v>
      </c>
      <c r="E507" t="s">
        <v>52</v>
      </c>
      <c r="F507" t="s">
        <v>53</v>
      </c>
      <c r="G507" t="s">
        <v>54</v>
      </c>
      <c r="H507" t="s">
        <v>55</v>
      </c>
      <c r="I507" t="s">
        <v>56</v>
      </c>
      <c r="J507" t="s">
        <v>582</v>
      </c>
      <c r="K507" t="s">
        <v>583</v>
      </c>
      <c r="L507" t="s">
        <v>1453</v>
      </c>
      <c r="M507" t="s">
        <v>43</v>
      </c>
      <c r="N507" t="s">
        <v>70</v>
      </c>
      <c r="O507" t="s">
        <v>96</v>
      </c>
      <c r="P507">
        <v>2</v>
      </c>
      <c r="Q507">
        <v>20681.02</v>
      </c>
      <c r="R507" s="19">
        <v>0</v>
      </c>
      <c r="S507" s="21">
        <v>0</v>
      </c>
      <c r="T507">
        <v>41362.04</v>
      </c>
      <c r="U507" s="2">
        <v>41362.04</v>
      </c>
      <c r="V507">
        <v>221.98</v>
      </c>
      <c r="W507">
        <v>26289.93</v>
      </c>
      <c r="X507" s="2">
        <v>14850.13</v>
      </c>
      <c r="Y507">
        <v>0.35899999999999999</v>
      </c>
      <c r="Z507">
        <v>0</v>
      </c>
      <c r="AA507" t="s">
        <v>97</v>
      </c>
      <c r="AB507" t="s">
        <v>47</v>
      </c>
      <c r="AE507" s="2">
        <v>40698.06</v>
      </c>
      <c r="AF507">
        <v>1.0163</v>
      </c>
      <c r="AG507" t="s">
        <v>49</v>
      </c>
      <c r="AH507" s="23">
        <f>SUM(Amazon_Data_Set[[#This Row],[Gross Sales]]-Amazon_Data_Set[[#This Row],[Discount Amount]])</f>
        <v>41362.04</v>
      </c>
    </row>
    <row r="508" spans="1:34">
      <c r="A508" t="s">
        <v>1454</v>
      </c>
      <c r="B508" s="1">
        <v>46028</v>
      </c>
      <c r="C508" t="str">
        <f>TEXT(Amazon_Data_Set[[#This Row],[Order Date]],"mmm")</f>
        <v>Jan</v>
      </c>
      <c r="D508" t="s">
        <v>1455</v>
      </c>
      <c r="E508" t="s">
        <v>275</v>
      </c>
      <c r="F508" t="s">
        <v>276</v>
      </c>
      <c r="G508" t="s">
        <v>37</v>
      </c>
      <c r="H508" t="s">
        <v>55</v>
      </c>
      <c r="I508" t="s">
        <v>56</v>
      </c>
      <c r="J508" t="s">
        <v>582</v>
      </c>
      <c r="K508" t="s">
        <v>583</v>
      </c>
      <c r="L508" t="s">
        <v>1456</v>
      </c>
      <c r="M508" t="s">
        <v>106</v>
      </c>
      <c r="N508" t="s">
        <v>44</v>
      </c>
      <c r="O508" t="s">
        <v>45</v>
      </c>
      <c r="P508">
        <v>1</v>
      </c>
      <c r="Q508">
        <v>46125.07</v>
      </c>
      <c r="R508" s="19">
        <v>0.2</v>
      </c>
      <c r="S508" s="21">
        <v>9225.01</v>
      </c>
      <c r="T508">
        <v>46125.07</v>
      </c>
      <c r="U508" s="2">
        <v>36900.06</v>
      </c>
      <c r="V508">
        <v>227.14</v>
      </c>
      <c r="W508">
        <v>26634.07</v>
      </c>
      <c r="X508" s="2">
        <v>10038.85</v>
      </c>
      <c r="Y508">
        <v>0.27210000000000001</v>
      </c>
      <c r="Z508">
        <v>3</v>
      </c>
      <c r="AA508" t="s">
        <v>46</v>
      </c>
      <c r="AB508" t="s">
        <v>47</v>
      </c>
      <c r="AD508">
        <v>4</v>
      </c>
      <c r="AE508" s="2">
        <v>33429.269999999997</v>
      </c>
      <c r="AF508">
        <v>1.1037999999999999</v>
      </c>
      <c r="AG508" t="s">
        <v>49</v>
      </c>
      <c r="AH508" s="23">
        <f>SUM(Amazon_Data_Set[[#This Row],[Gross Sales]]-Amazon_Data_Set[[#This Row],[Discount Amount]])</f>
        <v>36900.06</v>
      </c>
    </row>
    <row r="509" spans="1:34">
      <c r="A509" t="s">
        <v>1457</v>
      </c>
      <c r="B509" s="1">
        <v>46383</v>
      </c>
      <c r="C509" t="str">
        <f>TEXT(Amazon_Data_Set[[#This Row],[Order Date]],"mmm")</f>
        <v>Dec</v>
      </c>
      <c r="D509" t="s">
        <v>1126</v>
      </c>
      <c r="E509" t="s">
        <v>109</v>
      </c>
      <c r="F509" t="s">
        <v>154</v>
      </c>
      <c r="G509" t="s">
        <v>111</v>
      </c>
      <c r="H509" t="s">
        <v>142</v>
      </c>
      <c r="I509" t="s">
        <v>214</v>
      </c>
      <c r="J509" t="s">
        <v>215</v>
      </c>
      <c r="K509" t="s">
        <v>216</v>
      </c>
      <c r="L509" t="s">
        <v>1458</v>
      </c>
      <c r="M509" t="s">
        <v>106</v>
      </c>
      <c r="N509" t="s">
        <v>95</v>
      </c>
      <c r="O509" t="s">
        <v>96</v>
      </c>
      <c r="P509">
        <v>2</v>
      </c>
      <c r="Q509">
        <v>6244.71</v>
      </c>
      <c r="R509" s="19">
        <v>0.1</v>
      </c>
      <c r="S509" s="21">
        <v>1248.94</v>
      </c>
      <c r="T509">
        <v>12489.42</v>
      </c>
      <c r="U509" s="2">
        <v>11240.48</v>
      </c>
      <c r="V509">
        <v>233.68</v>
      </c>
      <c r="W509">
        <v>6197.48</v>
      </c>
      <c r="X509" s="2">
        <v>4809.32</v>
      </c>
      <c r="Y509">
        <v>0.4279</v>
      </c>
      <c r="Z509">
        <v>0</v>
      </c>
      <c r="AA509" t="s">
        <v>97</v>
      </c>
      <c r="AB509" t="s">
        <v>47</v>
      </c>
      <c r="AE509" s="2">
        <v>10341.75</v>
      </c>
      <c r="AF509">
        <v>1.0869</v>
      </c>
      <c r="AG509" t="s">
        <v>347</v>
      </c>
      <c r="AH509" s="23">
        <f>SUM(Amazon_Data_Set[[#This Row],[Gross Sales]]-Amazon_Data_Set[[#This Row],[Discount Amount]])</f>
        <v>11240.48</v>
      </c>
    </row>
    <row r="510" spans="1:34">
      <c r="A510" t="s">
        <v>1459</v>
      </c>
      <c r="B510" s="1">
        <v>46316</v>
      </c>
      <c r="C510" t="str">
        <f>TEXT(Amazon_Data_Set[[#This Row],[Order Date]],"mmm")</f>
        <v>Oct</v>
      </c>
      <c r="D510" t="s">
        <v>1460</v>
      </c>
      <c r="E510" t="s">
        <v>174</v>
      </c>
      <c r="F510" t="s">
        <v>175</v>
      </c>
      <c r="G510" t="s">
        <v>82</v>
      </c>
      <c r="H510" t="s">
        <v>90</v>
      </c>
      <c r="I510" t="s">
        <v>91</v>
      </c>
      <c r="J510" t="s">
        <v>92</v>
      </c>
      <c r="K510" t="s">
        <v>93</v>
      </c>
      <c r="L510" t="s">
        <v>1461</v>
      </c>
      <c r="M510" t="s">
        <v>43</v>
      </c>
      <c r="N510" t="s">
        <v>124</v>
      </c>
      <c r="O510" t="s">
        <v>45</v>
      </c>
      <c r="P510">
        <v>5</v>
      </c>
      <c r="Q510">
        <v>153.25</v>
      </c>
      <c r="R510" s="19">
        <v>0.15</v>
      </c>
      <c r="S510" s="21">
        <v>114.94</v>
      </c>
      <c r="T510">
        <v>766.25</v>
      </c>
      <c r="U510" s="2">
        <v>651.30999999999995</v>
      </c>
      <c r="V510">
        <v>142.33000000000001</v>
      </c>
      <c r="W510">
        <v>450.41</v>
      </c>
      <c r="X510" s="2">
        <v>58.57</v>
      </c>
      <c r="Y510">
        <v>8.9899999999999994E-2</v>
      </c>
      <c r="Z510">
        <v>4</v>
      </c>
      <c r="AA510" t="s">
        <v>46</v>
      </c>
      <c r="AB510" t="s">
        <v>47</v>
      </c>
      <c r="AD510">
        <v>5</v>
      </c>
      <c r="AE510" s="2">
        <v>566.96</v>
      </c>
      <c r="AF510">
        <v>1.1488</v>
      </c>
      <c r="AG510" t="s">
        <v>49</v>
      </c>
      <c r="AH510" s="23">
        <f>SUM(Amazon_Data_Set[[#This Row],[Gross Sales]]-Amazon_Data_Set[[#This Row],[Discount Amount]])</f>
        <v>651.30999999999995</v>
      </c>
    </row>
    <row r="511" spans="1:34">
      <c r="A511" t="s">
        <v>1462</v>
      </c>
      <c r="B511" s="1">
        <v>46371</v>
      </c>
      <c r="C511" t="str">
        <f>TEXT(Amazon_Data_Set[[#This Row],[Order Date]],"mmm")</f>
        <v>Dec</v>
      </c>
      <c r="D511" t="s">
        <v>285</v>
      </c>
      <c r="E511" t="s">
        <v>194</v>
      </c>
      <c r="F511" t="s">
        <v>195</v>
      </c>
      <c r="G511" t="s">
        <v>111</v>
      </c>
      <c r="H511" t="s">
        <v>55</v>
      </c>
      <c r="I511" t="s">
        <v>120</v>
      </c>
      <c r="J511" t="s">
        <v>127</v>
      </c>
      <c r="K511" t="s">
        <v>128</v>
      </c>
      <c r="L511" t="s">
        <v>1463</v>
      </c>
      <c r="M511" t="s">
        <v>106</v>
      </c>
      <c r="N511" t="s">
        <v>124</v>
      </c>
      <c r="O511" t="s">
        <v>45</v>
      </c>
      <c r="P511">
        <v>4</v>
      </c>
      <c r="Q511">
        <v>27389.119999999999</v>
      </c>
      <c r="R511" s="19">
        <v>0.2</v>
      </c>
      <c r="S511" s="21">
        <v>21911.3</v>
      </c>
      <c r="T511">
        <v>109556.48</v>
      </c>
      <c r="U511" s="2">
        <v>87645.18</v>
      </c>
      <c r="V511">
        <v>165.18</v>
      </c>
      <c r="W511">
        <v>66972.100000000006</v>
      </c>
      <c r="X511" s="2">
        <v>20507.900000000001</v>
      </c>
      <c r="Y511">
        <v>0.23400000000000001</v>
      </c>
      <c r="Z511">
        <v>6</v>
      </c>
      <c r="AA511" t="s">
        <v>61</v>
      </c>
      <c r="AB511" t="s">
        <v>47</v>
      </c>
      <c r="AD511">
        <v>5</v>
      </c>
      <c r="AE511" s="2">
        <v>75912.22</v>
      </c>
      <c r="AF511">
        <v>1.1546000000000001</v>
      </c>
      <c r="AG511" t="s">
        <v>49</v>
      </c>
      <c r="AH511" s="23">
        <f>SUM(Amazon_Data_Set[[#This Row],[Gross Sales]]-Amazon_Data_Set[[#This Row],[Discount Amount]])</f>
        <v>87645.18</v>
      </c>
    </row>
    <row r="512" spans="1:34">
      <c r="A512" t="s">
        <v>1464</v>
      </c>
      <c r="B512" s="1">
        <v>46164</v>
      </c>
      <c r="C512" t="str">
        <f>TEXT(Amazon_Data_Set[[#This Row],[Order Date]],"mmm")</f>
        <v>May</v>
      </c>
      <c r="D512" t="s">
        <v>1296</v>
      </c>
      <c r="E512" t="s">
        <v>194</v>
      </c>
      <c r="F512" t="s">
        <v>195</v>
      </c>
      <c r="G512" t="s">
        <v>111</v>
      </c>
      <c r="H512" t="s">
        <v>142</v>
      </c>
      <c r="I512" t="s">
        <v>214</v>
      </c>
      <c r="J512" t="s">
        <v>308</v>
      </c>
      <c r="K512" t="s">
        <v>309</v>
      </c>
      <c r="L512" t="s">
        <v>1465</v>
      </c>
      <c r="M512" t="s">
        <v>106</v>
      </c>
      <c r="N512" t="s">
        <v>77</v>
      </c>
      <c r="O512" t="s">
        <v>45</v>
      </c>
      <c r="P512">
        <v>5</v>
      </c>
      <c r="Q512">
        <v>11949.29</v>
      </c>
      <c r="R512" s="19">
        <v>0.05</v>
      </c>
      <c r="S512" s="21">
        <v>2987.32</v>
      </c>
      <c r="T512">
        <v>59746.45</v>
      </c>
      <c r="U512" s="2">
        <v>56759.13</v>
      </c>
      <c r="V512">
        <v>190.13</v>
      </c>
      <c r="W512">
        <v>31854.52</v>
      </c>
      <c r="X512" s="2">
        <v>24714.48</v>
      </c>
      <c r="Y512">
        <v>0.43540000000000001</v>
      </c>
      <c r="Z512">
        <v>6</v>
      </c>
      <c r="AA512" t="s">
        <v>61</v>
      </c>
      <c r="AB512" t="s">
        <v>47</v>
      </c>
      <c r="AD512">
        <v>5</v>
      </c>
      <c r="AE512" s="2">
        <v>64015</v>
      </c>
      <c r="AF512">
        <v>0.88670000000000004</v>
      </c>
      <c r="AG512" t="s">
        <v>49</v>
      </c>
      <c r="AH512" s="23">
        <f>SUM(Amazon_Data_Set[[#This Row],[Gross Sales]]-Amazon_Data_Set[[#This Row],[Discount Amount]])</f>
        <v>56759.13</v>
      </c>
    </row>
    <row r="513" spans="1:34">
      <c r="A513" t="s">
        <v>1466</v>
      </c>
      <c r="B513" s="1">
        <v>46105</v>
      </c>
      <c r="C513" t="str">
        <f>TEXT(Amazon_Data_Set[[#This Row],[Order Date]],"mmm")</f>
        <v>Mar</v>
      </c>
      <c r="D513" t="s">
        <v>1093</v>
      </c>
      <c r="E513" t="s">
        <v>52</v>
      </c>
      <c r="F513" t="s">
        <v>53</v>
      </c>
      <c r="G513" t="s">
        <v>54</v>
      </c>
      <c r="H513" t="s">
        <v>142</v>
      </c>
      <c r="I513" t="s">
        <v>214</v>
      </c>
      <c r="J513" t="s">
        <v>350</v>
      </c>
      <c r="K513" t="s">
        <v>351</v>
      </c>
      <c r="L513" t="s">
        <v>1467</v>
      </c>
      <c r="M513" t="s">
        <v>106</v>
      </c>
      <c r="N513" t="s">
        <v>60</v>
      </c>
      <c r="O513" t="s">
        <v>130</v>
      </c>
      <c r="P513">
        <v>5</v>
      </c>
      <c r="Q513">
        <v>11068.66</v>
      </c>
      <c r="R513" s="19">
        <v>0.2</v>
      </c>
      <c r="S513" s="21">
        <v>11068.66</v>
      </c>
      <c r="T513">
        <v>55343.3</v>
      </c>
      <c r="U513" s="2">
        <v>44274.64</v>
      </c>
      <c r="V513">
        <v>5.38</v>
      </c>
      <c r="W513">
        <v>30651.439999999999</v>
      </c>
      <c r="X513" s="2">
        <v>13617.82</v>
      </c>
      <c r="Y513">
        <v>0.30759999999999998</v>
      </c>
      <c r="Z513">
        <v>5</v>
      </c>
      <c r="AA513" t="s">
        <v>131</v>
      </c>
      <c r="AB513" t="s">
        <v>47</v>
      </c>
      <c r="AE513" s="2">
        <v>53393.91</v>
      </c>
      <c r="AF513">
        <v>0.82920000000000005</v>
      </c>
      <c r="AG513" t="s">
        <v>49</v>
      </c>
      <c r="AH513" s="23">
        <f>SUM(Amazon_Data_Set[[#This Row],[Gross Sales]]-Amazon_Data_Set[[#This Row],[Discount Amount]])</f>
        <v>44274.64</v>
      </c>
    </row>
    <row r="514" spans="1:34">
      <c r="A514" t="s">
        <v>1468</v>
      </c>
      <c r="B514" s="1">
        <v>46289</v>
      </c>
      <c r="C514" t="str">
        <f>TEXT(Amazon_Data_Set[[#This Row],[Order Date]],"mmm")</f>
        <v>Sep</v>
      </c>
      <c r="D514" t="s">
        <v>400</v>
      </c>
      <c r="E514" t="s">
        <v>235</v>
      </c>
      <c r="F514" t="s">
        <v>236</v>
      </c>
      <c r="G514" t="s">
        <v>82</v>
      </c>
      <c r="H514" t="s">
        <v>142</v>
      </c>
      <c r="I514" t="s">
        <v>209</v>
      </c>
      <c r="J514" t="s">
        <v>243</v>
      </c>
      <c r="K514" t="s">
        <v>145</v>
      </c>
      <c r="L514" t="s">
        <v>1469</v>
      </c>
      <c r="M514" t="s">
        <v>43</v>
      </c>
      <c r="N514" t="s">
        <v>95</v>
      </c>
      <c r="O514" t="s">
        <v>130</v>
      </c>
      <c r="P514">
        <v>3</v>
      </c>
      <c r="Q514">
        <v>7580.52</v>
      </c>
      <c r="R514" s="19">
        <v>0.3</v>
      </c>
      <c r="S514" s="21">
        <v>6822.47</v>
      </c>
      <c r="T514">
        <v>22741.56</v>
      </c>
      <c r="U514" s="2">
        <v>15919.09</v>
      </c>
      <c r="V514">
        <v>232.66</v>
      </c>
      <c r="W514">
        <v>10734.49</v>
      </c>
      <c r="X514" s="2">
        <v>4951.9399999999996</v>
      </c>
      <c r="Y514">
        <v>0.31109999999999999</v>
      </c>
      <c r="Z514">
        <v>7</v>
      </c>
      <c r="AA514" t="s">
        <v>131</v>
      </c>
      <c r="AB514" t="s">
        <v>47</v>
      </c>
      <c r="AE514" s="2">
        <v>16968.310000000001</v>
      </c>
      <c r="AF514">
        <v>0.93820000000000003</v>
      </c>
      <c r="AG514" t="s">
        <v>49</v>
      </c>
      <c r="AH514" s="23">
        <f>SUM(Amazon_Data_Set[[#This Row],[Gross Sales]]-Amazon_Data_Set[[#This Row],[Discount Amount]])</f>
        <v>15919.09</v>
      </c>
    </row>
    <row r="515" spans="1:34">
      <c r="A515" t="s">
        <v>1470</v>
      </c>
      <c r="B515" s="1">
        <v>46083</v>
      </c>
      <c r="C515" t="str">
        <f>TEXT(Amazon_Data_Set[[#This Row],[Order Date]],"mmm")</f>
        <v>Mar</v>
      </c>
      <c r="D515" t="s">
        <v>1471</v>
      </c>
      <c r="E515" t="s">
        <v>118</v>
      </c>
      <c r="F515" t="s">
        <v>119</v>
      </c>
      <c r="G515" t="s">
        <v>82</v>
      </c>
      <c r="H515" t="s">
        <v>38</v>
      </c>
      <c r="I515" t="s">
        <v>39</v>
      </c>
      <c r="J515" t="s">
        <v>281</v>
      </c>
      <c r="K515" t="s">
        <v>282</v>
      </c>
      <c r="L515" t="s">
        <v>1472</v>
      </c>
      <c r="M515" t="s">
        <v>106</v>
      </c>
      <c r="N515" t="s">
        <v>70</v>
      </c>
      <c r="O515" t="s">
        <v>45</v>
      </c>
      <c r="P515">
        <v>1</v>
      </c>
      <c r="Q515">
        <v>516.95000000000005</v>
      </c>
      <c r="R515" s="19">
        <v>0.3</v>
      </c>
      <c r="S515" s="21">
        <v>155.09</v>
      </c>
      <c r="T515">
        <v>516.95000000000005</v>
      </c>
      <c r="U515" s="2">
        <v>361.86</v>
      </c>
      <c r="V515">
        <v>41.88</v>
      </c>
      <c r="W515">
        <v>249.03</v>
      </c>
      <c r="X515" s="2">
        <v>70.95</v>
      </c>
      <c r="Y515">
        <v>0.1961</v>
      </c>
      <c r="Z515">
        <v>6</v>
      </c>
      <c r="AA515" t="s">
        <v>61</v>
      </c>
      <c r="AB515" t="s">
        <v>48</v>
      </c>
      <c r="AC515" t="s">
        <v>137</v>
      </c>
      <c r="AD515">
        <v>4</v>
      </c>
      <c r="AE515" s="2">
        <v>339.61</v>
      </c>
      <c r="AF515">
        <v>1.0654999999999999</v>
      </c>
      <c r="AG515" t="s">
        <v>49</v>
      </c>
      <c r="AH515" s="23">
        <f>SUM(Amazon_Data_Set[[#This Row],[Gross Sales]]-Amazon_Data_Set[[#This Row],[Discount Amount]])</f>
        <v>361.86</v>
      </c>
    </row>
    <row r="516" spans="1:34">
      <c r="A516" t="s">
        <v>1473</v>
      </c>
      <c r="B516" s="1">
        <v>46192</v>
      </c>
      <c r="C516" t="str">
        <f>TEXT(Amazon_Data_Set[[#This Row],[Order Date]],"mmm")</f>
        <v>Jun</v>
      </c>
      <c r="D516" t="s">
        <v>1474</v>
      </c>
      <c r="E516" t="s">
        <v>35</v>
      </c>
      <c r="F516" t="s">
        <v>36</v>
      </c>
      <c r="G516" t="s">
        <v>37</v>
      </c>
      <c r="H516" t="s">
        <v>83</v>
      </c>
      <c r="I516" t="s">
        <v>102</v>
      </c>
      <c r="J516" t="s">
        <v>103</v>
      </c>
      <c r="K516" t="s">
        <v>104</v>
      </c>
      <c r="L516" t="s">
        <v>1475</v>
      </c>
      <c r="M516" t="s">
        <v>106</v>
      </c>
      <c r="N516" t="s">
        <v>77</v>
      </c>
      <c r="O516" t="s">
        <v>45</v>
      </c>
      <c r="P516">
        <v>1</v>
      </c>
      <c r="Q516">
        <v>154.34</v>
      </c>
      <c r="R516" s="19">
        <v>0.3</v>
      </c>
      <c r="S516" s="21">
        <v>46.3</v>
      </c>
      <c r="T516">
        <v>154.34</v>
      </c>
      <c r="U516" s="2">
        <v>108.04</v>
      </c>
      <c r="V516">
        <v>63.47</v>
      </c>
      <c r="W516">
        <v>81.98</v>
      </c>
      <c r="X516" s="2">
        <v>-37.409999999999997</v>
      </c>
      <c r="Y516">
        <v>-0.3463</v>
      </c>
      <c r="Z516">
        <v>3</v>
      </c>
      <c r="AA516" t="s">
        <v>46</v>
      </c>
      <c r="AB516" t="s">
        <v>48</v>
      </c>
      <c r="AC516" t="s">
        <v>520</v>
      </c>
      <c r="AD516">
        <v>5</v>
      </c>
      <c r="AE516" s="2">
        <v>115.63</v>
      </c>
      <c r="AF516">
        <v>0.93440000000000001</v>
      </c>
      <c r="AG516" t="s">
        <v>49</v>
      </c>
      <c r="AH516" s="23">
        <f>SUM(Amazon_Data_Set[[#This Row],[Gross Sales]]-Amazon_Data_Set[[#This Row],[Discount Amount]])</f>
        <v>108.04</v>
      </c>
    </row>
    <row r="517" spans="1:34">
      <c r="A517" t="s">
        <v>1476</v>
      </c>
      <c r="B517" s="1">
        <v>46255</v>
      </c>
      <c r="C517" t="str">
        <f>TEXT(Amazon_Data_Set[[#This Row],[Order Date]],"mmm")</f>
        <v>Aug</v>
      </c>
      <c r="D517" t="s">
        <v>1278</v>
      </c>
      <c r="E517" t="s">
        <v>80</v>
      </c>
      <c r="F517" t="s">
        <v>81</v>
      </c>
      <c r="G517" t="s">
        <v>82</v>
      </c>
      <c r="H517" t="s">
        <v>142</v>
      </c>
      <c r="I517" t="s">
        <v>209</v>
      </c>
      <c r="J517" t="s">
        <v>243</v>
      </c>
      <c r="K517" t="s">
        <v>145</v>
      </c>
      <c r="L517" t="s">
        <v>1477</v>
      </c>
      <c r="M517" t="s">
        <v>43</v>
      </c>
      <c r="N517" t="s">
        <v>60</v>
      </c>
      <c r="O517" t="s">
        <v>45</v>
      </c>
      <c r="P517">
        <v>4</v>
      </c>
      <c r="Q517">
        <v>9501.92</v>
      </c>
      <c r="R517" s="19">
        <v>0.25</v>
      </c>
      <c r="S517" s="21">
        <v>9501.92</v>
      </c>
      <c r="T517">
        <v>38007.68</v>
      </c>
      <c r="U517" s="2">
        <v>28505.759999999998</v>
      </c>
      <c r="V517">
        <v>185.77</v>
      </c>
      <c r="W517">
        <v>20921.48</v>
      </c>
      <c r="X517" s="2">
        <v>7398.51</v>
      </c>
      <c r="Y517">
        <v>0.25950000000000001</v>
      </c>
      <c r="Z517">
        <v>2</v>
      </c>
      <c r="AA517" t="s">
        <v>46</v>
      </c>
      <c r="AB517" t="s">
        <v>47</v>
      </c>
      <c r="AD517">
        <v>3</v>
      </c>
      <c r="AE517" s="2">
        <v>25535.38</v>
      </c>
      <c r="AF517">
        <v>1.1163000000000001</v>
      </c>
      <c r="AG517" t="s">
        <v>49</v>
      </c>
      <c r="AH517" s="23">
        <f>SUM(Amazon_Data_Set[[#This Row],[Gross Sales]]-Amazon_Data_Set[[#This Row],[Discount Amount]])</f>
        <v>28505.760000000002</v>
      </c>
    </row>
    <row r="518" spans="1:34">
      <c r="A518" t="s">
        <v>1478</v>
      </c>
      <c r="B518" s="1">
        <v>46284</v>
      </c>
      <c r="C518" t="str">
        <f>TEXT(Amazon_Data_Set[[#This Row],[Order Date]],"mmm")</f>
        <v>Sep</v>
      </c>
      <c r="D518" t="s">
        <v>426</v>
      </c>
      <c r="E518" t="s">
        <v>109</v>
      </c>
      <c r="F518" t="s">
        <v>154</v>
      </c>
      <c r="G518" t="s">
        <v>111</v>
      </c>
      <c r="H518" t="s">
        <v>83</v>
      </c>
      <c r="I518" t="s">
        <v>188</v>
      </c>
      <c r="J518" t="s">
        <v>475</v>
      </c>
      <c r="K518" t="s">
        <v>476</v>
      </c>
      <c r="L518" t="s">
        <v>1479</v>
      </c>
      <c r="M518" t="s">
        <v>43</v>
      </c>
      <c r="N518" t="s">
        <v>124</v>
      </c>
      <c r="O518" t="s">
        <v>96</v>
      </c>
      <c r="P518">
        <v>3</v>
      </c>
      <c r="Q518">
        <v>839.85</v>
      </c>
      <c r="R518" s="19">
        <v>0.2</v>
      </c>
      <c r="S518" s="21">
        <v>503.91</v>
      </c>
      <c r="T518">
        <v>2519.5500000000002</v>
      </c>
      <c r="U518" s="2">
        <v>2015.64</v>
      </c>
      <c r="V518">
        <v>50.82</v>
      </c>
      <c r="W518">
        <v>978.93</v>
      </c>
      <c r="X518" s="2">
        <v>985.89</v>
      </c>
      <c r="Y518">
        <v>0.48909999999999998</v>
      </c>
      <c r="Z518">
        <v>0</v>
      </c>
      <c r="AA518" t="s">
        <v>97</v>
      </c>
      <c r="AB518" t="s">
        <v>47</v>
      </c>
      <c r="AE518" s="2">
        <v>1890.81</v>
      </c>
      <c r="AF518">
        <v>1.0660000000000001</v>
      </c>
      <c r="AG518" t="s">
        <v>49</v>
      </c>
      <c r="AH518" s="23">
        <f>SUM(Amazon_Data_Set[[#This Row],[Gross Sales]]-Amazon_Data_Set[[#This Row],[Discount Amount]])</f>
        <v>2015.64</v>
      </c>
    </row>
    <row r="519" spans="1:34">
      <c r="A519" t="s">
        <v>1480</v>
      </c>
      <c r="B519" s="1">
        <v>46347</v>
      </c>
      <c r="C519" t="str">
        <f>TEXT(Amazon_Data_Set[[#This Row],[Order Date]],"mmm")</f>
        <v>Nov</v>
      </c>
      <c r="D519" t="s">
        <v>336</v>
      </c>
      <c r="E519" t="s">
        <v>109</v>
      </c>
      <c r="F519" t="s">
        <v>110</v>
      </c>
      <c r="G519" t="s">
        <v>111</v>
      </c>
      <c r="H519" t="s">
        <v>38</v>
      </c>
      <c r="I519" t="s">
        <v>66</v>
      </c>
      <c r="J519" t="s">
        <v>337</v>
      </c>
      <c r="K519" t="s">
        <v>224</v>
      </c>
      <c r="L519" t="s">
        <v>1481</v>
      </c>
      <c r="M519" t="s">
        <v>43</v>
      </c>
      <c r="N519" t="s">
        <v>77</v>
      </c>
      <c r="O519" t="s">
        <v>45</v>
      </c>
      <c r="P519">
        <v>3</v>
      </c>
      <c r="Q519">
        <v>3666.69</v>
      </c>
      <c r="R519" s="19">
        <v>0</v>
      </c>
      <c r="S519" s="21">
        <v>0</v>
      </c>
      <c r="T519">
        <v>11000.07</v>
      </c>
      <c r="U519" s="2">
        <v>11000.07</v>
      </c>
      <c r="V519">
        <v>212.58</v>
      </c>
      <c r="W519">
        <v>6851.61</v>
      </c>
      <c r="X519" s="2">
        <v>3935.88</v>
      </c>
      <c r="Y519">
        <v>0.35780000000000001</v>
      </c>
      <c r="Z519">
        <v>7</v>
      </c>
      <c r="AA519" t="s">
        <v>61</v>
      </c>
      <c r="AB519" t="s">
        <v>47</v>
      </c>
      <c r="AD519">
        <v>5</v>
      </c>
      <c r="AE519" s="2">
        <v>10177.370000000001</v>
      </c>
      <c r="AF519">
        <v>1.0808</v>
      </c>
      <c r="AG519" t="s">
        <v>49</v>
      </c>
      <c r="AH519" s="23">
        <f>SUM(Amazon_Data_Set[[#This Row],[Gross Sales]]-Amazon_Data_Set[[#This Row],[Discount Amount]])</f>
        <v>11000.07</v>
      </c>
    </row>
    <row r="520" spans="1:34">
      <c r="A520" t="s">
        <v>1482</v>
      </c>
      <c r="B520" s="1">
        <v>46163</v>
      </c>
      <c r="C520" t="str">
        <f>TEXT(Amazon_Data_Set[[#This Row],[Order Date]],"mmm")</f>
        <v>May</v>
      </c>
      <c r="D520" t="s">
        <v>1342</v>
      </c>
      <c r="E520" t="s">
        <v>100</v>
      </c>
      <c r="F520" t="s">
        <v>179</v>
      </c>
      <c r="G520" t="s">
        <v>54</v>
      </c>
      <c r="H520" t="s">
        <v>90</v>
      </c>
      <c r="I520" t="s">
        <v>91</v>
      </c>
      <c r="J520" t="s">
        <v>313</v>
      </c>
      <c r="K520" t="s">
        <v>314</v>
      </c>
      <c r="L520" t="s">
        <v>1483</v>
      </c>
      <c r="M520" t="s">
        <v>106</v>
      </c>
      <c r="N520" t="s">
        <v>70</v>
      </c>
      <c r="O520" t="s">
        <v>130</v>
      </c>
      <c r="P520">
        <v>1</v>
      </c>
      <c r="Q520">
        <v>1310.26</v>
      </c>
      <c r="R520" s="19">
        <v>0.2</v>
      </c>
      <c r="S520" s="21">
        <v>262.05</v>
      </c>
      <c r="T520">
        <v>1310.26</v>
      </c>
      <c r="U520" s="2">
        <v>1048.21</v>
      </c>
      <c r="V520">
        <v>140.79</v>
      </c>
      <c r="W520">
        <v>552.34</v>
      </c>
      <c r="X520" s="2">
        <v>355.08</v>
      </c>
      <c r="Y520">
        <v>0.3387</v>
      </c>
      <c r="Z520">
        <v>5</v>
      </c>
      <c r="AA520" t="s">
        <v>131</v>
      </c>
      <c r="AB520" t="s">
        <v>47</v>
      </c>
      <c r="AE520" s="2">
        <v>955.7</v>
      </c>
      <c r="AF520">
        <v>1.0968</v>
      </c>
      <c r="AG520" t="s">
        <v>49</v>
      </c>
      <c r="AH520" s="23">
        <f>SUM(Amazon_Data_Set[[#This Row],[Gross Sales]]-Amazon_Data_Set[[#This Row],[Discount Amount]])</f>
        <v>1048.21</v>
      </c>
    </row>
    <row r="521" spans="1:34">
      <c r="A521" t="s">
        <v>1484</v>
      </c>
      <c r="B521" s="1">
        <v>46032</v>
      </c>
      <c r="C521" t="str">
        <f>TEXT(Amazon_Data_Set[[#This Row],[Order Date]],"mmm")</f>
        <v>Jan</v>
      </c>
      <c r="D521" t="s">
        <v>1126</v>
      </c>
      <c r="E521" t="s">
        <v>228</v>
      </c>
      <c r="F521" t="s">
        <v>229</v>
      </c>
      <c r="G521" t="s">
        <v>37</v>
      </c>
      <c r="H521" t="s">
        <v>90</v>
      </c>
      <c r="I521" t="s">
        <v>91</v>
      </c>
      <c r="J521" t="s">
        <v>92</v>
      </c>
      <c r="K521" t="s">
        <v>93</v>
      </c>
      <c r="L521" t="s">
        <v>1485</v>
      </c>
      <c r="M521" t="s">
        <v>106</v>
      </c>
      <c r="N521" t="s">
        <v>95</v>
      </c>
      <c r="O521" t="s">
        <v>45</v>
      </c>
      <c r="P521">
        <v>3</v>
      </c>
      <c r="Q521">
        <v>663.09</v>
      </c>
      <c r="R521" s="19">
        <v>0.25</v>
      </c>
      <c r="S521" s="21">
        <v>497.32</v>
      </c>
      <c r="T521">
        <v>1989.27</v>
      </c>
      <c r="U521" s="2">
        <v>1491.95</v>
      </c>
      <c r="V521">
        <v>98.76</v>
      </c>
      <c r="W521">
        <v>1066.48</v>
      </c>
      <c r="X521" s="2">
        <v>326.70999999999998</v>
      </c>
      <c r="Y521">
        <v>0.219</v>
      </c>
      <c r="Z521">
        <v>4</v>
      </c>
      <c r="AA521" t="s">
        <v>46</v>
      </c>
      <c r="AB521" t="s">
        <v>47</v>
      </c>
      <c r="AD521">
        <v>4</v>
      </c>
      <c r="AE521" s="2">
        <v>1750.21</v>
      </c>
      <c r="AF521">
        <v>0.85240000000000005</v>
      </c>
      <c r="AG521" t="s">
        <v>49</v>
      </c>
      <c r="AH521" s="23">
        <f>SUM(Amazon_Data_Set[[#This Row],[Gross Sales]]-Amazon_Data_Set[[#This Row],[Discount Amount]])</f>
        <v>1491.95</v>
      </c>
    </row>
    <row r="522" spans="1:34">
      <c r="A522" t="s">
        <v>1486</v>
      </c>
      <c r="B522" s="1">
        <v>46034</v>
      </c>
      <c r="C522" t="str">
        <f>TEXT(Amazon_Data_Set[[#This Row],[Order Date]],"mmm")</f>
        <v>Jan</v>
      </c>
      <c r="D522" t="s">
        <v>479</v>
      </c>
      <c r="E522" t="s">
        <v>167</v>
      </c>
      <c r="F522" t="s">
        <v>168</v>
      </c>
      <c r="G522" t="s">
        <v>111</v>
      </c>
      <c r="H522" t="s">
        <v>55</v>
      </c>
      <c r="I522" t="s">
        <v>73</v>
      </c>
      <c r="J522" t="s">
        <v>247</v>
      </c>
      <c r="K522" t="s">
        <v>248</v>
      </c>
      <c r="L522" t="s">
        <v>1487</v>
      </c>
      <c r="M522" t="s">
        <v>43</v>
      </c>
      <c r="N522" t="s">
        <v>70</v>
      </c>
      <c r="O522" t="s">
        <v>45</v>
      </c>
      <c r="P522">
        <v>4</v>
      </c>
      <c r="Q522">
        <v>528.66</v>
      </c>
      <c r="R522" s="19">
        <v>0.15</v>
      </c>
      <c r="S522" s="21">
        <v>317.2</v>
      </c>
      <c r="T522">
        <v>2114.64</v>
      </c>
      <c r="U522" s="2">
        <v>1797.44</v>
      </c>
      <c r="V522">
        <v>235.63</v>
      </c>
      <c r="W522">
        <v>965.87</v>
      </c>
      <c r="X522" s="2">
        <v>595.94000000000005</v>
      </c>
      <c r="Y522">
        <v>0.33150000000000002</v>
      </c>
      <c r="Z522">
        <v>3</v>
      </c>
      <c r="AA522" t="s">
        <v>46</v>
      </c>
      <c r="AB522" t="s">
        <v>47</v>
      </c>
      <c r="AD522">
        <v>4</v>
      </c>
      <c r="AE522" s="2">
        <v>1826.62</v>
      </c>
      <c r="AF522">
        <v>0.98399999999999999</v>
      </c>
      <c r="AG522" t="s">
        <v>49</v>
      </c>
      <c r="AH522" s="23">
        <f>SUM(Amazon_Data_Set[[#This Row],[Gross Sales]]-Amazon_Data_Set[[#This Row],[Discount Amount]])</f>
        <v>1797.4399999999998</v>
      </c>
    </row>
    <row r="523" spans="1:34">
      <c r="A523" t="s">
        <v>1488</v>
      </c>
      <c r="B523" s="1">
        <v>46303</v>
      </c>
      <c r="C523" t="str">
        <f>TEXT(Amazon_Data_Set[[#This Row],[Order Date]],"mmm")</f>
        <v>Oct</v>
      </c>
      <c r="D523" t="s">
        <v>974</v>
      </c>
      <c r="E523" t="s">
        <v>109</v>
      </c>
      <c r="F523" t="s">
        <v>154</v>
      </c>
      <c r="G523" t="s">
        <v>111</v>
      </c>
      <c r="H523" t="s">
        <v>55</v>
      </c>
      <c r="I523" t="s">
        <v>73</v>
      </c>
      <c r="J523" t="s">
        <v>247</v>
      </c>
      <c r="K523" t="s">
        <v>248</v>
      </c>
      <c r="L523" t="s">
        <v>1489</v>
      </c>
      <c r="M523" t="s">
        <v>106</v>
      </c>
      <c r="N523" t="s">
        <v>124</v>
      </c>
      <c r="O523" t="s">
        <v>45</v>
      </c>
      <c r="P523">
        <v>2</v>
      </c>
      <c r="Q523">
        <v>9601.68</v>
      </c>
      <c r="R523" s="19">
        <v>0.05</v>
      </c>
      <c r="S523" s="21">
        <v>960.17</v>
      </c>
      <c r="T523">
        <v>19203.36</v>
      </c>
      <c r="U523" s="2">
        <v>18243.189999999999</v>
      </c>
      <c r="V523">
        <v>74.180000000000007</v>
      </c>
      <c r="W523">
        <v>13128.64</v>
      </c>
      <c r="X523" s="2">
        <v>5040.37</v>
      </c>
      <c r="Y523">
        <v>0.27629999999999999</v>
      </c>
      <c r="Z523">
        <v>5</v>
      </c>
      <c r="AA523" t="s">
        <v>61</v>
      </c>
      <c r="AB523" t="s">
        <v>47</v>
      </c>
      <c r="AD523">
        <v>4</v>
      </c>
      <c r="AE523" s="2">
        <v>18462.060000000001</v>
      </c>
      <c r="AF523">
        <v>0.98809999999999998</v>
      </c>
      <c r="AG523" t="s">
        <v>49</v>
      </c>
      <c r="AH523" s="23">
        <f>SUM(Amazon_Data_Set[[#This Row],[Gross Sales]]-Amazon_Data_Set[[#This Row],[Discount Amount]])</f>
        <v>18243.190000000002</v>
      </c>
    </row>
    <row r="524" spans="1:34">
      <c r="A524" t="s">
        <v>1490</v>
      </c>
      <c r="B524" s="1">
        <v>46283</v>
      </c>
      <c r="C524" t="str">
        <f>TEXT(Amazon_Data_Set[[#This Row],[Order Date]],"mmm")</f>
        <v>Sep</v>
      </c>
      <c r="D524" t="s">
        <v>1491</v>
      </c>
      <c r="E524" t="s">
        <v>167</v>
      </c>
      <c r="F524" t="s">
        <v>168</v>
      </c>
      <c r="G524" t="s">
        <v>111</v>
      </c>
      <c r="H524" t="s">
        <v>38</v>
      </c>
      <c r="I524" t="s">
        <v>161</v>
      </c>
      <c r="J524" t="s">
        <v>162</v>
      </c>
      <c r="K524" t="s">
        <v>163</v>
      </c>
      <c r="L524" t="s">
        <v>1492</v>
      </c>
      <c r="M524" t="s">
        <v>43</v>
      </c>
      <c r="N524" t="s">
        <v>77</v>
      </c>
      <c r="O524" t="s">
        <v>45</v>
      </c>
      <c r="P524">
        <v>5</v>
      </c>
      <c r="Q524">
        <v>2754</v>
      </c>
      <c r="R524" s="19">
        <v>0.05</v>
      </c>
      <c r="S524" s="21">
        <v>688.5</v>
      </c>
      <c r="T524">
        <v>13770</v>
      </c>
      <c r="U524" s="2">
        <v>13081.5</v>
      </c>
      <c r="V524">
        <v>173.74</v>
      </c>
      <c r="W524">
        <v>8336.36</v>
      </c>
      <c r="X524" s="2">
        <v>4571.3999999999996</v>
      </c>
      <c r="Y524">
        <v>0.34949999999999998</v>
      </c>
      <c r="Z524">
        <v>3</v>
      </c>
      <c r="AA524" t="s">
        <v>46</v>
      </c>
      <c r="AB524" t="s">
        <v>47</v>
      </c>
      <c r="AD524">
        <v>4</v>
      </c>
      <c r="AE524" s="2">
        <v>13313.18</v>
      </c>
      <c r="AF524">
        <v>0.98260000000000003</v>
      </c>
      <c r="AG524" t="s">
        <v>49</v>
      </c>
      <c r="AH524" s="23">
        <f>SUM(Amazon_Data_Set[[#This Row],[Gross Sales]]-Amazon_Data_Set[[#This Row],[Discount Amount]])</f>
        <v>13081.5</v>
      </c>
    </row>
    <row r="525" spans="1:34">
      <c r="A525" t="s">
        <v>1493</v>
      </c>
      <c r="B525" s="1">
        <v>46076</v>
      </c>
      <c r="C525" t="str">
        <f>TEXT(Amazon_Data_Set[[#This Row],[Order Date]],"mmm")</f>
        <v>Feb</v>
      </c>
      <c r="D525" t="s">
        <v>524</v>
      </c>
      <c r="E525" t="s">
        <v>149</v>
      </c>
      <c r="F525" t="s">
        <v>150</v>
      </c>
      <c r="G525" t="s">
        <v>37</v>
      </c>
      <c r="H525" t="s">
        <v>142</v>
      </c>
      <c r="I525" t="s">
        <v>214</v>
      </c>
      <c r="J525" t="s">
        <v>308</v>
      </c>
      <c r="K525" t="s">
        <v>309</v>
      </c>
      <c r="L525" t="s">
        <v>1494</v>
      </c>
      <c r="M525" t="s">
        <v>106</v>
      </c>
      <c r="N525" t="s">
        <v>44</v>
      </c>
      <c r="O525" t="s">
        <v>45</v>
      </c>
      <c r="P525">
        <v>2</v>
      </c>
      <c r="Q525">
        <v>5967.4</v>
      </c>
      <c r="R525" s="19">
        <v>0.1</v>
      </c>
      <c r="S525" s="21">
        <v>1193.48</v>
      </c>
      <c r="T525">
        <v>11934.8</v>
      </c>
      <c r="U525" s="2">
        <v>10741.32</v>
      </c>
      <c r="V525">
        <v>114.61</v>
      </c>
      <c r="W525">
        <v>7380.56</v>
      </c>
      <c r="X525" s="2">
        <v>3246.15</v>
      </c>
      <c r="Y525">
        <v>0.30220000000000002</v>
      </c>
      <c r="Z525">
        <v>6</v>
      </c>
      <c r="AA525" t="s">
        <v>61</v>
      </c>
      <c r="AB525" t="s">
        <v>47</v>
      </c>
      <c r="AD525">
        <v>5</v>
      </c>
      <c r="AE525" s="2">
        <v>9660.48</v>
      </c>
      <c r="AF525">
        <v>1.1119000000000001</v>
      </c>
      <c r="AG525" t="s">
        <v>49</v>
      </c>
      <c r="AH525" s="23">
        <f>SUM(Amazon_Data_Set[[#This Row],[Gross Sales]]-Amazon_Data_Set[[#This Row],[Discount Amount]])</f>
        <v>10741.32</v>
      </c>
    </row>
    <row r="526" spans="1:34">
      <c r="A526" t="s">
        <v>1495</v>
      </c>
      <c r="B526" s="1">
        <v>46385</v>
      </c>
      <c r="C526" t="str">
        <f>TEXT(Amazon_Data_Set[[#This Row],[Order Date]],"mmm")</f>
        <v>Dec</v>
      </c>
      <c r="D526" t="s">
        <v>133</v>
      </c>
      <c r="E526" t="s">
        <v>174</v>
      </c>
      <c r="F526" t="s">
        <v>175</v>
      </c>
      <c r="G526" t="s">
        <v>82</v>
      </c>
      <c r="H526" t="s">
        <v>55</v>
      </c>
      <c r="I526" t="s">
        <v>56</v>
      </c>
      <c r="J526" t="s">
        <v>57</v>
      </c>
      <c r="K526" t="s">
        <v>58</v>
      </c>
      <c r="L526" t="s">
        <v>1496</v>
      </c>
      <c r="M526" t="s">
        <v>43</v>
      </c>
      <c r="N526" t="s">
        <v>124</v>
      </c>
      <c r="O526" t="s">
        <v>96</v>
      </c>
      <c r="P526">
        <v>4</v>
      </c>
      <c r="Q526">
        <v>8344.4699999999993</v>
      </c>
      <c r="R526" s="19">
        <v>0.25</v>
      </c>
      <c r="S526" s="21">
        <v>8344.4699999999993</v>
      </c>
      <c r="T526">
        <v>33377.879999999997</v>
      </c>
      <c r="U526" s="2">
        <v>25033.41</v>
      </c>
      <c r="V526">
        <v>71.239999999999995</v>
      </c>
      <c r="W526">
        <v>13317.99</v>
      </c>
      <c r="X526" s="2">
        <v>11644.18</v>
      </c>
      <c r="Y526">
        <v>0.46510000000000001</v>
      </c>
      <c r="Z526">
        <v>0</v>
      </c>
      <c r="AA526" t="s">
        <v>97</v>
      </c>
      <c r="AB526" t="s">
        <v>47</v>
      </c>
      <c r="AE526" s="2">
        <v>28751.31</v>
      </c>
      <c r="AF526">
        <v>0.87070000000000003</v>
      </c>
      <c r="AG526" t="s">
        <v>347</v>
      </c>
      <c r="AH526" s="23">
        <f>SUM(Amazon_Data_Set[[#This Row],[Gross Sales]]-Amazon_Data_Set[[#This Row],[Discount Amount]])</f>
        <v>25033.409999999996</v>
      </c>
    </row>
    <row r="527" spans="1:34">
      <c r="A527" t="s">
        <v>1497</v>
      </c>
      <c r="B527" s="1">
        <v>46231</v>
      </c>
      <c r="C527" t="str">
        <f>TEXT(Amazon_Data_Set[[#This Row],[Order Date]],"mmm")</f>
        <v>Jul</v>
      </c>
      <c r="D527" t="s">
        <v>317</v>
      </c>
      <c r="E527" t="s">
        <v>275</v>
      </c>
      <c r="F527" t="s">
        <v>276</v>
      </c>
      <c r="G527" t="s">
        <v>37</v>
      </c>
      <c r="H527" t="s">
        <v>83</v>
      </c>
      <c r="I527" t="s">
        <v>188</v>
      </c>
      <c r="J527" t="s">
        <v>690</v>
      </c>
      <c r="K527" t="s">
        <v>691</v>
      </c>
      <c r="L527" t="s">
        <v>1498</v>
      </c>
      <c r="M527" t="s">
        <v>106</v>
      </c>
      <c r="N527" t="s">
        <v>95</v>
      </c>
      <c r="O527" t="s">
        <v>45</v>
      </c>
      <c r="P527">
        <v>3</v>
      </c>
      <c r="Q527">
        <v>276.27999999999997</v>
      </c>
      <c r="R527" s="19">
        <v>0</v>
      </c>
      <c r="S527" s="21">
        <v>0</v>
      </c>
      <c r="T527">
        <v>828.84</v>
      </c>
      <c r="U527" s="2">
        <v>828.84</v>
      </c>
      <c r="V527">
        <v>233.72</v>
      </c>
      <c r="W527">
        <v>606.67999999999995</v>
      </c>
      <c r="X527" s="2">
        <v>-11.56</v>
      </c>
      <c r="Y527">
        <v>-1.3899999999999999E-2</v>
      </c>
      <c r="Z527">
        <v>8</v>
      </c>
      <c r="AA527" t="s">
        <v>61</v>
      </c>
      <c r="AB527" t="s">
        <v>47</v>
      </c>
      <c r="AD527">
        <v>4</v>
      </c>
      <c r="AE527" s="2">
        <v>828</v>
      </c>
      <c r="AF527">
        <v>1.0009999999999999</v>
      </c>
      <c r="AG527" t="s">
        <v>49</v>
      </c>
      <c r="AH527" s="23">
        <f>SUM(Amazon_Data_Set[[#This Row],[Gross Sales]]-Amazon_Data_Set[[#This Row],[Discount Amount]])</f>
        <v>828.84</v>
      </c>
    </row>
    <row r="528" spans="1:34">
      <c r="A528" t="s">
        <v>1499</v>
      </c>
      <c r="B528" s="1">
        <v>46276</v>
      </c>
      <c r="C528" t="str">
        <f>TEXT(Amazon_Data_Set[[#This Row],[Order Date]],"mmm")</f>
        <v>Sep</v>
      </c>
      <c r="D528" t="s">
        <v>790</v>
      </c>
      <c r="E528" t="s">
        <v>235</v>
      </c>
      <c r="F528" t="s">
        <v>236</v>
      </c>
      <c r="G528" t="s">
        <v>82</v>
      </c>
      <c r="H528" t="s">
        <v>90</v>
      </c>
      <c r="I528" t="s">
        <v>112</v>
      </c>
      <c r="J528" t="s">
        <v>134</v>
      </c>
      <c r="K528" t="s">
        <v>135</v>
      </c>
      <c r="L528" t="s">
        <v>1500</v>
      </c>
      <c r="M528" t="s">
        <v>43</v>
      </c>
      <c r="N528" t="s">
        <v>95</v>
      </c>
      <c r="O528" t="s">
        <v>45</v>
      </c>
      <c r="P528">
        <v>4</v>
      </c>
      <c r="Q528">
        <v>831.28</v>
      </c>
      <c r="R528" s="19">
        <v>0.2</v>
      </c>
      <c r="S528" s="21">
        <v>665.02</v>
      </c>
      <c r="T528">
        <v>3325.12</v>
      </c>
      <c r="U528" s="2">
        <v>2660.1</v>
      </c>
      <c r="V528">
        <v>223.62</v>
      </c>
      <c r="W528">
        <v>1638.17</v>
      </c>
      <c r="X528" s="2">
        <v>798.31</v>
      </c>
      <c r="Y528">
        <v>0.30009999999999998</v>
      </c>
      <c r="Z528">
        <v>4</v>
      </c>
      <c r="AA528" t="s">
        <v>46</v>
      </c>
      <c r="AB528" t="s">
        <v>47</v>
      </c>
      <c r="AD528">
        <v>5</v>
      </c>
      <c r="AE528" s="2">
        <v>3008.76</v>
      </c>
      <c r="AF528">
        <v>0.8841</v>
      </c>
      <c r="AG528" t="s">
        <v>49</v>
      </c>
      <c r="AH528" s="23">
        <f>SUM(Amazon_Data_Set[[#This Row],[Gross Sales]]-Amazon_Data_Set[[#This Row],[Discount Amount]])</f>
        <v>2660.1</v>
      </c>
    </row>
    <row r="529" spans="1:34">
      <c r="A529" t="s">
        <v>1501</v>
      </c>
      <c r="B529" s="1">
        <v>46186</v>
      </c>
      <c r="C529" t="str">
        <f>TEXT(Amazon_Data_Set[[#This Row],[Order Date]],"mmm")</f>
        <v>Jun</v>
      </c>
      <c r="D529" t="s">
        <v>239</v>
      </c>
      <c r="E529" t="s">
        <v>52</v>
      </c>
      <c r="F529" t="s">
        <v>53</v>
      </c>
      <c r="G529" t="s">
        <v>54</v>
      </c>
      <c r="H529" t="s">
        <v>83</v>
      </c>
      <c r="I529" t="s">
        <v>102</v>
      </c>
      <c r="J529" t="s">
        <v>259</v>
      </c>
      <c r="K529" t="s">
        <v>260</v>
      </c>
      <c r="L529" t="s">
        <v>1502</v>
      </c>
      <c r="M529" t="s">
        <v>43</v>
      </c>
      <c r="N529" t="s">
        <v>70</v>
      </c>
      <c r="O529" t="s">
        <v>45</v>
      </c>
      <c r="P529">
        <v>4</v>
      </c>
      <c r="Q529">
        <v>1146.0899999999999</v>
      </c>
      <c r="R529" s="19">
        <v>0.25</v>
      </c>
      <c r="S529" s="21">
        <v>1146.0899999999999</v>
      </c>
      <c r="T529">
        <v>4584.3599999999997</v>
      </c>
      <c r="U529" s="2">
        <v>3438.27</v>
      </c>
      <c r="V529">
        <v>113.66</v>
      </c>
      <c r="W529">
        <v>1895.24</v>
      </c>
      <c r="X529" s="2">
        <v>1429.37</v>
      </c>
      <c r="Y529">
        <v>0.41570000000000001</v>
      </c>
      <c r="Z529">
        <v>4</v>
      </c>
      <c r="AA529" t="s">
        <v>46</v>
      </c>
      <c r="AB529" t="s">
        <v>47</v>
      </c>
      <c r="AD529">
        <v>5</v>
      </c>
      <c r="AE529" s="2">
        <v>4179.83</v>
      </c>
      <c r="AF529">
        <v>0.8226</v>
      </c>
      <c r="AG529" t="s">
        <v>347</v>
      </c>
      <c r="AH529" s="23">
        <f>SUM(Amazon_Data_Set[[#This Row],[Gross Sales]]-Amazon_Data_Set[[#This Row],[Discount Amount]])</f>
        <v>3438.2699999999995</v>
      </c>
    </row>
    <row r="530" spans="1:34">
      <c r="A530" t="s">
        <v>1503</v>
      </c>
      <c r="B530" s="1">
        <v>46126</v>
      </c>
      <c r="C530" t="str">
        <f>TEXT(Amazon_Data_Set[[#This Row],[Order Date]],"mmm")</f>
        <v>Apr</v>
      </c>
      <c r="D530" t="s">
        <v>654</v>
      </c>
      <c r="E530" t="s">
        <v>35</v>
      </c>
      <c r="F530" t="s">
        <v>36</v>
      </c>
      <c r="G530" t="s">
        <v>37</v>
      </c>
      <c r="H530" t="s">
        <v>90</v>
      </c>
      <c r="I530" t="s">
        <v>112</v>
      </c>
      <c r="J530" t="s">
        <v>113</v>
      </c>
      <c r="K530" t="s">
        <v>114</v>
      </c>
      <c r="L530" t="s">
        <v>1504</v>
      </c>
      <c r="M530" t="s">
        <v>106</v>
      </c>
      <c r="N530" t="s">
        <v>70</v>
      </c>
      <c r="O530" t="s">
        <v>45</v>
      </c>
      <c r="P530">
        <v>1</v>
      </c>
      <c r="Q530">
        <v>441.45</v>
      </c>
      <c r="R530" s="19">
        <v>0.1</v>
      </c>
      <c r="S530" s="21">
        <v>44.15</v>
      </c>
      <c r="T530">
        <v>441.45</v>
      </c>
      <c r="U530" s="2">
        <v>397.3</v>
      </c>
      <c r="V530">
        <v>205.47</v>
      </c>
      <c r="W530">
        <v>252.83</v>
      </c>
      <c r="X530" s="2">
        <v>-61</v>
      </c>
      <c r="Y530">
        <v>-0.1535</v>
      </c>
      <c r="Z530">
        <v>3</v>
      </c>
      <c r="AA530" t="s">
        <v>46</v>
      </c>
      <c r="AB530" t="s">
        <v>47</v>
      </c>
      <c r="AD530">
        <v>4</v>
      </c>
      <c r="AE530" s="2">
        <v>360.84</v>
      </c>
      <c r="AF530">
        <v>1.101</v>
      </c>
      <c r="AG530" t="s">
        <v>347</v>
      </c>
      <c r="AH530" s="23">
        <f>SUM(Amazon_Data_Set[[#This Row],[Gross Sales]]-Amazon_Data_Set[[#This Row],[Discount Amount]])</f>
        <v>397.3</v>
      </c>
    </row>
    <row r="531" spans="1:34">
      <c r="A531" t="s">
        <v>1505</v>
      </c>
      <c r="B531" s="1">
        <v>46085</v>
      </c>
      <c r="C531" t="str">
        <f>TEXT(Amazon_Data_Set[[#This Row],[Order Date]],"mmm")</f>
        <v>Mar</v>
      </c>
      <c r="D531" t="s">
        <v>1506</v>
      </c>
      <c r="E531" t="s">
        <v>64</v>
      </c>
      <c r="F531" t="s">
        <v>65</v>
      </c>
      <c r="G531" t="s">
        <v>54</v>
      </c>
      <c r="H531" t="s">
        <v>90</v>
      </c>
      <c r="I531" t="s">
        <v>252</v>
      </c>
      <c r="J531" t="s">
        <v>270</v>
      </c>
      <c r="K531" t="s">
        <v>271</v>
      </c>
      <c r="L531" t="s">
        <v>1507</v>
      </c>
      <c r="M531" t="s">
        <v>43</v>
      </c>
      <c r="N531" t="s">
        <v>77</v>
      </c>
      <c r="O531" t="s">
        <v>96</v>
      </c>
      <c r="P531">
        <v>1</v>
      </c>
      <c r="Q531">
        <v>458.99</v>
      </c>
      <c r="R531" s="19">
        <v>0.3</v>
      </c>
      <c r="S531" s="21">
        <v>137.69999999999999</v>
      </c>
      <c r="T531">
        <v>458.99</v>
      </c>
      <c r="U531" s="2">
        <v>321.29000000000002</v>
      </c>
      <c r="V531">
        <v>159.6</v>
      </c>
      <c r="W531">
        <v>198.73</v>
      </c>
      <c r="X531" s="2">
        <v>-37.04</v>
      </c>
      <c r="Y531">
        <v>-0.1153</v>
      </c>
      <c r="Z531">
        <v>0</v>
      </c>
      <c r="AA531" t="s">
        <v>97</v>
      </c>
      <c r="AB531" t="s">
        <v>47</v>
      </c>
      <c r="AE531" s="2">
        <v>330.32</v>
      </c>
      <c r="AF531">
        <v>0.97270000000000001</v>
      </c>
      <c r="AG531" t="s">
        <v>49</v>
      </c>
      <c r="AH531" s="23">
        <f>SUM(Amazon_Data_Set[[#This Row],[Gross Sales]]-Amazon_Data_Set[[#This Row],[Discount Amount]])</f>
        <v>321.29000000000002</v>
      </c>
    </row>
    <row r="532" spans="1:34">
      <c r="A532" t="s">
        <v>1508</v>
      </c>
      <c r="B532" s="1">
        <v>46120</v>
      </c>
      <c r="C532" t="str">
        <f>TEXT(Amazon_Data_Set[[#This Row],[Order Date]],"mmm")</f>
        <v>Apr</v>
      </c>
      <c r="D532" t="s">
        <v>193</v>
      </c>
      <c r="E532" t="s">
        <v>174</v>
      </c>
      <c r="F532" t="s">
        <v>175</v>
      </c>
      <c r="G532" t="s">
        <v>82</v>
      </c>
      <c r="H532" t="s">
        <v>55</v>
      </c>
      <c r="I532" t="s">
        <v>56</v>
      </c>
      <c r="J532" t="s">
        <v>582</v>
      </c>
      <c r="K532" t="s">
        <v>583</v>
      </c>
      <c r="L532" t="s">
        <v>1509</v>
      </c>
      <c r="M532" t="s">
        <v>43</v>
      </c>
      <c r="N532" t="s">
        <v>77</v>
      </c>
      <c r="O532" t="s">
        <v>45</v>
      </c>
      <c r="P532">
        <v>5</v>
      </c>
      <c r="Q532">
        <v>34848.35</v>
      </c>
      <c r="R532" s="19">
        <v>0.25</v>
      </c>
      <c r="S532" s="21">
        <v>43560.44</v>
      </c>
      <c r="T532">
        <v>174241.75</v>
      </c>
      <c r="U532" s="2">
        <v>130681.31</v>
      </c>
      <c r="V532">
        <v>120.83</v>
      </c>
      <c r="W532">
        <v>90718.27</v>
      </c>
      <c r="X532" s="2">
        <v>39842.21</v>
      </c>
      <c r="Y532">
        <v>0.3049</v>
      </c>
      <c r="Z532">
        <v>3</v>
      </c>
      <c r="AA532" t="s">
        <v>46</v>
      </c>
      <c r="AB532" t="s">
        <v>47</v>
      </c>
      <c r="AD532">
        <v>3</v>
      </c>
      <c r="AE532" s="2">
        <v>151314.26</v>
      </c>
      <c r="AF532">
        <v>0.86360000000000003</v>
      </c>
      <c r="AG532" t="s">
        <v>49</v>
      </c>
      <c r="AH532" s="23">
        <f>SUM(Amazon_Data_Set[[#This Row],[Gross Sales]]-Amazon_Data_Set[[#This Row],[Discount Amount]])</f>
        <v>130681.31</v>
      </c>
    </row>
    <row r="533" spans="1:34">
      <c r="A533" t="s">
        <v>1510</v>
      </c>
      <c r="B533" s="1">
        <v>46270</v>
      </c>
      <c r="C533" t="str">
        <f>TEXT(Amazon_Data_Set[[#This Row],[Order Date]],"mmm")</f>
        <v>Sep</v>
      </c>
      <c r="D533" t="s">
        <v>605</v>
      </c>
      <c r="E533" t="s">
        <v>109</v>
      </c>
      <c r="F533" t="s">
        <v>110</v>
      </c>
      <c r="G533" t="s">
        <v>111</v>
      </c>
      <c r="H533" t="s">
        <v>90</v>
      </c>
      <c r="I533" t="s">
        <v>112</v>
      </c>
      <c r="J533" t="s">
        <v>113</v>
      </c>
      <c r="K533" t="s">
        <v>114</v>
      </c>
      <c r="L533" t="s">
        <v>1511</v>
      </c>
      <c r="M533" t="s">
        <v>106</v>
      </c>
      <c r="N533" t="s">
        <v>124</v>
      </c>
      <c r="O533" t="s">
        <v>130</v>
      </c>
      <c r="P533">
        <v>2</v>
      </c>
      <c r="Q533">
        <v>134.66999999999999</v>
      </c>
      <c r="R533" s="19">
        <v>0.05</v>
      </c>
      <c r="S533" s="21">
        <v>13.47</v>
      </c>
      <c r="T533">
        <v>269.33999999999997</v>
      </c>
      <c r="U533" s="2">
        <v>255.87</v>
      </c>
      <c r="V533">
        <v>155.16999999999999</v>
      </c>
      <c r="W533">
        <v>194.62</v>
      </c>
      <c r="X533" s="2">
        <v>-93.92</v>
      </c>
      <c r="Y533">
        <v>-0.36709999999999998</v>
      </c>
      <c r="Z533">
        <v>8</v>
      </c>
      <c r="AA533" t="s">
        <v>131</v>
      </c>
      <c r="AB533" t="s">
        <v>47</v>
      </c>
      <c r="AE533" s="2">
        <v>246.83</v>
      </c>
      <c r="AF533">
        <v>1.0366</v>
      </c>
      <c r="AG533" t="s">
        <v>49</v>
      </c>
      <c r="AH533" s="23">
        <f>SUM(Amazon_Data_Set[[#This Row],[Gross Sales]]-Amazon_Data_Set[[#This Row],[Discount Amount]])</f>
        <v>255.86999999999998</v>
      </c>
    </row>
    <row r="534" spans="1:34">
      <c r="A534" t="s">
        <v>1512</v>
      </c>
      <c r="B534" s="1">
        <v>46074</v>
      </c>
      <c r="C534" t="str">
        <f>TEXT(Amazon_Data_Set[[#This Row],[Order Date]],"mmm")</f>
        <v>Feb</v>
      </c>
      <c r="D534" t="s">
        <v>674</v>
      </c>
      <c r="E534" t="s">
        <v>109</v>
      </c>
      <c r="F534" t="s">
        <v>110</v>
      </c>
      <c r="G534" t="s">
        <v>111</v>
      </c>
      <c r="H534" t="s">
        <v>55</v>
      </c>
      <c r="I534" t="s">
        <v>73</v>
      </c>
      <c r="J534" t="s">
        <v>230</v>
      </c>
      <c r="K534" t="s">
        <v>231</v>
      </c>
      <c r="L534" t="s">
        <v>1513</v>
      </c>
      <c r="M534" t="s">
        <v>43</v>
      </c>
      <c r="N534" t="s">
        <v>70</v>
      </c>
      <c r="O534" t="s">
        <v>130</v>
      </c>
      <c r="P534">
        <v>1</v>
      </c>
      <c r="Q534">
        <v>46780.27</v>
      </c>
      <c r="R534" s="19">
        <v>0.25</v>
      </c>
      <c r="S534" s="21">
        <v>11695.07</v>
      </c>
      <c r="T534">
        <v>46780.27</v>
      </c>
      <c r="U534" s="2">
        <v>35085.199999999997</v>
      </c>
      <c r="V534">
        <v>136.84</v>
      </c>
      <c r="W534">
        <v>21455.1</v>
      </c>
      <c r="X534" s="2">
        <v>13493.26</v>
      </c>
      <c r="Y534">
        <v>0.3846</v>
      </c>
      <c r="Z534">
        <v>4</v>
      </c>
      <c r="AA534" t="s">
        <v>131</v>
      </c>
      <c r="AB534" t="s">
        <v>47</v>
      </c>
      <c r="AE534" s="2">
        <v>35242.370000000003</v>
      </c>
      <c r="AF534">
        <v>0.99550000000000005</v>
      </c>
      <c r="AG534" t="s">
        <v>49</v>
      </c>
      <c r="AH534" s="23">
        <f>SUM(Amazon_Data_Set[[#This Row],[Gross Sales]]-Amazon_Data_Set[[#This Row],[Discount Amount]])</f>
        <v>35085.199999999997</v>
      </c>
    </row>
    <row r="535" spans="1:34">
      <c r="A535" t="s">
        <v>1514</v>
      </c>
      <c r="B535" s="1">
        <v>46150</v>
      </c>
      <c r="C535" t="str">
        <f>TEXT(Amazon_Data_Set[[#This Row],[Order Date]],"mmm")</f>
        <v>May</v>
      </c>
      <c r="D535" t="s">
        <v>1515</v>
      </c>
      <c r="E535" t="s">
        <v>109</v>
      </c>
      <c r="F535" t="s">
        <v>154</v>
      </c>
      <c r="G535" t="s">
        <v>111</v>
      </c>
      <c r="H535" t="s">
        <v>83</v>
      </c>
      <c r="I535" t="s">
        <v>188</v>
      </c>
      <c r="J535" t="s">
        <v>475</v>
      </c>
      <c r="K535" t="s">
        <v>476</v>
      </c>
      <c r="L535" t="s">
        <v>1516</v>
      </c>
      <c r="M535" t="s">
        <v>43</v>
      </c>
      <c r="N535" t="s">
        <v>77</v>
      </c>
      <c r="O535" t="s">
        <v>45</v>
      </c>
      <c r="P535">
        <v>1</v>
      </c>
      <c r="Q535">
        <v>227.73</v>
      </c>
      <c r="R535" s="19">
        <v>0.3</v>
      </c>
      <c r="S535" s="21">
        <v>68.319999999999993</v>
      </c>
      <c r="T535">
        <v>227.73</v>
      </c>
      <c r="U535" s="2">
        <v>159.41</v>
      </c>
      <c r="V535">
        <v>91.32</v>
      </c>
      <c r="W535">
        <v>80.349999999999994</v>
      </c>
      <c r="X535" s="2">
        <v>-12.26</v>
      </c>
      <c r="Y535">
        <v>-7.6899999999999996E-2</v>
      </c>
      <c r="Z535">
        <v>2</v>
      </c>
      <c r="AA535" t="s">
        <v>46</v>
      </c>
      <c r="AB535" t="s">
        <v>47</v>
      </c>
      <c r="AD535">
        <v>5</v>
      </c>
      <c r="AE535" s="2">
        <v>151.35</v>
      </c>
      <c r="AF535">
        <v>1.0532999999999999</v>
      </c>
      <c r="AG535" t="s">
        <v>49</v>
      </c>
      <c r="AH535" s="23">
        <f>SUM(Amazon_Data_Set[[#This Row],[Gross Sales]]-Amazon_Data_Set[[#This Row],[Discount Amount]])</f>
        <v>159.41</v>
      </c>
    </row>
    <row r="536" spans="1:34">
      <c r="A536" t="s">
        <v>1517</v>
      </c>
      <c r="B536" s="1">
        <v>46060</v>
      </c>
      <c r="C536" t="str">
        <f>TEXT(Amazon_Data_Set[[#This Row],[Order Date]],"mmm")</f>
        <v>Feb</v>
      </c>
      <c r="D536" t="s">
        <v>745</v>
      </c>
      <c r="E536" t="s">
        <v>80</v>
      </c>
      <c r="F536" t="s">
        <v>81</v>
      </c>
      <c r="G536" t="s">
        <v>82</v>
      </c>
      <c r="H536" t="s">
        <v>142</v>
      </c>
      <c r="I536" t="s">
        <v>214</v>
      </c>
      <c r="J536" t="s">
        <v>215</v>
      </c>
      <c r="K536" t="s">
        <v>216</v>
      </c>
      <c r="L536" t="s">
        <v>1518</v>
      </c>
      <c r="M536" t="s">
        <v>106</v>
      </c>
      <c r="N536" t="s">
        <v>70</v>
      </c>
      <c r="O536" t="s">
        <v>96</v>
      </c>
      <c r="P536">
        <v>2</v>
      </c>
      <c r="Q536">
        <v>4049.67</v>
      </c>
      <c r="R536" s="19">
        <v>0.05</v>
      </c>
      <c r="S536" s="21">
        <v>404.97</v>
      </c>
      <c r="T536">
        <v>8099.34</v>
      </c>
      <c r="U536" s="2">
        <v>7694.37</v>
      </c>
      <c r="V536">
        <v>245.11</v>
      </c>
      <c r="W536">
        <v>4589.04</v>
      </c>
      <c r="X536" s="2">
        <v>2860.22</v>
      </c>
      <c r="Y536">
        <v>0.37169999999999997</v>
      </c>
      <c r="Z536">
        <v>0</v>
      </c>
      <c r="AA536" t="s">
        <v>97</v>
      </c>
      <c r="AB536" t="s">
        <v>47</v>
      </c>
      <c r="AE536" s="2">
        <v>7996.81</v>
      </c>
      <c r="AF536">
        <v>0.96220000000000006</v>
      </c>
      <c r="AG536" t="s">
        <v>347</v>
      </c>
      <c r="AH536" s="23">
        <f>SUM(Amazon_Data_Set[[#This Row],[Gross Sales]]-Amazon_Data_Set[[#This Row],[Discount Amount]])</f>
        <v>7694.37</v>
      </c>
    </row>
    <row r="537" spans="1:34">
      <c r="A537" t="s">
        <v>1519</v>
      </c>
      <c r="B537" s="1">
        <v>46338</v>
      </c>
      <c r="C537" t="str">
        <f>TEXT(Amazon_Data_Set[[#This Row],[Order Date]],"mmm")</f>
        <v>Nov</v>
      </c>
      <c r="D537" t="s">
        <v>291</v>
      </c>
      <c r="E537" t="s">
        <v>228</v>
      </c>
      <c r="F537" t="s">
        <v>229</v>
      </c>
      <c r="G537" t="s">
        <v>37</v>
      </c>
      <c r="H537" t="s">
        <v>83</v>
      </c>
      <c r="I537" t="s">
        <v>102</v>
      </c>
      <c r="J537" t="s">
        <v>103</v>
      </c>
      <c r="K537" t="s">
        <v>104</v>
      </c>
      <c r="L537" t="s">
        <v>1520</v>
      </c>
      <c r="M537" t="s">
        <v>106</v>
      </c>
      <c r="N537" t="s">
        <v>60</v>
      </c>
      <c r="O537" t="s">
        <v>45</v>
      </c>
      <c r="P537">
        <v>1</v>
      </c>
      <c r="Q537">
        <v>270.89</v>
      </c>
      <c r="R537" s="19">
        <v>0.1</v>
      </c>
      <c r="S537" s="21">
        <v>27.09</v>
      </c>
      <c r="T537">
        <v>270.89</v>
      </c>
      <c r="U537" s="2">
        <v>243.8</v>
      </c>
      <c r="V537">
        <v>0.87</v>
      </c>
      <c r="W537">
        <v>135.88999999999999</v>
      </c>
      <c r="X537" s="2">
        <v>107.04</v>
      </c>
      <c r="Y537">
        <v>0.439</v>
      </c>
      <c r="Z537">
        <v>7</v>
      </c>
      <c r="AA537" t="s">
        <v>61</v>
      </c>
      <c r="AB537" t="s">
        <v>47</v>
      </c>
      <c r="AD537">
        <v>4</v>
      </c>
      <c r="AE537" s="2">
        <v>304.42</v>
      </c>
      <c r="AF537">
        <v>0.80089999999999995</v>
      </c>
      <c r="AG537" t="s">
        <v>49</v>
      </c>
      <c r="AH537" s="23">
        <f>SUM(Amazon_Data_Set[[#This Row],[Gross Sales]]-Amazon_Data_Set[[#This Row],[Discount Amount]])</f>
        <v>243.79999999999998</v>
      </c>
    </row>
    <row r="538" spans="1:34">
      <c r="A538" t="s">
        <v>1521</v>
      </c>
      <c r="B538" s="1">
        <v>46141</v>
      </c>
      <c r="C538" t="str">
        <f>TEXT(Amazon_Data_Set[[#This Row],[Order Date]],"mmm")</f>
        <v>Apr</v>
      </c>
      <c r="D538" t="s">
        <v>569</v>
      </c>
      <c r="E538" t="s">
        <v>100</v>
      </c>
      <c r="F538" t="s">
        <v>179</v>
      </c>
      <c r="G538" t="s">
        <v>54</v>
      </c>
      <c r="H538" t="s">
        <v>83</v>
      </c>
      <c r="I538" t="s">
        <v>84</v>
      </c>
      <c r="J538" t="s">
        <v>332</v>
      </c>
      <c r="K538" t="s">
        <v>333</v>
      </c>
      <c r="L538" t="s">
        <v>1522</v>
      </c>
      <c r="M538" t="s">
        <v>43</v>
      </c>
      <c r="N538" t="s">
        <v>44</v>
      </c>
      <c r="O538" t="s">
        <v>45</v>
      </c>
      <c r="P538">
        <v>5</v>
      </c>
      <c r="Q538">
        <v>152</v>
      </c>
      <c r="R538" s="19">
        <v>0.2</v>
      </c>
      <c r="S538" s="21">
        <v>152</v>
      </c>
      <c r="T538">
        <v>760</v>
      </c>
      <c r="U538" s="2">
        <v>608</v>
      </c>
      <c r="V538">
        <v>94.45</v>
      </c>
      <c r="W538">
        <v>419.2</v>
      </c>
      <c r="X538" s="2">
        <v>94.35</v>
      </c>
      <c r="Y538">
        <v>0.1552</v>
      </c>
      <c r="Z538">
        <v>6</v>
      </c>
      <c r="AA538" t="s">
        <v>61</v>
      </c>
      <c r="AB538" t="s">
        <v>47</v>
      </c>
      <c r="AD538">
        <v>5</v>
      </c>
      <c r="AE538" s="2">
        <v>746.78</v>
      </c>
      <c r="AF538">
        <v>0.81420000000000003</v>
      </c>
      <c r="AG538" t="s">
        <v>49</v>
      </c>
      <c r="AH538" s="23">
        <f>SUM(Amazon_Data_Set[[#This Row],[Gross Sales]]-Amazon_Data_Set[[#This Row],[Discount Amount]])</f>
        <v>608</v>
      </c>
    </row>
    <row r="539" spans="1:34">
      <c r="A539" t="s">
        <v>1523</v>
      </c>
      <c r="B539" s="1">
        <v>46330</v>
      </c>
      <c r="C539" t="str">
        <f>TEXT(Amazon_Data_Set[[#This Row],[Order Date]],"mmm")</f>
        <v>Nov</v>
      </c>
      <c r="D539" t="s">
        <v>442</v>
      </c>
      <c r="E539" t="s">
        <v>118</v>
      </c>
      <c r="F539" t="s">
        <v>119</v>
      </c>
      <c r="G539" t="s">
        <v>82</v>
      </c>
      <c r="H539" t="s">
        <v>142</v>
      </c>
      <c r="I539" t="s">
        <v>209</v>
      </c>
      <c r="J539" t="s">
        <v>243</v>
      </c>
      <c r="K539" t="s">
        <v>145</v>
      </c>
      <c r="L539" t="s">
        <v>1524</v>
      </c>
      <c r="M539" t="s">
        <v>43</v>
      </c>
      <c r="N539" t="s">
        <v>44</v>
      </c>
      <c r="O539" t="s">
        <v>45</v>
      </c>
      <c r="P539">
        <v>5</v>
      </c>
      <c r="Q539">
        <v>4668.34</v>
      </c>
      <c r="R539" s="19">
        <v>0.3</v>
      </c>
      <c r="S539" s="21">
        <v>7002.51</v>
      </c>
      <c r="T539">
        <v>23341.7</v>
      </c>
      <c r="U539" s="2">
        <v>16339.19</v>
      </c>
      <c r="V539">
        <v>217.88</v>
      </c>
      <c r="W539">
        <v>8556.9699999999993</v>
      </c>
      <c r="X539" s="2">
        <v>7564.34</v>
      </c>
      <c r="Y539">
        <v>0.46300000000000002</v>
      </c>
      <c r="Z539">
        <v>6</v>
      </c>
      <c r="AA539" t="s">
        <v>61</v>
      </c>
      <c r="AB539" t="s">
        <v>47</v>
      </c>
      <c r="AD539">
        <v>4</v>
      </c>
      <c r="AE539" s="2">
        <v>16589.330000000002</v>
      </c>
      <c r="AF539">
        <v>0.9849</v>
      </c>
      <c r="AG539" t="s">
        <v>49</v>
      </c>
      <c r="AH539" s="23">
        <f>SUM(Amazon_Data_Set[[#This Row],[Gross Sales]]-Amazon_Data_Set[[#This Row],[Discount Amount]])</f>
        <v>16339.19</v>
      </c>
    </row>
    <row r="540" spans="1:34">
      <c r="A540" t="s">
        <v>1525</v>
      </c>
      <c r="B540" s="1">
        <v>46114</v>
      </c>
      <c r="C540" t="str">
        <f>TEXT(Amazon_Data_Set[[#This Row],[Order Date]],"mmm")</f>
        <v>Apr</v>
      </c>
      <c r="D540" t="s">
        <v>471</v>
      </c>
      <c r="E540" t="s">
        <v>109</v>
      </c>
      <c r="F540" t="s">
        <v>110</v>
      </c>
      <c r="G540" t="s">
        <v>111</v>
      </c>
      <c r="H540" t="s">
        <v>38</v>
      </c>
      <c r="I540" t="s">
        <v>39</v>
      </c>
      <c r="J540" t="s">
        <v>155</v>
      </c>
      <c r="K540" t="s">
        <v>156</v>
      </c>
      <c r="L540" t="s">
        <v>1526</v>
      </c>
      <c r="M540" t="s">
        <v>106</v>
      </c>
      <c r="N540" t="s">
        <v>95</v>
      </c>
      <c r="O540" t="s">
        <v>45</v>
      </c>
      <c r="P540">
        <v>2</v>
      </c>
      <c r="Q540">
        <v>709.39</v>
      </c>
      <c r="R540" s="19">
        <v>0.2</v>
      </c>
      <c r="S540" s="21">
        <v>283.76</v>
      </c>
      <c r="T540">
        <v>1418.78</v>
      </c>
      <c r="U540" s="2">
        <v>1135.02</v>
      </c>
      <c r="V540">
        <v>218.24</v>
      </c>
      <c r="W540">
        <v>779.67</v>
      </c>
      <c r="X540" s="2">
        <v>137.11000000000001</v>
      </c>
      <c r="Y540">
        <v>0.1208</v>
      </c>
      <c r="Z540">
        <v>6</v>
      </c>
      <c r="AA540" t="s">
        <v>61</v>
      </c>
      <c r="AB540" t="s">
        <v>47</v>
      </c>
      <c r="AD540">
        <v>3</v>
      </c>
      <c r="AE540" s="2">
        <v>1086.1400000000001</v>
      </c>
      <c r="AF540">
        <v>1.0449999999999999</v>
      </c>
      <c r="AG540" t="s">
        <v>49</v>
      </c>
      <c r="AH540" s="23">
        <f>SUM(Amazon_Data_Set[[#This Row],[Gross Sales]]-Amazon_Data_Set[[#This Row],[Discount Amount]])</f>
        <v>1135.02</v>
      </c>
    </row>
    <row r="541" spans="1:34">
      <c r="A541" t="s">
        <v>1527</v>
      </c>
      <c r="B541" s="1">
        <v>46072</v>
      </c>
      <c r="C541" t="str">
        <f>TEXT(Amazon_Data_Set[[#This Row],[Order Date]],"mmm")</f>
        <v>Feb</v>
      </c>
      <c r="D541" t="s">
        <v>595</v>
      </c>
      <c r="E541" t="s">
        <v>80</v>
      </c>
      <c r="F541" t="s">
        <v>81</v>
      </c>
      <c r="G541" t="s">
        <v>82</v>
      </c>
      <c r="H541" t="s">
        <v>38</v>
      </c>
      <c r="I541" t="s">
        <v>66</v>
      </c>
      <c r="J541" t="s">
        <v>318</v>
      </c>
      <c r="K541" t="s">
        <v>282</v>
      </c>
      <c r="L541" t="s">
        <v>1528</v>
      </c>
      <c r="M541" t="s">
        <v>43</v>
      </c>
      <c r="N541" t="s">
        <v>44</v>
      </c>
      <c r="O541" t="s">
        <v>96</v>
      </c>
      <c r="P541">
        <v>4</v>
      </c>
      <c r="Q541">
        <v>391.67</v>
      </c>
      <c r="R541" s="19">
        <v>0.15</v>
      </c>
      <c r="S541" s="21">
        <v>235</v>
      </c>
      <c r="T541">
        <v>1566.68</v>
      </c>
      <c r="U541" s="2">
        <v>1331.68</v>
      </c>
      <c r="V541">
        <v>228.37</v>
      </c>
      <c r="W541">
        <v>688.87</v>
      </c>
      <c r="X541" s="2">
        <v>414.44</v>
      </c>
      <c r="Y541">
        <v>0.31119999999999998</v>
      </c>
      <c r="Z541">
        <v>0</v>
      </c>
      <c r="AA541" t="s">
        <v>97</v>
      </c>
      <c r="AB541" t="s">
        <v>47</v>
      </c>
      <c r="AE541" s="2">
        <v>1551.05</v>
      </c>
      <c r="AF541">
        <v>0.85860000000000003</v>
      </c>
      <c r="AG541" t="s">
        <v>49</v>
      </c>
      <c r="AH541" s="23">
        <f>SUM(Amazon_Data_Set[[#This Row],[Gross Sales]]-Amazon_Data_Set[[#This Row],[Discount Amount]])</f>
        <v>1331.68</v>
      </c>
    </row>
    <row r="542" spans="1:34">
      <c r="A542" t="s">
        <v>1529</v>
      </c>
      <c r="B542" s="1">
        <v>46093</v>
      </c>
      <c r="C542" t="str">
        <f>TEXT(Amazon_Data_Set[[#This Row],[Order Date]],"mmm")</f>
        <v>Mar</v>
      </c>
      <c r="D542" t="s">
        <v>1530</v>
      </c>
      <c r="E542" t="s">
        <v>109</v>
      </c>
      <c r="F542" t="s">
        <v>154</v>
      </c>
      <c r="G542" t="s">
        <v>111</v>
      </c>
      <c r="H542" t="s">
        <v>38</v>
      </c>
      <c r="I542" t="s">
        <v>161</v>
      </c>
      <c r="J542" t="s">
        <v>297</v>
      </c>
      <c r="K542" t="s">
        <v>298</v>
      </c>
      <c r="L542" t="s">
        <v>1531</v>
      </c>
      <c r="M542" t="s">
        <v>43</v>
      </c>
      <c r="N542" t="s">
        <v>60</v>
      </c>
      <c r="O542" t="s">
        <v>45</v>
      </c>
      <c r="P542">
        <v>1</v>
      </c>
      <c r="Q542">
        <v>357.42</v>
      </c>
      <c r="R542" s="19">
        <v>0.25</v>
      </c>
      <c r="S542" s="21">
        <v>89.36</v>
      </c>
      <c r="T542">
        <v>357.42</v>
      </c>
      <c r="U542" s="2">
        <v>268.06</v>
      </c>
      <c r="V542">
        <v>15.61</v>
      </c>
      <c r="W542">
        <v>183.78</v>
      </c>
      <c r="X542" s="2">
        <v>68.67</v>
      </c>
      <c r="Y542">
        <v>0.25619999999999998</v>
      </c>
      <c r="Z542">
        <v>2</v>
      </c>
      <c r="AA542" t="s">
        <v>46</v>
      </c>
      <c r="AB542" t="s">
        <v>47</v>
      </c>
      <c r="AD542">
        <v>5</v>
      </c>
      <c r="AE542" s="2">
        <v>314.61</v>
      </c>
      <c r="AF542">
        <v>0.85199999999999998</v>
      </c>
      <c r="AG542" t="s">
        <v>49</v>
      </c>
      <c r="AH542" s="23">
        <f>SUM(Amazon_Data_Set[[#This Row],[Gross Sales]]-Amazon_Data_Set[[#This Row],[Discount Amount]])</f>
        <v>268.06</v>
      </c>
    </row>
    <row r="543" spans="1:34">
      <c r="A543" t="s">
        <v>1532</v>
      </c>
      <c r="B543" s="1">
        <v>46370</v>
      </c>
      <c r="C543" t="str">
        <f>TEXT(Amazon_Data_Set[[#This Row],[Order Date]],"mmm")</f>
        <v>Dec</v>
      </c>
      <c r="D543" t="s">
        <v>758</v>
      </c>
      <c r="E543" t="s">
        <v>140</v>
      </c>
      <c r="F543" t="s">
        <v>141</v>
      </c>
      <c r="G543" t="s">
        <v>54</v>
      </c>
      <c r="H543" t="s">
        <v>83</v>
      </c>
      <c r="I543" t="s">
        <v>102</v>
      </c>
      <c r="J543" t="s">
        <v>103</v>
      </c>
      <c r="K543" t="s">
        <v>104</v>
      </c>
      <c r="L543" t="s">
        <v>1533</v>
      </c>
      <c r="M543" t="s">
        <v>43</v>
      </c>
      <c r="N543" t="s">
        <v>77</v>
      </c>
      <c r="O543" t="s">
        <v>45</v>
      </c>
      <c r="P543">
        <v>2</v>
      </c>
      <c r="Q543">
        <v>426.05</v>
      </c>
      <c r="R543" s="19">
        <v>0.15</v>
      </c>
      <c r="S543" s="21">
        <v>127.81</v>
      </c>
      <c r="T543">
        <v>852.1</v>
      </c>
      <c r="U543" s="2">
        <v>724.29</v>
      </c>
      <c r="V543">
        <v>164.29</v>
      </c>
      <c r="W543">
        <v>509.24</v>
      </c>
      <c r="X543" s="2">
        <v>50.76</v>
      </c>
      <c r="Y543">
        <v>7.0099999999999996E-2</v>
      </c>
      <c r="Z543">
        <v>1</v>
      </c>
      <c r="AA543" t="s">
        <v>46</v>
      </c>
      <c r="AB543" t="s">
        <v>47</v>
      </c>
      <c r="AD543">
        <v>5</v>
      </c>
      <c r="AE543" s="2">
        <v>779.38</v>
      </c>
      <c r="AF543">
        <v>0.92930000000000001</v>
      </c>
      <c r="AG543" t="s">
        <v>49</v>
      </c>
      <c r="AH543" s="23">
        <f>SUM(Amazon_Data_Set[[#This Row],[Gross Sales]]-Amazon_Data_Set[[#This Row],[Discount Amount]])</f>
        <v>724.29</v>
      </c>
    </row>
    <row r="544" spans="1:34">
      <c r="A544" t="s">
        <v>1534</v>
      </c>
      <c r="B544" s="1">
        <v>46261</v>
      </c>
      <c r="C544" t="str">
        <f>TEXT(Amazon_Data_Set[[#This Row],[Order Date]],"mmm")</f>
        <v>Aug</v>
      </c>
      <c r="D544" t="s">
        <v>242</v>
      </c>
      <c r="E544" t="s">
        <v>228</v>
      </c>
      <c r="F544" t="s">
        <v>229</v>
      </c>
      <c r="G544" t="s">
        <v>37</v>
      </c>
      <c r="H544" t="s">
        <v>83</v>
      </c>
      <c r="I544" t="s">
        <v>188</v>
      </c>
      <c r="J544" t="s">
        <v>475</v>
      </c>
      <c r="K544" t="s">
        <v>476</v>
      </c>
      <c r="L544" t="s">
        <v>1535</v>
      </c>
      <c r="M544" t="s">
        <v>106</v>
      </c>
      <c r="N544" t="s">
        <v>77</v>
      </c>
      <c r="O544" t="s">
        <v>45</v>
      </c>
      <c r="P544">
        <v>1</v>
      </c>
      <c r="Q544">
        <v>916.82</v>
      </c>
      <c r="R544" s="19">
        <v>0.1</v>
      </c>
      <c r="S544" s="21">
        <v>91.68</v>
      </c>
      <c r="T544">
        <v>916.82</v>
      </c>
      <c r="U544" s="2">
        <v>825.14</v>
      </c>
      <c r="V544">
        <v>52.81</v>
      </c>
      <c r="W544">
        <v>627.69000000000005</v>
      </c>
      <c r="X544" s="2">
        <v>144.63999999999999</v>
      </c>
      <c r="Y544">
        <v>0.17530000000000001</v>
      </c>
      <c r="Z544">
        <v>4</v>
      </c>
      <c r="AA544" t="s">
        <v>46</v>
      </c>
      <c r="AB544" t="s">
        <v>48</v>
      </c>
      <c r="AC544" t="s">
        <v>197</v>
      </c>
      <c r="AD544">
        <v>5</v>
      </c>
      <c r="AE544" s="2">
        <v>1015.04</v>
      </c>
      <c r="AF544">
        <v>0.81289999999999996</v>
      </c>
      <c r="AG544" t="s">
        <v>49</v>
      </c>
      <c r="AH544" s="23">
        <f>SUM(Amazon_Data_Set[[#This Row],[Gross Sales]]-Amazon_Data_Set[[#This Row],[Discount Amount]])</f>
        <v>825.1400000000001</v>
      </c>
    </row>
    <row r="545" spans="1:34">
      <c r="A545" t="s">
        <v>1536</v>
      </c>
      <c r="B545" s="1">
        <v>46269</v>
      </c>
      <c r="C545" t="str">
        <f>TEXT(Amazon_Data_Set[[#This Row],[Order Date]],"mmm")</f>
        <v>Sep</v>
      </c>
      <c r="D545" t="s">
        <v>468</v>
      </c>
      <c r="E545" t="s">
        <v>235</v>
      </c>
      <c r="F545" t="s">
        <v>236</v>
      </c>
      <c r="G545" t="s">
        <v>82</v>
      </c>
      <c r="H545" t="s">
        <v>90</v>
      </c>
      <c r="I545" t="s">
        <v>252</v>
      </c>
      <c r="J545" t="s">
        <v>528</v>
      </c>
      <c r="K545" t="s">
        <v>529</v>
      </c>
      <c r="L545" t="s">
        <v>1537</v>
      </c>
      <c r="M545" t="s">
        <v>106</v>
      </c>
      <c r="N545" t="s">
        <v>95</v>
      </c>
      <c r="O545" t="s">
        <v>45</v>
      </c>
      <c r="P545">
        <v>4</v>
      </c>
      <c r="Q545">
        <v>1471.66</v>
      </c>
      <c r="R545" s="19">
        <v>0.1</v>
      </c>
      <c r="S545" s="21">
        <v>588.66</v>
      </c>
      <c r="T545">
        <v>5886.64</v>
      </c>
      <c r="U545" s="2">
        <v>5297.98</v>
      </c>
      <c r="V545">
        <v>202.31</v>
      </c>
      <c r="W545">
        <v>3891.03</v>
      </c>
      <c r="X545" s="2">
        <v>1204.6400000000001</v>
      </c>
      <c r="Y545">
        <v>0.22739999999999999</v>
      </c>
      <c r="Z545">
        <v>6</v>
      </c>
      <c r="AA545" t="s">
        <v>61</v>
      </c>
      <c r="AB545" t="s">
        <v>47</v>
      </c>
      <c r="AD545">
        <v>4</v>
      </c>
      <c r="AE545" s="2">
        <v>5397.95</v>
      </c>
      <c r="AF545">
        <v>0.98150000000000004</v>
      </c>
      <c r="AG545" t="s">
        <v>49</v>
      </c>
      <c r="AH545" s="23">
        <f>SUM(Amazon_Data_Set[[#This Row],[Gross Sales]]-Amazon_Data_Set[[#This Row],[Discount Amount]])</f>
        <v>5297.9800000000005</v>
      </c>
    </row>
    <row r="546" spans="1:34">
      <c r="A546" t="s">
        <v>1538</v>
      </c>
      <c r="B546" s="1">
        <v>46263</v>
      </c>
      <c r="C546" t="str">
        <f>TEXT(Amazon_Data_Set[[#This Row],[Order Date]],"mmm")</f>
        <v>Aug</v>
      </c>
      <c r="D546" t="s">
        <v>266</v>
      </c>
      <c r="E546" t="s">
        <v>174</v>
      </c>
      <c r="F546" t="s">
        <v>175</v>
      </c>
      <c r="G546" t="s">
        <v>82</v>
      </c>
      <c r="H546" t="s">
        <v>55</v>
      </c>
      <c r="I546" t="s">
        <v>56</v>
      </c>
      <c r="J546" t="s">
        <v>366</v>
      </c>
      <c r="K546" t="s">
        <v>367</v>
      </c>
      <c r="L546" t="s">
        <v>1539</v>
      </c>
      <c r="M546" t="s">
        <v>106</v>
      </c>
      <c r="N546" t="s">
        <v>70</v>
      </c>
      <c r="O546" t="s">
        <v>130</v>
      </c>
      <c r="P546">
        <v>2</v>
      </c>
      <c r="Q546">
        <v>26530.18</v>
      </c>
      <c r="R546" s="19">
        <v>0.15</v>
      </c>
      <c r="S546" s="21">
        <v>7959.05</v>
      </c>
      <c r="T546">
        <v>53060.36</v>
      </c>
      <c r="U546" s="2">
        <v>45101.31</v>
      </c>
      <c r="V546">
        <v>4.63</v>
      </c>
      <c r="W546">
        <v>32117.71</v>
      </c>
      <c r="X546" s="2">
        <v>12978.97</v>
      </c>
      <c r="Y546">
        <v>0.2878</v>
      </c>
      <c r="Z546">
        <v>7</v>
      </c>
      <c r="AA546" t="s">
        <v>131</v>
      </c>
      <c r="AB546" t="s">
        <v>47</v>
      </c>
      <c r="AE546" s="2">
        <v>51158.49</v>
      </c>
      <c r="AF546">
        <v>0.88160000000000005</v>
      </c>
      <c r="AG546" t="s">
        <v>49</v>
      </c>
      <c r="AH546" s="23">
        <f>SUM(Amazon_Data_Set[[#This Row],[Gross Sales]]-Amazon_Data_Set[[#This Row],[Discount Amount]])</f>
        <v>45101.31</v>
      </c>
    </row>
    <row r="547" spans="1:34">
      <c r="A547" t="s">
        <v>1540</v>
      </c>
      <c r="B547" s="1">
        <v>46359</v>
      </c>
      <c r="C547" t="str">
        <f>TEXT(Amazon_Data_Set[[#This Row],[Order Date]],"mmm")</f>
        <v>Dec</v>
      </c>
      <c r="D547" t="s">
        <v>1541</v>
      </c>
      <c r="E547" t="s">
        <v>140</v>
      </c>
      <c r="F547" t="s">
        <v>141</v>
      </c>
      <c r="G547" t="s">
        <v>54</v>
      </c>
      <c r="H547" t="s">
        <v>90</v>
      </c>
      <c r="I547" t="s">
        <v>91</v>
      </c>
      <c r="J547" t="s">
        <v>313</v>
      </c>
      <c r="K547" t="s">
        <v>314</v>
      </c>
      <c r="L547" t="s">
        <v>1542</v>
      </c>
      <c r="M547" t="s">
        <v>43</v>
      </c>
      <c r="N547" t="s">
        <v>60</v>
      </c>
      <c r="O547" t="s">
        <v>45</v>
      </c>
      <c r="P547">
        <v>4</v>
      </c>
      <c r="Q547">
        <v>87.53</v>
      </c>
      <c r="R547" s="19">
        <v>0.1</v>
      </c>
      <c r="S547" s="21">
        <v>35.01</v>
      </c>
      <c r="T547">
        <v>350.12</v>
      </c>
      <c r="U547" s="2">
        <v>315.11</v>
      </c>
      <c r="V547">
        <v>210.56</v>
      </c>
      <c r="W547">
        <v>187.79</v>
      </c>
      <c r="X547" s="2">
        <v>-83.24</v>
      </c>
      <c r="Y547">
        <v>-0.26419999999999999</v>
      </c>
      <c r="Z547">
        <v>4</v>
      </c>
      <c r="AA547" t="s">
        <v>46</v>
      </c>
      <c r="AB547" t="s">
        <v>47</v>
      </c>
      <c r="AD547">
        <v>4</v>
      </c>
      <c r="AE547" s="2">
        <v>363.14</v>
      </c>
      <c r="AF547">
        <v>0.86770000000000003</v>
      </c>
      <c r="AG547" t="s">
        <v>49</v>
      </c>
      <c r="AH547" s="23">
        <f>SUM(Amazon_Data_Set[[#This Row],[Gross Sales]]-Amazon_Data_Set[[#This Row],[Discount Amount]])</f>
        <v>315.11</v>
      </c>
    </row>
    <row r="548" spans="1:34">
      <c r="A548" t="s">
        <v>1543</v>
      </c>
      <c r="B548" s="1">
        <v>46095</v>
      </c>
      <c r="C548" t="str">
        <f>TEXT(Amazon_Data_Set[[#This Row],[Order Date]],"mmm")</f>
        <v>Mar</v>
      </c>
      <c r="D548" t="s">
        <v>561</v>
      </c>
      <c r="E548" t="s">
        <v>194</v>
      </c>
      <c r="F548" t="s">
        <v>195</v>
      </c>
      <c r="G548" t="s">
        <v>111</v>
      </c>
      <c r="H548" t="s">
        <v>38</v>
      </c>
      <c r="I548" t="s">
        <v>66</v>
      </c>
      <c r="J548" t="s">
        <v>318</v>
      </c>
      <c r="K548" t="s">
        <v>282</v>
      </c>
      <c r="L548" t="s">
        <v>1544</v>
      </c>
      <c r="M548" t="s">
        <v>43</v>
      </c>
      <c r="N548" t="s">
        <v>60</v>
      </c>
      <c r="O548" t="s">
        <v>45</v>
      </c>
      <c r="P548">
        <v>3</v>
      </c>
      <c r="Q548">
        <v>808.21</v>
      </c>
      <c r="R548" s="19">
        <v>0</v>
      </c>
      <c r="S548" s="21">
        <v>0</v>
      </c>
      <c r="T548">
        <v>2424.63</v>
      </c>
      <c r="U548" s="2">
        <v>2424.63</v>
      </c>
      <c r="V548">
        <v>99.13</v>
      </c>
      <c r="W548">
        <v>1644.55</v>
      </c>
      <c r="X548" s="2">
        <v>680.95</v>
      </c>
      <c r="Y548">
        <v>0.28079999999999999</v>
      </c>
      <c r="Z548">
        <v>4</v>
      </c>
      <c r="AA548" t="s">
        <v>46</v>
      </c>
      <c r="AB548" t="s">
        <v>47</v>
      </c>
      <c r="AD548">
        <v>5</v>
      </c>
      <c r="AE548" s="2">
        <v>2279.3200000000002</v>
      </c>
      <c r="AF548">
        <v>1.0638000000000001</v>
      </c>
      <c r="AG548" t="s">
        <v>49</v>
      </c>
      <c r="AH548" s="23">
        <f>SUM(Amazon_Data_Set[[#This Row],[Gross Sales]]-Amazon_Data_Set[[#This Row],[Discount Amount]])</f>
        <v>2424.63</v>
      </c>
    </row>
    <row r="549" spans="1:34">
      <c r="A549" t="s">
        <v>1545</v>
      </c>
      <c r="B549" s="1">
        <v>46318</v>
      </c>
      <c r="C549" t="str">
        <f>TEXT(Amazon_Data_Set[[#This Row],[Order Date]],"mmm")</f>
        <v>Oct</v>
      </c>
      <c r="D549" t="s">
        <v>1093</v>
      </c>
      <c r="E549" t="s">
        <v>140</v>
      </c>
      <c r="F549" t="s">
        <v>141</v>
      </c>
      <c r="G549" t="s">
        <v>54</v>
      </c>
      <c r="H549" t="s">
        <v>38</v>
      </c>
      <c r="I549" t="s">
        <v>66</v>
      </c>
      <c r="J549" t="s">
        <v>318</v>
      </c>
      <c r="K549" t="s">
        <v>282</v>
      </c>
      <c r="L549" t="s">
        <v>1546</v>
      </c>
      <c r="M549" t="s">
        <v>106</v>
      </c>
      <c r="N549" t="s">
        <v>124</v>
      </c>
      <c r="O549" t="s">
        <v>130</v>
      </c>
      <c r="P549">
        <v>4</v>
      </c>
      <c r="Q549">
        <v>4316.8100000000004</v>
      </c>
      <c r="R549" s="19">
        <v>0.1</v>
      </c>
      <c r="S549" s="21">
        <v>1726.72</v>
      </c>
      <c r="T549">
        <v>17267.240000000002</v>
      </c>
      <c r="U549" s="2">
        <v>15540.52</v>
      </c>
      <c r="V549">
        <v>9.83</v>
      </c>
      <c r="W549">
        <v>11741.11</v>
      </c>
      <c r="X549" s="2">
        <v>3789.58</v>
      </c>
      <c r="Y549">
        <v>0.24390000000000001</v>
      </c>
      <c r="Z549">
        <v>1</v>
      </c>
      <c r="AA549" t="s">
        <v>131</v>
      </c>
      <c r="AB549" t="s">
        <v>47</v>
      </c>
      <c r="AE549" s="2">
        <v>18028.490000000002</v>
      </c>
      <c r="AF549">
        <v>0.86199999999999999</v>
      </c>
      <c r="AG549" t="s">
        <v>49</v>
      </c>
      <c r="AH549" s="23">
        <f>SUM(Amazon_Data_Set[[#This Row],[Gross Sales]]-Amazon_Data_Set[[#This Row],[Discount Amount]])</f>
        <v>15540.520000000002</v>
      </c>
    </row>
    <row r="550" spans="1:34">
      <c r="A550" t="s">
        <v>1547</v>
      </c>
      <c r="B550" s="1">
        <v>46359</v>
      </c>
      <c r="C550" t="str">
        <f>TEXT(Amazon_Data_Set[[#This Row],[Order Date]],"mmm")</f>
        <v>Dec</v>
      </c>
      <c r="D550" t="s">
        <v>1548</v>
      </c>
      <c r="E550" t="s">
        <v>80</v>
      </c>
      <c r="F550" t="s">
        <v>81</v>
      </c>
      <c r="G550" t="s">
        <v>82</v>
      </c>
      <c r="H550" t="s">
        <v>38</v>
      </c>
      <c r="I550" t="s">
        <v>39</v>
      </c>
      <c r="J550" t="s">
        <v>155</v>
      </c>
      <c r="K550" t="s">
        <v>156</v>
      </c>
      <c r="L550" t="s">
        <v>1549</v>
      </c>
      <c r="M550" t="s">
        <v>106</v>
      </c>
      <c r="N550" t="s">
        <v>77</v>
      </c>
      <c r="O550" t="s">
        <v>45</v>
      </c>
      <c r="P550">
        <v>1</v>
      </c>
      <c r="Q550">
        <v>449.63</v>
      </c>
      <c r="R550" s="19">
        <v>0.05</v>
      </c>
      <c r="S550" s="21">
        <v>22.48</v>
      </c>
      <c r="T550">
        <v>449.63</v>
      </c>
      <c r="U550" s="2">
        <v>427.15</v>
      </c>
      <c r="V550">
        <v>37.82</v>
      </c>
      <c r="W550">
        <v>281.98</v>
      </c>
      <c r="X550" s="2">
        <v>107.35</v>
      </c>
      <c r="Y550">
        <v>0.25130000000000002</v>
      </c>
      <c r="Z550">
        <v>6</v>
      </c>
      <c r="AA550" t="s">
        <v>61</v>
      </c>
      <c r="AB550" t="s">
        <v>47</v>
      </c>
      <c r="AD550">
        <v>3</v>
      </c>
      <c r="AE550" s="2">
        <v>375.34</v>
      </c>
      <c r="AF550">
        <v>1.1379999999999999</v>
      </c>
      <c r="AG550" t="s">
        <v>49</v>
      </c>
      <c r="AH550" s="23">
        <f>SUM(Amazon_Data_Set[[#This Row],[Gross Sales]]-Amazon_Data_Set[[#This Row],[Discount Amount]])</f>
        <v>427.15</v>
      </c>
    </row>
    <row r="551" spans="1:34">
      <c r="A551" t="s">
        <v>1550</v>
      </c>
      <c r="B551" s="1">
        <v>46188</v>
      </c>
      <c r="C551" t="str">
        <f>TEXT(Amazon_Data_Set[[#This Row],[Order Date]],"mmm")</f>
        <v>Jun</v>
      </c>
      <c r="D551" t="s">
        <v>729</v>
      </c>
      <c r="E551" t="s">
        <v>64</v>
      </c>
      <c r="F551" t="s">
        <v>65</v>
      </c>
      <c r="G551" t="s">
        <v>54</v>
      </c>
      <c r="H551" t="s">
        <v>38</v>
      </c>
      <c r="I551" t="s">
        <v>39</v>
      </c>
      <c r="J551" t="s">
        <v>155</v>
      </c>
      <c r="K551" t="s">
        <v>156</v>
      </c>
      <c r="L551" t="s">
        <v>1551</v>
      </c>
      <c r="M551" t="s">
        <v>106</v>
      </c>
      <c r="N551" t="s">
        <v>124</v>
      </c>
      <c r="O551" t="s">
        <v>45</v>
      </c>
      <c r="P551">
        <v>3</v>
      </c>
      <c r="Q551">
        <v>907.64</v>
      </c>
      <c r="R551" s="19">
        <v>0</v>
      </c>
      <c r="S551" s="21">
        <v>0</v>
      </c>
      <c r="T551">
        <v>2722.92</v>
      </c>
      <c r="U551" s="2">
        <v>2722.92</v>
      </c>
      <c r="V551">
        <v>177.97</v>
      </c>
      <c r="W551">
        <v>1442.09</v>
      </c>
      <c r="X551" s="2">
        <v>1102.8599999999999</v>
      </c>
      <c r="Y551">
        <v>0.40500000000000003</v>
      </c>
      <c r="Z551">
        <v>5</v>
      </c>
      <c r="AA551" t="s">
        <v>61</v>
      </c>
      <c r="AB551" t="s">
        <v>47</v>
      </c>
      <c r="AD551">
        <v>5</v>
      </c>
      <c r="AE551" s="2">
        <v>2768.58</v>
      </c>
      <c r="AF551">
        <v>0.98350000000000004</v>
      </c>
      <c r="AG551" t="s">
        <v>49</v>
      </c>
      <c r="AH551" s="23">
        <f>SUM(Amazon_Data_Set[[#This Row],[Gross Sales]]-Amazon_Data_Set[[#This Row],[Discount Amount]])</f>
        <v>2722.92</v>
      </c>
    </row>
    <row r="552" spans="1:34">
      <c r="A552" t="s">
        <v>1552</v>
      </c>
      <c r="B552" s="1">
        <v>46067</v>
      </c>
      <c r="C552" t="str">
        <f>TEXT(Amazon_Data_Set[[#This Row],[Order Date]],"mmm")</f>
        <v>Feb</v>
      </c>
      <c r="D552" t="s">
        <v>429</v>
      </c>
      <c r="E552" t="s">
        <v>194</v>
      </c>
      <c r="F552" t="s">
        <v>195</v>
      </c>
      <c r="G552" t="s">
        <v>111</v>
      </c>
      <c r="H552" t="s">
        <v>38</v>
      </c>
      <c r="I552" t="s">
        <v>161</v>
      </c>
      <c r="J552" t="s">
        <v>223</v>
      </c>
      <c r="K552" t="s">
        <v>224</v>
      </c>
      <c r="L552" t="s">
        <v>1553</v>
      </c>
      <c r="M552" t="s">
        <v>106</v>
      </c>
      <c r="N552" t="s">
        <v>60</v>
      </c>
      <c r="O552" t="s">
        <v>45</v>
      </c>
      <c r="P552">
        <v>2</v>
      </c>
      <c r="Q552">
        <v>686.2</v>
      </c>
      <c r="R552" s="19">
        <v>0.15</v>
      </c>
      <c r="S552" s="21">
        <v>205.86</v>
      </c>
      <c r="T552">
        <v>1372.4</v>
      </c>
      <c r="U552" s="2">
        <v>1166.54</v>
      </c>
      <c r="V552">
        <v>103.2</v>
      </c>
      <c r="W552">
        <v>685.92</v>
      </c>
      <c r="X552" s="2">
        <v>377.42</v>
      </c>
      <c r="Y552">
        <v>0.32350000000000001</v>
      </c>
      <c r="Z552">
        <v>4</v>
      </c>
      <c r="AA552" t="s">
        <v>46</v>
      </c>
      <c r="AB552" t="s">
        <v>47</v>
      </c>
      <c r="AD552">
        <v>3</v>
      </c>
      <c r="AE552" s="2">
        <v>1231.8900000000001</v>
      </c>
      <c r="AF552">
        <v>0.94699999999999995</v>
      </c>
      <c r="AG552" t="s">
        <v>49</v>
      </c>
      <c r="AH552" s="23">
        <f>SUM(Amazon_Data_Set[[#This Row],[Gross Sales]]-Amazon_Data_Set[[#This Row],[Discount Amount]])</f>
        <v>1166.54</v>
      </c>
    </row>
    <row r="553" spans="1:34">
      <c r="A553" t="s">
        <v>1554</v>
      </c>
      <c r="B553" s="1">
        <v>46082</v>
      </c>
      <c r="C553" t="str">
        <f>TEXT(Amazon_Data_Set[[#This Row],[Order Date]],"mmm")</f>
        <v>Mar</v>
      </c>
      <c r="D553" t="s">
        <v>1048</v>
      </c>
      <c r="E553" t="s">
        <v>275</v>
      </c>
      <c r="F553" t="s">
        <v>276</v>
      </c>
      <c r="G553" t="s">
        <v>37</v>
      </c>
      <c r="H553" t="s">
        <v>38</v>
      </c>
      <c r="I553" t="s">
        <v>161</v>
      </c>
      <c r="J553" t="s">
        <v>297</v>
      </c>
      <c r="K553" t="s">
        <v>298</v>
      </c>
      <c r="L553" t="s">
        <v>1555</v>
      </c>
      <c r="M553" t="s">
        <v>106</v>
      </c>
      <c r="N553" t="s">
        <v>60</v>
      </c>
      <c r="O553" t="s">
        <v>45</v>
      </c>
      <c r="P553">
        <v>3</v>
      </c>
      <c r="Q553">
        <v>1045.28</v>
      </c>
      <c r="R553" s="19">
        <v>0.25</v>
      </c>
      <c r="S553" s="21">
        <v>783.96</v>
      </c>
      <c r="T553">
        <v>3135.84</v>
      </c>
      <c r="U553" s="2">
        <v>2351.88</v>
      </c>
      <c r="V553">
        <v>27.7</v>
      </c>
      <c r="W553">
        <v>1324.93</v>
      </c>
      <c r="X553" s="2">
        <v>999.25</v>
      </c>
      <c r="Y553">
        <v>0.4249</v>
      </c>
      <c r="Z553">
        <v>7</v>
      </c>
      <c r="AA553" t="s">
        <v>61</v>
      </c>
      <c r="AB553" t="s">
        <v>48</v>
      </c>
      <c r="AC553" t="s">
        <v>197</v>
      </c>
      <c r="AD553">
        <v>4</v>
      </c>
      <c r="AE553" s="2">
        <v>2078.06</v>
      </c>
      <c r="AF553">
        <v>1.1317999999999999</v>
      </c>
      <c r="AG553" t="s">
        <v>49</v>
      </c>
      <c r="AH553" s="23">
        <f>SUM(Amazon_Data_Set[[#This Row],[Gross Sales]]-Amazon_Data_Set[[#This Row],[Discount Amount]])</f>
        <v>2351.88</v>
      </c>
    </row>
    <row r="554" spans="1:34">
      <c r="A554" t="s">
        <v>1556</v>
      </c>
      <c r="B554" s="1">
        <v>46279</v>
      </c>
      <c r="C554" t="str">
        <f>TEXT(Amazon_Data_Set[[#This Row],[Order Date]],"mmm")</f>
        <v>Sep</v>
      </c>
      <c r="D554" t="s">
        <v>1126</v>
      </c>
      <c r="E554" t="s">
        <v>228</v>
      </c>
      <c r="F554" t="s">
        <v>229</v>
      </c>
      <c r="G554" t="s">
        <v>37</v>
      </c>
      <c r="H554" t="s">
        <v>142</v>
      </c>
      <c r="I554" t="s">
        <v>214</v>
      </c>
      <c r="J554" t="s">
        <v>350</v>
      </c>
      <c r="K554" t="s">
        <v>351</v>
      </c>
      <c r="L554" t="s">
        <v>1557</v>
      </c>
      <c r="M554" t="s">
        <v>106</v>
      </c>
      <c r="N554" t="s">
        <v>95</v>
      </c>
      <c r="O554" t="s">
        <v>45</v>
      </c>
      <c r="P554">
        <v>4</v>
      </c>
      <c r="Q554">
        <v>1090.58</v>
      </c>
      <c r="R554" s="19">
        <v>0.3</v>
      </c>
      <c r="S554" s="21">
        <v>1308.7</v>
      </c>
      <c r="T554">
        <v>4362.32</v>
      </c>
      <c r="U554" s="2">
        <v>3053.62</v>
      </c>
      <c r="V554">
        <v>15.64</v>
      </c>
      <c r="W554">
        <v>2248.2800000000002</v>
      </c>
      <c r="X554" s="2">
        <v>789.7</v>
      </c>
      <c r="Y554">
        <v>0.2586</v>
      </c>
      <c r="Z554">
        <v>6</v>
      </c>
      <c r="AA554" t="s">
        <v>61</v>
      </c>
      <c r="AB554" t="s">
        <v>47</v>
      </c>
      <c r="AD554">
        <v>5</v>
      </c>
      <c r="AE554" s="2">
        <v>3582.25</v>
      </c>
      <c r="AF554">
        <v>0.85240000000000005</v>
      </c>
      <c r="AG554" t="s">
        <v>49</v>
      </c>
      <c r="AH554" s="23">
        <f>SUM(Amazon_Data_Set[[#This Row],[Gross Sales]]-Amazon_Data_Set[[#This Row],[Discount Amount]])</f>
        <v>3053.62</v>
      </c>
    </row>
    <row r="555" spans="1:34">
      <c r="A555" t="s">
        <v>1558</v>
      </c>
      <c r="B555" s="1">
        <v>46026</v>
      </c>
      <c r="C555" t="str">
        <f>TEXT(Amazon_Data_Set[[#This Row],[Order Date]],"mmm")</f>
        <v>Jan</v>
      </c>
      <c r="D555" t="s">
        <v>182</v>
      </c>
      <c r="E555" t="s">
        <v>109</v>
      </c>
      <c r="F555" t="s">
        <v>110</v>
      </c>
      <c r="G555" t="s">
        <v>111</v>
      </c>
      <c r="H555" t="s">
        <v>83</v>
      </c>
      <c r="I555" t="s">
        <v>188</v>
      </c>
      <c r="J555" t="s">
        <v>690</v>
      </c>
      <c r="K555" t="s">
        <v>691</v>
      </c>
      <c r="L555" t="s">
        <v>1559</v>
      </c>
      <c r="M555" t="s">
        <v>106</v>
      </c>
      <c r="N555" t="s">
        <v>60</v>
      </c>
      <c r="O555" t="s">
        <v>45</v>
      </c>
      <c r="P555">
        <v>4</v>
      </c>
      <c r="Q555">
        <v>185.55</v>
      </c>
      <c r="R555" s="19">
        <v>0.25</v>
      </c>
      <c r="S555" s="21">
        <v>185.55</v>
      </c>
      <c r="T555">
        <v>742.2</v>
      </c>
      <c r="U555" s="2">
        <v>556.65</v>
      </c>
      <c r="V555">
        <v>8.26</v>
      </c>
      <c r="W555">
        <v>290.33</v>
      </c>
      <c r="X555" s="2">
        <v>258.06</v>
      </c>
      <c r="Y555">
        <v>0.46360000000000001</v>
      </c>
      <c r="Z555">
        <v>3</v>
      </c>
      <c r="AA555" t="s">
        <v>46</v>
      </c>
      <c r="AB555" t="s">
        <v>47</v>
      </c>
      <c r="AD555">
        <v>3</v>
      </c>
      <c r="AE555" s="2">
        <v>492.12</v>
      </c>
      <c r="AF555">
        <v>1.1311</v>
      </c>
      <c r="AG555" t="s">
        <v>49</v>
      </c>
      <c r="AH555" s="23">
        <f>SUM(Amazon_Data_Set[[#This Row],[Gross Sales]]-Amazon_Data_Set[[#This Row],[Discount Amount]])</f>
        <v>556.65000000000009</v>
      </c>
    </row>
    <row r="556" spans="1:34">
      <c r="A556" t="s">
        <v>1560</v>
      </c>
      <c r="B556" s="1">
        <v>46163</v>
      </c>
      <c r="C556" t="str">
        <f>TEXT(Amazon_Data_Set[[#This Row],[Order Date]],"mmm")</f>
        <v>May</v>
      </c>
      <c r="D556" t="s">
        <v>696</v>
      </c>
      <c r="E556" t="s">
        <v>140</v>
      </c>
      <c r="F556" t="s">
        <v>141</v>
      </c>
      <c r="G556" t="s">
        <v>54</v>
      </c>
      <c r="H556" t="s">
        <v>142</v>
      </c>
      <c r="I556" t="s">
        <v>143</v>
      </c>
      <c r="J556" t="s">
        <v>144</v>
      </c>
      <c r="K556" t="s">
        <v>145</v>
      </c>
      <c r="L556" t="s">
        <v>1561</v>
      </c>
      <c r="M556" t="s">
        <v>106</v>
      </c>
      <c r="N556" t="s">
        <v>44</v>
      </c>
      <c r="O556" t="s">
        <v>45</v>
      </c>
      <c r="P556">
        <v>4</v>
      </c>
      <c r="Q556">
        <v>2240.09</v>
      </c>
      <c r="R556" s="19">
        <v>0.15</v>
      </c>
      <c r="S556" s="21">
        <v>1344.05</v>
      </c>
      <c r="T556">
        <v>8960.36</v>
      </c>
      <c r="U556" s="2">
        <v>7616.31</v>
      </c>
      <c r="V556">
        <v>47.82</v>
      </c>
      <c r="W556">
        <v>4179.0600000000004</v>
      </c>
      <c r="X556" s="2">
        <v>3389.43</v>
      </c>
      <c r="Y556">
        <v>0.44500000000000001</v>
      </c>
      <c r="Z556">
        <v>8</v>
      </c>
      <c r="AA556" t="s">
        <v>61</v>
      </c>
      <c r="AB556" t="s">
        <v>47</v>
      </c>
      <c r="AD556">
        <v>5</v>
      </c>
      <c r="AE556" s="2">
        <v>8485.8700000000008</v>
      </c>
      <c r="AF556">
        <v>0.89749999999999996</v>
      </c>
      <c r="AG556" t="s">
        <v>49</v>
      </c>
      <c r="AH556" s="23">
        <f>SUM(Amazon_Data_Set[[#This Row],[Gross Sales]]-Amazon_Data_Set[[#This Row],[Discount Amount]])</f>
        <v>7616.31</v>
      </c>
    </row>
    <row r="557" spans="1:34">
      <c r="A557" t="s">
        <v>1562</v>
      </c>
      <c r="B557" s="1">
        <v>46283</v>
      </c>
      <c r="C557" t="str">
        <f>TEXT(Amazon_Data_Set[[#This Row],[Order Date]],"mmm")</f>
        <v>Sep</v>
      </c>
      <c r="D557" t="s">
        <v>884</v>
      </c>
      <c r="E557" t="s">
        <v>174</v>
      </c>
      <c r="F557" t="s">
        <v>175</v>
      </c>
      <c r="G557" t="s">
        <v>82</v>
      </c>
      <c r="H557" t="s">
        <v>55</v>
      </c>
      <c r="I557" t="s">
        <v>120</v>
      </c>
      <c r="J557" t="s">
        <v>121</v>
      </c>
      <c r="K557" t="s">
        <v>122</v>
      </c>
      <c r="L557" t="s">
        <v>1563</v>
      </c>
      <c r="M557" t="s">
        <v>106</v>
      </c>
      <c r="N557" t="s">
        <v>60</v>
      </c>
      <c r="O557" t="s">
        <v>45</v>
      </c>
      <c r="P557">
        <v>3</v>
      </c>
      <c r="Q557">
        <v>1795.99</v>
      </c>
      <c r="R557" s="19">
        <v>0.15</v>
      </c>
      <c r="S557" s="21">
        <v>808.2</v>
      </c>
      <c r="T557">
        <v>5387.97</v>
      </c>
      <c r="U557" s="2">
        <v>4579.7700000000004</v>
      </c>
      <c r="V557">
        <v>244.02</v>
      </c>
      <c r="W557">
        <v>3482.44</v>
      </c>
      <c r="X557" s="2">
        <v>853.31</v>
      </c>
      <c r="Y557">
        <v>0.18629999999999999</v>
      </c>
      <c r="Z557">
        <v>1</v>
      </c>
      <c r="AA557" t="s">
        <v>46</v>
      </c>
      <c r="AB557" t="s">
        <v>47</v>
      </c>
      <c r="AD557">
        <v>5</v>
      </c>
      <c r="AE557" s="2">
        <v>4476.78</v>
      </c>
      <c r="AF557">
        <v>1.0229999999999999</v>
      </c>
      <c r="AG557" t="s">
        <v>49</v>
      </c>
      <c r="AH557" s="23">
        <f>SUM(Amazon_Data_Set[[#This Row],[Gross Sales]]-Amazon_Data_Set[[#This Row],[Discount Amount]])</f>
        <v>4579.7700000000004</v>
      </c>
    </row>
    <row r="558" spans="1:34">
      <c r="A558" t="s">
        <v>1564</v>
      </c>
      <c r="B558" s="1">
        <v>46210</v>
      </c>
      <c r="C558" t="str">
        <f>TEXT(Amazon_Data_Set[[#This Row],[Order Date]],"mmm")</f>
        <v>Jul</v>
      </c>
      <c r="D558" t="s">
        <v>1057</v>
      </c>
      <c r="E558" t="s">
        <v>235</v>
      </c>
      <c r="F558" t="s">
        <v>236</v>
      </c>
      <c r="G558" t="s">
        <v>82</v>
      </c>
      <c r="H558" t="s">
        <v>38</v>
      </c>
      <c r="I558" t="s">
        <v>39</v>
      </c>
      <c r="J558" t="s">
        <v>281</v>
      </c>
      <c r="K558" t="s">
        <v>282</v>
      </c>
      <c r="L558" t="s">
        <v>1565</v>
      </c>
      <c r="M558" t="s">
        <v>106</v>
      </c>
      <c r="N558" t="s">
        <v>70</v>
      </c>
      <c r="O558" t="s">
        <v>45</v>
      </c>
      <c r="P558">
        <v>1</v>
      </c>
      <c r="Q558">
        <v>1974.53</v>
      </c>
      <c r="R558" s="19">
        <v>0.25</v>
      </c>
      <c r="S558" s="21">
        <v>493.63</v>
      </c>
      <c r="T558">
        <v>1974.53</v>
      </c>
      <c r="U558" s="2">
        <v>1480.9</v>
      </c>
      <c r="V558">
        <v>232.83</v>
      </c>
      <c r="W558">
        <v>911.63</v>
      </c>
      <c r="X558" s="2">
        <v>336.44</v>
      </c>
      <c r="Y558">
        <v>0.22720000000000001</v>
      </c>
      <c r="Z558">
        <v>1</v>
      </c>
      <c r="AA558" t="s">
        <v>46</v>
      </c>
      <c r="AB558" t="s">
        <v>48</v>
      </c>
      <c r="AC558" t="s">
        <v>197</v>
      </c>
      <c r="AD558">
        <v>4</v>
      </c>
      <c r="AE558" s="2">
        <v>1816.4</v>
      </c>
      <c r="AF558">
        <v>0.81530000000000002</v>
      </c>
      <c r="AG558" t="s">
        <v>49</v>
      </c>
      <c r="AH558" s="23">
        <f>SUM(Amazon_Data_Set[[#This Row],[Gross Sales]]-Amazon_Data_Set[[#This Row],[Discount Amount]])</f>
        <v>1480.9</v>
      </c>
    </row>
    <row r="559" spans="1:34">
      <c r="A559" t="s">
        <v>1566</v>
      </c>
      <c r="B559" s="1">
        <v>46186</v>
      </c>
      <c r="C559" t="str">
        <f>TEXT(Amazon_Data_Set[[#This Row],[Order Date]],"mmm")</f>
        <v>Jun</v>
      </c>
      <c r="D559" t="s">
        <v>1079</v>
      </c>
      <c r="E559" t="s">
        <v>109</v>
      </c>
      <c r="F559" t="s">
        <v>154</v>
      </c>
      <c r="G559" t="s">
        <v>111</v>
      </c>
      <c r="H559" t="s">
        <v>142</v>
      </c>
      <c r="I559" t="s">
        <v>214</v>
      </c>
      <c r="J559" t="s">
        <v>350</v>
      </c>
      <c r="K559" t="s">
        <v>351</v>
      </c>
      <c r="L559" t="s">
        <v>1567</v>
      </c>
      <c r="M559" t="s">
        <v>106</v>
      </c>
      <c r="N559" t="s">
        <v>60</v>
      </c>
      <c r="O559" t="s">
        <v>45</v>
      </c>
      <c r="P559">
        <v>1</v>
      </c>
      <c r="Q559">
        <v>9043.4699999999993</v>
      </c>
      <c r="R559" s="19">
        <v>0.15</v>
      </c>
      <c r="S559" s="21">
        <v>1356.52</v>
      </c>
      <c r="T559">
        <v>9043.4699999999993</v>
      </c>
      <c r="U559" s="2">
        <v>7686.95</v>
      </c>
      <c r="V559">
        <v>178.46</v>
      </c>
      <c r="W559">
        <v>5678.89</v>
      </c>
      <c r="X559" s="2">
        <v>1829.6</v>
      </c>
      <c r="Y559">
        <v>0.23799999999999999</v>
      </c>
      <c r="Z559">
        <v>7</v>
      </c>
      <c r="AA559" t="s">
        <v>61</v>
      </c>
      <c r="AB559" t="s">
        <v>47</v>
      </c>
      <c r="AD559">
        <v>5</v>
      </c>
      <c r="AE559" s="2">
        <v>7616.03</v>
      </c>
      <c r="AF559">
        <v>1.0093000000000001</v>
      </c>
      <c r="AG559" t="s">
        <v>49</v>
      </c>
      <c r="AH559" s="23">
        <f>SUM(Amazon_Data_Set[[#This Row],[Gross Sales]]-Amazon_Data_Set[[#This Row],[Discount Amount]])</f>
        <v>7686.9499999999989</v>
      </c>
    </row>
    <row r="560" spans="1:34">
      <c r="A560" t="s">
        <v>1568</v>
      </c>
      <c r="B560" s="1">
        <v>46382</v>
      </c>
      <c r="C560" t="str">
        <f>TEXT(Amazon_Data_Set[[#This Row],[Order Date]],"mmm")</f>
        <v>Dec</v>
      </c>
      <c r="D560" t="s">
        <v>354</v>
      </c>
      <c r="E560" t="s">
        <v>174</v>
      </c>
      <c r="F560" t="s">
        <v>175</v>
      </c>
      <c r="G560" t="s">
        <v>82</v>
      </c>
      <c r="H560" t="s">
        <v>142</v>
      </c>
      <c r="I560" t="s">
        <v>214</v>
      </c>
      <c r="J560" t="s">
        <v>350</v>
      </c>
      <c r="K560" t="s">
        <v>351</v>
      </c>
      <c r="L560" t="s">
        <v>1569</v>
      </c>
      <c r="M560" t="s">
        <v>106</v>
      </c>
      <c r="N560" t="s">
        <v>44</v>
      </c>
      <c r="O560" t="s">
        <v>45</v>
      </c>
      <c r="P560">
        <v>3</v>
      </c>
      <c r="Q560">
        <v>10983.21</v>
      </c>
      <c r="R560" s="19">
        <v>0.15</v>
      </c>
      <c r="S560" s="21">
        <v>4942.4399999999996</v>
      </c>
      <c r="T560">
        <v>32949.629999999997</v>
      </c>
      <c r="U560" s="2">
        <v>28007.19</v>
      </c>
      <c r="V560">
        <v>77.56</v>
      </c>
      <c r="W560">
        <v>20055.57</v>
      </c>
      <c r="X560" s="2">
        <v>7874.06</v>
      </c>
      <c r="Y560">
        <v>0.28110000000000002</v>
      </c>
      <c r="Z560">
        <v>3</v>
      </c>
      <c r="AA560" t="s">
        <v>46</v>
      </c>
      <c r="AB560" t="s">
        <v>47</v>
      </c>
      <c r="AD560">
        <v>5</v>
      </c>
      <c r="AE560" s="2">
        <v>25411.9</v>
      </c>
      <c r="AF560">
        <v>1.1021000000000001</v>
      </c>
      <c r="AG560" t="s">
        <v>49</v>
      </c>
      <c r="AH560" s="23">
        <f>SUM(Amazon_Data_Set[[#This Row],[Gross Sales]]-Amazon_Data_Set[[#This Row],[Discount Amount]])</f>
        <v>28007.19</v>
      </c>
    </row>
    <row r="561" spans="1:34">
      <c r="A561" t="s">
        <v>1570</v>
      </c>
      <c r="B561" s="1">
        <v>46250</v>
      </c>
      <c r="C561" t="str">
        <f>TEXT(Amazon_Data_Set[[#This Row],[Order Date]],"mmm")</f>
        <v>Aug</v>
      </c>
      <c r="D561" t="s">
        <v>51</v>
      </c>
      <c r="E561" t="s">
        <v>80</v>
      </c>
      <c r="F561" t="s">
        <v>81</v>
      </c>
      <c r="G561" t="s">
        <v>82</v>
      </c>
      <c r="H561" t="s">
        <v>55</v>
      </c>
      <c r="I561" t="s">
        <v>56</v>
      </c>
      <c r="J561" t="s">
        <v>582</v>
      </c>
      <c r="K561" t="s">
        <v>583</v>
      </c>
      <c r="L561" t="s">
        <v>1571</v>
      </c>
      <c r="M561" t="s">
        <v>106</v>
      </c>
      <c r="N561" t="s">
        <v>60</v>
      </c>
      <c r="O561" t="s">
        <v>96</v>
      </c>
      <c r="P561">
        <v>1</v>
      </c>
      <c r="Q561">
        <v>35100.480000000003</v>
      </c>
      <c r="R561" s="19">
        <v>0.25</v>
      </c>
      <c r="S561" s="21">
        <v>8775.1200000000008</v>
      </c>
      <c r="T561">
        <v>35100.480000000003</v>
      </c>
      <c r="U561" s="2">
        <v>26325.360000000001</v>
      </c>
      <c r="V561">
        <v>183.66</v>
      </c>
      <c r="W561">
        <v>19157.080000000002</v>
      </c>
      <c r="X561" s="2">
        <v>6984.62</v>
      </c>
      <c r="Y561">
        <v>0.26529999999999998</v>
      </c>
      <c r="Z561">
        <v>0</v>
      </c>
      <c r="AA561" t="s">
        <v>97</v>
      </c>
      <c r="AB561" t="s">
        <v>47</v>
      </c>
      <c r="AE561" s="2">
        <v>31249.95</v>
      </c>
      <c r="AF561">
        <v>0.84240000000000004</v>
      </c>
      <c r="AG561" t="s">
        <v>49</v>
      </c>
      <c r="AH561" s="23">
        <f>SUM(Amazon_Data_Set[[#This Row],[Gross Sales]]-Amazon_Data_Set[[#This Row],[Discount Amount]])</f>
        <v>26325.360000000001</v>
      </c>
    </row>
    <row r="562" spans="1:34">
      <c r="A562" t="s">
        <v>1572</v>
      </c>
      <c r="B562" s="1">
        <v>46263</v>
      </c>
      <c r="C562" t="str">
        <f>TEXT(Amazon_Data_Set[[#This Row],[Order Date]],"mmm")</f>
        <v>Aug</v>
      </c>
      <c r="D562" t="s">
        <v>349</v>
      </c>
      <c r="E562" t="s">
        <v>100</v>
      </c>
      <c r="F562" t="s">
        <v>101</v>
      </c>
      <c r="G562" t="s">
        <v>54</v>
      </c>
      <c r="H562" t="s">
        <v>142</v>
      </c>
      <c r="I562" t="s">
        <v>209</v>
      </c>
      <c r="J562" t="s">
        <v>210</v>
      </c>
      <c r="K562" t="s">
        <v>201</v>
      </c>
      <c r="L562" t="s">
        <v>1573</v>
      </c>
      <c r="M562" t="s">
        <v>43</v>
      </c>
      <c r="N562" t="s">
        <v>70</v>
      </c>
      <c r="O562" t="s">
        <v>96</v>
      </c>
      <c r="P562">
        <v>5</v>
      </c>
      <c r="Q562">
        <v>1800.52</v>
      </c>
      <c r="R562" s="19">
        <v>0.3</v>
      </c>
      <c r="S562" s="21">
        <v>2700.78</v>
      </c>
      <c r="T562">
        <v>9002.6</v>
      </c>
      <c r="U562" s="2">
        <v>6301.82</v>
      </c>
      <c r="V562">
        <v>62.22</v>
      </c>
      <c r="W562">
        <v>4824.5200000000004</v>
      </c>
      <c r="X562" s="2">
        <v>1415.08</v>
      </c>
      <c r="Y562">
        <v>0.22459999999999999</v>
      </c>
      <c r="Z562">
        <v>0</v>
      </c>
      <c r="AA562" t="s">
        <v>97</v>
      </c>
      <c r="AB562" t="s">
        <v>47</v>
      </c>
      <c r="AE562" s="2">
        <v>7272.86</v>
      </c>
      <c r="AF562">
        <v>0.86650000000000005</v>
      </c>
      <c r="AG562" t="s">
        <v>49</v>
      </c>
      <c r="AH562" s="23">
        <f>SUM(Amazon_Data_Set[[#This Row],[Gross Sales]]-Amazon_Data_Set[[#This Row],[Discount Amount]])</f>
        <v>6301.82</v>
      </c>
    </row>
    <row r="563" spans="1:34">
      <c r="A563" t="s">
        <v>1574</v>
      </c>
      <c r="B563" s="1">
        <v>46057</v>
      </c>
      <c r="C563" t="str">
        <f>TEXT(Amazon_Data_Set[[#This Row],[Order Date]],"mmm")</f>
        <v>Feb</v>
      </c>
      <c r="D563" t="s">
        <v>515</v>
      </c>
      <c r="E563" t="s">
        <v>118</v>
      </c>
      <c r="F563" t="s">
        <v>119</v>
      </c>
      <c r="G563" t="s">
        <v>82</v>
      </c>
      <c r="H563" t="s">
        <v>38</v>
      </c>
      <c r="I563" t="s">
        <v>39</v>
      </c>
      <c r="J563" t="s">
        <v>281</v>
      </c>
      <c r="K563" t="s">
        <v>282</v>
      </c>
      <c r="L563" t="s">
        <v>1575</v>
      </c>
      <c r="M563" t="s">
        <v>106</v>
      </c>
      <c r="N563" t="s">
        <v>60</v>
      </c>
      <c r="O563" t="s">
        <v>130</v>
      </c>
      <c r="P563">
        <v>4</v>
      </c>
      <c r="Q563">
        <v>2833.1</v>
      </c>
      <c r="R563" s="19">
        <v>0.05</v>
      </c>
      <c r="S563" s="21">
        <v>566.62</v>
      </c>
      <c r="T563">
        <v>11332.4</v>
      </c>
      <c r="U563" s="2">
        <v>10765.78</v>
      </c>
      <c r="V563">
        <v>145.80000000000001</v>
      </c>
      <c r="W563">
        <v>6229.21</v>
      </c>
      <c r="X563" s="2">
        <v>4390.7700000000004</v>
      </c>
      <c r="Y563">
        <v>0.4078</v>
      </c>
      <c r="Z563">
        <v>7</v>
      </c>
      <c r="AA563" t="s">
        <v>131</v>
      </c>
      <c r="AB563" t="s">
        <v>47</v>
      </c>
      <c r="AE563" s="2">
        <v>11906.42</v>
      </c>
      <c r="AF563">
        <v>0.9042</v>
      </c>
      <c r="AG563" t="s">
        <v>347</v>
      </c>
      <c r="AH563" s="23">
        <f>SUM(Amazon_Data_Set[[#This Row],[Gross Sales]]-Amazon_Data_Set[[#This Row],[Discount Amount]])</f>
        <v>10765.779999999999</v>
      </c>
    </row>
    <row r="564" spans="1:34">
      <c r="A564" t="s">
        <v>1576</v>
      </c>
      <c r="B564" s="1">
        <v>46057</v>
      </c>
      <c r="C564" t="str">
        <f>TEXT(Amazon_Data_Set[[#This Row],[Order Date]],"mmm")</f>
        <v>Feb</v>
      </c>
      <c r="D564" t="s">
        <v>614</v>
      </c>
      <c r="E564" t="s">
        <v>80</v>
      </c>
      <c r="F564" t="s">
        <v>81</v>
      </c>
      <c r="G564" t="s">
        <v>82</v>
      </c>
      <c r="H564" t="s">
        <v>90</v>
      </c>
      <c r="I564" t="s">
        <v>91</v>
      </c>
      <c r="J564" t="s">
        <v>313</v>
      </c>
      <c r="K564" t="s">
        <v>314</v>
      </c>
      <c r="L564" t="s">
        <v>1577</v>
      </c>
      <c r="M564" t="s">
        <v>106</v>
      </c>
      <c r="N564" t="s">
        <v>95</v>
      </c>
      <c r="O564" t="s">
        <v>45</v>
      </c>
      <c r="P564">
        <v>4</v>
      </c>
      <c r="Q564">
        <v>611.21</v>
      </c>
      <c r="R564" s="19">
        <v>0</v>
      </c>
      <c r="S564" s="21">
        <v>0</v>
      </c>
      <c r="T564">
        <v>2444.84</v>
      </c>
      <c r="U564" s="2">
        <v>2444.84</v>
      </c>
      <c r="V564">
        <v>181.68</v>
      </c>
      <c r="W564">
        <v>1874.76</v>
      </c>
      <c r="X564" s="2">
        <v>388.4</v>
      </c>
      <c r="Y564">
        <v>0.15890000000000001</v>
      </c>
      <c r="Z564">
        <v>5</v>
      </c>
      <c r="AA564" t="s">
        <v>61</v>
      </c>
      <c r="AB564" t="s">
        <v>48</v>
      </c>
      <c r="AC564" t="s">
        <v>137</v>
      </c>
      <c r="AD564">
        <v>5</v>
      </c>
      <c r="AE564" s="2">
        <v>2462.4899999999998</v>
      </c>
      <c r="AF564">
        <v>0.99280000000000002</v>
      </c>
      <c r="AG564" t="s">
        <v>49</v>
      </c>
      <c r="AH564" s="23">
        <f>SUM(Amazon_Data_Set[[#This Row],[Gross Sales]]-Amazon_Data_Set[[#This Row],[Discount Amount]])</f>
        <v>2444.84</v>
      </c>
    </row>
    <row r="565" spans="1:34">
      <c r="A565" t="s">
        <v>1578</v>
      </c>
      <c r="B565" s="1">
        <v>46278</v>
      </c>
      <c r="C565" t="str">
        <f>TEXT(Amazon_Data_Set[[#This Row],[Order Date]],"mmm")</f>
        <v>Sep</v>
      </c>
      <c r="D565" t="s">
        <v>1460</v>
      </c>
      <c r="E565" t="s">
        <v>109</v>
      </c>
      <c r="F565" t="s">
        <v>110</v>
      </c>
      <c r="G565" t="s">
        <v>111</v>
      </c>
      <c r="H565" t="s">
        <v>90</v>
      </c>
      <c r="I565" t="s">
        <v>112</v>
      </c>
      <c r="J565" t="s">
        <v>113</v>
      </c>
      <c r="K565" t="s">
        <v>114</v>
      </c>
      <c r="L565" t="s">
        <v>1579</v>
      </c>
      <c r="M565" t="s">
        <v>43</v>
      </c>
      <c r="N565" t="s">
        <v>124</v>
      </c>
      <c r="O565" t="s">
        <v>96</v>
      </c>
      <c r="P565">
        <v>3</v>
      </c>
      <c r="Q565">
        <v>185.96</v>
      </c>
      <c r="R565" s="19">
        <v>0.1</v>
      </c>
      <c r="S565" s="21">
        <v>55.79</v>
      </c>
      <c r="T565">
        <v>557.88</v>
      </c>
      <c r="U565" s="2">
        <v>502.09</v>
      </c>
      <c r="V565">
        <v>85.06</v>
      </c>
      <c r="W565">
        <v>268.27999999999997</v>
      </c>
      <c r="X565" s="2">
        <v>148.75</v>
      </c>
      <c r="Y565">
        <v>0.29630000000000001</v>
      </c>
      <c r="Z565">
        <v>0</v>
      </c>
      <c r="AA565" t="s">
        <v>97</v>
      </c>
      <c r="AB565" t="s">
        <v>47</v>
      </c>
      <c r="AE565" s="2">
        <v>482.72</v>
      </c>
      <c r="AF565">
        <v>1.0401</v>
      </c>
      <c r="AG565" t="s">
        <v>49</v>
      </c>
      <c r="AH565" s="23">
        <f>SUM(Amazon_Data_Set[[#This Row],[Gross Sales]]-Amazon_Data_Set[[#This Row],[Discount Amount]])</f>
        <v>502.09</v>
      </c>
    </row>
    <row r="566" spans="1:34">
      <c r="A566" t="s">
        <v>1580</v>
      </c>
      <c r="B566" s="1">
        <v>46156</v>
      </c>
      <c r="C566" t="str">
        <f>TEXT(Amazon_Data_Set[[#This Row],[Order Date]],"mmm")</f>
        <v>May</v>
      </c>
      <c r="D566" t="s">
        <v>962</v>
      </c>
      <c r="E566" t="s">
        <v>235</v>
      </c>
      <c r="F566" t="s">
        <v>236</v>
      </c>
      <c r="G566" t="s">
        <v>82</v>
      </c>
      <c r="H566" t="s">
        <v>90</v>
      </c>
      <c r="I566" t="s">
        <v>252</v>
      </c>
      <c r="J566" t="s">
        <v>253</v>
      </c>
      <c r="K566" t="s">
        <v>254</v>
      </c>
      <c r="L566" t="s">
        <v>1581</v>
      </c>
      <c r="M566" t="s">
        <v>43</v>
      </c>
      <c r="N566" t="s">
        <v>95</v>
      </c>
      <c r="O566" t="s">
        <v>96</v>
      </c>
      <c r="P566">
        <v>2</v>
      </c>
      <c r="Q566">
        <v>726.71</v>
      </c>
      <c r="R566" s="19">
        <v>0.05</v>
      </c>
      <c r="S566" s="21">
        <v>72.67</v>
      </c>
      <c r="T566">
        <v>1453.42</v>
      </c>
      <c r="U566" s="2">
        <v>1380.75</v>
      </c>
      <c r="V566">
        <v>65.540000000000006</v>
      </c>
      <c r="W566">
        <v>836.59</v>
      </c>
      <c r="X566" s="2">
        <v>478.62</v>
      </c>
      <c r="Y566">
        <v>0.34660000000000002</v>
      </c>
      <c r="Z566">
        <v>0</v>
      </c>
      <c r="AA566" t="s">
        <v>97</v>
      </c>
      <c r="AB566" t="s">
        <v>47</v>
      </c>
      <c r="AE566" s="2">
        <v>1429.42</v>
      </c>
      <c r="AF566">
        <v>0.96599999999999997</v>
      </c>
      <c r="AG566" t="s">
        <v>49</v>
      </c>
      <c r="AH566" s="23">
        <f>SUM(Amazon_Data_Set[[#This Row],[Gross Sales]]-Amazon_Data_Set[[#This Row],[Discount Amount]])</f>
        <v>1380.75</v>
      </c>
    </row>
    <row r="567" spans="1:34">
      <c r="A567" t="s">
        <v>1582</v>
      </c>
      <c r="B567" s="1">
        <v>46251</v>
      </c>
      <c r="C567" t="str">
        <f>TEXT(Amazon_Data_Set[[#This Row],[Order Date]],"mmm")</f>
        <v>Aug</v>
      </c>
      <c r="D567" t="s">
        <v>824</v>
      </c>
      <c r="E567" t="s">
        <v>235</v>
      </c>
      <c r="F567" t="s">
        <v>236</v>
      </c>
      <c r="G567" t="s">
        <v>82</v>
      </c>
      <c r="H567" t="s">
        <v>83</v>
      </c>
      <c r="I567" t="s">
        <v>84</v>
      </c>
      <c r="J567" t="s">
        <v>277</v>
      </c>
      <c r="K567" t="s">
        <v>86</v>
      </c>
      <c r="L567" t="s">
        <v>1583</v>
      </c>
      <c r="M567" t="s">
        <v>106</v>
      </c>
      <c r="N567" t="s">
        <v>60</v>
      </c>
      <c r="O567" t="s">
        <v>45</v>
      </c>
      <c r="P567">
        <v>3</v>
      </c>
      <c r="Q567">
        <v>1756.55</v>
      </c>
      <c r="R567" s="19">
        <v>0.15</v>
      </c>
      <c r="S567" s="21">
        <v>790.45</v>
      </c>
      <c r="T567">
        <v>5269.65</v>
      </c>
      <c r="U567" s="2">
        <v>4479.2</v>
      </c>
      <c r="V567">
        <v>112.85</v>
      </c>
      <c r="W567">
        <v>3150.51</v>
      </c>
      <c r="X567" s="2">
        <v>1215.8399999999999</v>
      </c>
      <c r="Y567">
        <v>0.27139999999999997</v>
      </c>
      <c r="Z567">
        <v>7</v>
      </c>
      <c r="AA567" t="s">
        <v>61</v>
      </c>
      <c r="AB567" t="s">
        <v>47</v>
      </c>
      <c r="AD567">
        <v>3</v>
      </c>
      <c r="AE567" s="2">
        <v>4001.35</v>
      </c>
      <c r="AF567">
        <v>1.1194</v>
      </c>
      <c r="AG567" t="s">
        <v>49</v>
      </c>
      <c r="AH567" s="23">
        <f>SUM(Amazon_Data_Set[[#This Row],[Gross Sales]]-Amazon_Data_Set[[#This Row],[Discount Amount]])</f>
        <v>4479.2</v>
      </c>
    </row>
    <row r="568" spans="1:34">
      <c r="A568" t="s">
        <v>1584</v>
      </c>
      <c r="B568" s="1">
        <v>46304</v>
      </c>
      <c r="C568" t="str">
        <f>TEXT(Amazon_Data_Set[[#This Row],[Order Date]],"mmm")</f>
        <v>Oct</v>
      </c>
      <c r="D568" t="s">
        <v>442</v>
      </c>
      <c r="E568" t="s">
        <v>149</v>
      </c>
      <c r="F568" t="s">
        <v>150</v>
      </c>
      <c r="G568" t="s">
        <v>37</v>
      </c>
      <c r="H568" t="s">
        <v>90</v>
      </c>
      <c r="I568" t="s">
        <v>91</v>
      </c>
      <c r="J568" t="s">
        <v>443</v>
      </c>
      <c r="K568" t="s">
        <v>444</v>
      </c>
      <c r="L568" t="s">
        <v>1585</v>
      </c>
      <c r="M568" t="s">
        <v>106</v>
      </c>
      <c r="N568" t="s">
        <v>60</v>
      </c>
      <c r="O568" t="s">
        <v>45</v>
      </c>
      <c r="P568">
        <v>1</v>
      </c>
      <c r="Q568">
        <v>340.19</v>
      </c>
      <c r="R568" s="19">
        <v>0.2</v>
      </c>
      <c r="S568" s="21">
        <v>68.040000000000006</v>
      </c>
      <c r="T568">
        <v>340.19</v>
      </c>
      <c r="U568" s="2">
        <v>272.14999999999998</v>
      </c>
      <c r="V568">
        <v>58.27</v>
      </c>
      <c r="W568">
        <v>189.19</v>
      </c>
      <c r="X568" s="2">
        <v>24.69</v>
      </c>
      <c r="Y568">
        <v>9.0700000000000003E-2</v>
      </c>
      <c r="Z568">
        <v>1</v>
      </c>
      <c r="AA568" t="s">
        <v>46</v>
      </c>
      <c r="AB568" t="s">
        <v>47</v>
      </c>
      <c r="AD568">
        <v>4</v>
      </c>
      <c r="AE568" s="2">
        <v>258.89999999999998</v>
      </c>
      <c r="AF568">
        <v>1.0511999999999999</v>
      </c>
      <c r="AG568" t="s">
        <v>347</v>
      </c>
      <c r="AH568" s="23">
        <f>SUM(Amazon_Data_Set[[#This Row],[Gross Sales]]-Amazon_Data_Set[[#This Row],[Discount Amount]])</f>
        <v>272.14999999999998</v>
      </c>
    </row>
    <row r="569" spans="1:34">
      <c r="A569" t="s">
        <v>1586</v>
      </c>
      <c r="B569" s="1">
        <v>46336</v>
      </c>
      <c r="C569" t="str">
        <f>TEXT(Amazon_Data_Set[[#This Row],[Order Date]],"mmm")</f>
        <v>Nov</v>
      </c>
      <c r="D569" t="s">
        <v>666</v>
      </c>
      <c r="E569" t="s">
        <v>100</v>
      </c>
      <c r="F569" t="s">
        <v>179</v>
      </c>
      <c r="G569" t="s">
        <v>54</v>
      </c>
      <c r="H569" t="s">
        <v>90</v>
      </c>
      <c r="I569" t="s">
        <v>112</v>
      </c>
      <c r="J569" t="s">
        <v>292</v>
      </c>
      <c r="K569" t="s">
        <v>293</v>
      </c>
      <c r="L569" t="s">
        <v>1587</v>
      </c>
      <c r="M569" t="s">
        <v>106</v>
      </c>
      <c r="N569" t="s">
        <v>77</v>
      </c>
      <c r="O569" t="s">
        <v>45</v>
      </c>
      <c r="P569">
        <v>4</v>
      </c>
      <c r="Q569">
        <v>729.11</v>
      </c>
      <c r="R569" s="19">
        <v>0.2</v>
      </c>
      <c r="S569" s="21">
        <v>583.29</v>
      </c>
      <c r="T569">
        <v>2916.44</v>
      </c>
      <c r="U569" s="2">
        <v>2333.15</v>
      </c>
      <c r="V569">
        <v>222.52</v>
      </c>
      <c r="W569">
        <v>1530</v>
      </c>
      <c r="X569" s="2">
        <v>580.63</v>
      </c>
      <c r="Y569">
        <v>0.24890000000000001</v>
      </c>
      <c r="Z569">
        <v>3</v>
      </c>
      <c r="AA569" t="s">
        <v>46</v>
      </c>
      <c r="AB569" t="s">
        <v>47</v>
      </c>
      <c r="AD569">
        <v>4</v>
      </c>
      <c r="AE569" s="2">
        <v>2521.1</v>
      </c>
      <c r="AF569">
        <v>0.9254</v>
      </c>
      <c r="AG569" t="s">
        <v>49</v>
      </c>
      <c r="AH569" s="23">
        <f>SUM(Amazon_Data_Set[[#This Row],[Gross Sales]]-Amazon_Data_Set[[#This Row],[Discount Amount]])</f>
        <v>2333.15</v>
      </c>
    </row>
    <row r="570" spans="1:34">
      <c r="A570" t="s">
        <v>1588</v>
      </c>
      <c r="B570" s="1">
        <v>46070</v>
      </c>
      <c r="C570" t="str">
        <f>TEXT(Amazon_Data_Set[[#This Row],[Order Date]],"mmm")</f>
        <v>Feb</v>
      </c>
      <c r="D570" t="s">
        <v>447</v>
      </c>
      <c r="E570" t="s">
        <v>52</v>
      </c>
      <c r="F570" t="s">
        <v>53</v>
      </c>
      <c r="G570" t="s">
        <v>54</v>
      </c>
      <c r="H570" t="s">
        <v>90</v>
      </c>
      <c r="I570" t="s">
        <v>91</v>
      </c>
      <c r="J570" t="s">
        <v>443</v>
      </c>
      <c r="K570" t="s">
        <v>444</v>
      </c>
      <c r="L570" t="s">
        <v>1589</v>
      </c>
      <c r="M570" t="s">
        <v>106</v>
      </c>
      <c r="N570" t="s">
        <v>124</v>
      </c>
      <c r="O570" t="s">
        <v>45</v>
      </c>
      <c r="P570">
        <v>3</v>
      </c>
      <c r="Q570">
        <v>363.98</v>
      </c>
      <c r="R570" s="19">
        <v>0.25</v>
      </c>
      <c r="S570" s="21">
        <v>272.99</v>
      </c>
      <c r="T570">
        <v>1091.94</v>
      </c>
      <c r="U570" s="2">
        <v>818.95</v>
      </c>
      <c r="V570">
        <v>180.48</v>
      </c>
      <c r="W570">
        <v>484.22</v>
      </c>
      <c r="X570" s="2">
        <v>154.25</v>
      </c>
      <c r="Y570">
        <v>0.18840000000000001</v>
      </c>
      <c r="Z570">
        <v>7</v>
      </c>
      <c r="AA570" t="s">
        <v>61</v>
      </c>
      <c r="AB570" t="s">
        <v>47</v>
      </c>
      <c r="AD570">
        <v>4</v>
      </c>
      <c r="AE570" s="2">
        <v>1011.89</v>
      </c>
      <c r="AF570">
        <v>0.80930000000000002</v>
      </c>
      <c r="AG570" t="s">
        <v>49</v>
      </c>
      <c r="AH570" s="23">
        <f>SUM(Amazon_Data_Set[[#This Row],[Gross Sales]]-Amazon_Data_Set[[#This Row],[Discount Amount]])</f>
        <v>818.95</v>
      </c>
    </row>
    <row r="571" spans="1:34">
      <c r="A571" t="s">
        <v>1590</v>
      </c>
      <c r="B571" s="1">
        <v>46077</v>
      </c>
      <c r="C571" t="str">
        <f>TEXT(Amazon_Data_Set[[#This Row],[Order Date]],"mmm")</f>
        <v>Feb</v>
      </c>
      <c r="D571" t="s">
        <v>1548</v>
      </c>
      <c r="E571" t="s">
        <v>228</v>
      </c>
      <c r="F571" t="s">
        <v>229</v>
      </c>
      <c r="G571" t="s">
        <v>37</v>
      </c>
      <c r="H571" t="s">
        <v>38</v>
      </c>
      <c r="I571" t="s">
        <v>161</v>
      </c>
      <c r="J571" t="s">
        <v>297</v>
      </c>
      <c r="K571" t="s">
        <v>298</v>
      </c>
      <c r="L571" t="s">
        <v>1591</v>
      </c>
      <c r="M571" t="s">
        <v>106</v>
      </c>
      <c r="N571" t="s">
        <v>124</v>
      </c>
      <c r="O571" t="s">
        <v>96</v>
      </c>
      <c r="P571">
        <v>2</v>
      </c>
      <c r="Q571">
        <v>2135.41</v>
      </c>
      <c r="R571" s="19">
        <v>0</v>
      </c>
      <c r="S571" s="21">
        <v>0</v>
      </c>
      <c r="T571">
        <v>4270.82</v>
      </c>
      <c r="U571" s="2">
        <v>4270.82</v>
      </c>
      <c r="V571">
        <v>219.4</v>
      </c>
      <c r="W571">
        <v>2857.44</v>
      </c>
      <c r="X571" s="2">
        <v>1193.98</v>
      </c>
      <c r="Y571">
        <v>0.27960000000000002</v>
      </c>
      <c r="Z571">
        <v>0</v>
      </c>
      <c r="AA571" t="s">
        <v>97</v>
      </c>
      <c r="AB571" t="s">
        <v>47</v>
      </c>
      <c r="AE571" s="2">
        <v>5135.76</v>
      </c>
      <c r="AF571">
        <v>0.83160000000000001</v>
      </c>
      <c r="AG571" t="s">
        <v>49</v>
      </c>
      <c r="AH571" s="23">
        <f>SUM(Amazon_Data_Set[[#This Row],[Gross Sales]]-Amazon_Data_Set[[#This Row],[Discount Amount]])</f>
        <v>4270.82</v>
      </c>
    </row>
    <row r="572" spans="1:34">
      <c r="A572" t="s">
        <v>1592</v>
      </c>
      <c r="B572" s="1">
        <v>46288</v>
      </c>
      <c r="C572" t="str">
        <f>TEXT(Amazon_Data_Set[[#This Row],[Order Date]],"mmm")</f>
        <v>Sep</v>
      </c>
      <c r="D572" t="s">
        <v>434</v>
      </c>
      <c r="E572" t="s">
        <v>109</v>
      </c>
      <c r="F572" t="s">
        <v>110</v>
      </c>
      <c r="G572" t="s">
        <v>111</v>
      </c>
      <c r="H572" t="s">
        <v>55</v>
      </c>
      <c r="I572" t="s">
        <v>120</v>
      </c>
      <c r="J572" t="s">
        <v>169</v>
      </c>
      <c r="K572" t="s">
        <v>170</v>
      </c>
      <c r="L572" t="s">
        <v>1593</v>
      </c>
      <c r="M572" t="s">
        <v>106</v>
      </c>
      <c r="N572" t="s">
        <v>95</v>
      </c>
      <c r="O572" t="s">
        <v>45</v>
      </c>
      <c r="P572">
        <v>3</v>
      </c>
      <c r="Q572">
        <v>1715.39</v>
      </c>
      <c r="R572" s="19">
        <v>0.3</v>
      </c>
      <c r="S572" s="21">
        <v>1543.85</v>
      </c>
      <c r="T572">
        <v>5146.17</v>
      </c>
      <c r="U572" s="2">
        <v>3602.32</v>
      </c>
      <c r="V572">
        <v>30.83</v>
      </c>
      <c r="W572">
        <v>2237.91</v>
      </c>
      <c r="X572" s="2">
        <v>1333.58</v>
      </c>
      <c r="Y572">
        <v>0.37019999999999997</v>
      </c>
      <c r="Z572">
        <v>7</v>
      </c>
      <c r="AA572" t="s">
        <v>61</v>
      </c>
      <c r="AB572" t="s">
        <v>47</v>
      </c>
      <c r="AD572">
        <v>4</v>
      </c>
      <c r="AE572" s="2">
        <v>3461.62</v>
      </c>
      <c r="AF572">
        <v>1.0406</v>
      </c>
      <c r="AG572" t="s">
        <v>49</v>
      </c>
      <c r="AH572" s="23">
        <f>SUM(Amazon_Data_Set[[#This Row],[Gross Sales]]-Amazon_Data_Set[[#This Row],[Discount Amount]])</f>
        <v>3602.32</v>
      </c>
    </row>
    <row r="573" spans="1:34">
      <c r="A573" t="s">
        <v>1594</v>
      </c>
      <c r="B573" s="1">
        <v>46091</v>
      </c>
      <c r="C573" t="str">
        <f>TEXT(Amazon_Data_Set[[#This Row],[Order Date]],"mmm")</f>
        <v>Mar</v>
      </c>
      <c r="D573" t="s">
        <v>312</v>
      </c>
      <c r="E573" t="s">
        <v>140</v>
      </c>
      <c r="F573" t="s">
        <v>141</v>
      </c>
      <c r="G573" t="s">
        <v>54</v>
      </c>
      <c r="H573" t="s">
        <v>55</v>
      </c>
      <c r="I573" t="s">
        <v>56</v>
      </c>
      <c r="J573" t="s">
        <v>582</v>
      </c>
      <c r="K573" t="s">
        <v>583</v>
      </c>
      <c r="L573" t="s">
        <v>1595</v>
      </c>
      <c r="M573" t="s">
        <v>106</v>
      </c>
      <c r="N573" t="s">
        <v>60</v>
      </c>
      <c r="O573" t="s">
        <v>45</v>
      </c>
      <c r="P573">
        <v>2</v>
      </c>
      <c r="Q573">
        <v>11556.78</v>
      </c>
      <c r="R573" s="19">
        <v>0</v>
      </c>
      <c r="S573" s="21">
        <v>0</v>
      </c>
      <c r="T573">
        <v>23113.56</v>
      </c>
      <c r="U573" s="2">
        <v>23113.56</v>
      </c>
      <c r="V573">
        <v>181.98</v>
      </c>
      <c r="W573">
        <v>16645.650000000001</v>
      </c>
      <c r="X573" s="2">
        <v>6285.93</v>
      </c>
      <c r="Y573">
        <v>0.27200000000000002</v>
      </c>
      <c r="Z573">
        <v>1</v>
      </c>
      <c r="AA573" t="s">
        <v>46</v>
      </c>
      <c r="AB573" t="s">
        <v>47</v>
      </c>
      <c r="AD573">
        <v>3</v>
      </c>
      <c r="AE573" s="2">
        <v>22929.21</v>
      </c>
      <c r="AF573">
        <v>1.008</v>
      </c>
      <c r="AG573" t="s">
        <v>49</v>
      </c>
      <c r="AH573" s="23">
        <f>SUM(Amazon_Data_Set[[#This Row],[Gross Sales]]-Amazon_Data_Set[[#This Row],[Discount Amount]])</f>
        <v>23113.56</v>
      </c>
    </row>
    <row r="574" spans="1:34">
      <c r="A574" t="s">
        <v>1596</v>
      </c>
      <c r="B574" s="1">
        <v>46129</v>
      </c>
      <c r="C574" t="str">
        <f>TEXT(Amazon_Data_Set[[#This Row],[Order Date]],"mmm")</f>
        <v>Apr</v>
      </c>
      <c r="D574" t="s">
        <v>263</v>
      </c>
      <c r="E574" t="s">
        <v>228</v>
      </c>
      <c r="F574" t="s">
        <v>229</v>
      </c>
      <c r="G574" t="s">
        <v>37</v>
      </c>
      <c r="H574" t="s">
        <v>38</v>
      </c>
      <c r="I574" t="s">
        <v>161</v>
      </c>
      <c r="J574" t="s">
        <v>162</v>
      </c>
      <c r="K574" t="s">
        <v>163</v>
      </c>
      <c r="L574" t="s">
        <v>1597</v>
      </c>
      <c r="M574" t="s">
        <v>106</v>
      </c>
      <c r="N574" t="s">
        <v>44</v>
      </c>
      <c r="O574" t="s">
        <v>45</v>
      </c>
      <c r="P574">
        <v>2</v>
      </c>
      <c r="Q574">
        <v>378.49</v>
      </c>
      <c r="R574" s="19">
        <v>0.2</v>
      </c>
      <c r="S574" s="21">
        <v>151.4</v>
      </c>
      <c r="T574">
        <v>756.98</v>
      </c>
      <c r="U574" s="2">
        <v>605.58000000000004</v>
      </c>
      <c r="V574">
        <v>174.47</v>
      </c>
      <c r="W574">
        <v>362.23</v>
      </c>
      <c r="X574" s="2">
        <v>68.88</v>
      </c>
      <c r="Y574">
        <v>0.1137</v>
      </c>
      <c r="Z574">
        <v>5</v>
      </c>
      <c r="AA574" t="s">
        <v>61</v>
      </c>
      <c r="AB574" t="s">
        <v>48</v>
      </c>
      <c r="AC574" t="s">
        <v>320</v>
      </c>
      <c r="AD574">
        <v>5</v>
      </c>
      <c r="AE574" s="2">
        <v>650.4</v>
      </c>
      <c r="AF574">
        <v>0.93110000000000004</v>
      </c>
      <c r="AG574" t="s">
        <v>347</v>
      </c>
      <c r="AH574" s="23">
        <f>SUM(Amazon_Data_Set[[#This Row],[Gross Sales]]-Amazon_Data_Set[[#This Row],[Discount Amount]])</f>
        <v>605.58000000000004</v>
      </c>
    </row>
    <row r="575" spans="1:34">
      <c r="A575" t="s">
        <v>1598</v>
      </c>
      <c r="B575" s="1">
        <v>46355</v>
      </c>
      <c r="C575" t="str">
        <f>TEXT(Amazon_Data_Set[[#This Row],[Order Date]],"mmm")</f>
        <v>Nov</v>
      </c>
      <c r="D575" t="s">
        <v>269</v>
      </c>
      <c r="E575" t="s">
        <v>194</v>
      </c>
      <c r="F575" t="s">
        <v>195</v>
      </c>
      <c r="G575" t="s">
        <v>111</v>
      </c>
      <c r="H575" t="s">
        <v>38</v>
      </c>
      <c r="I575" t="s">
        <v>66</v>
      </c>
      <c r="J575" t="s">
        <v>337</v>
      </c>
      <c r="K575" t="s">
        <v>224</v>
      </c>
      <c r="L575" t="s">
        <v>1599</v>
      </c>
      <c r="M575" t="s">
        <v>43</v>
      </c>
      <c r="N575" t="s">
        <v>124</v>
      </c>
      <c r="O575" t="s">
        <v>45</v>
      </c>
      <c r="P575">
        <v>3</v>
      </c>
      <c r="Q575">
        <v>4065.13</v>
      </c>
      <c r="R575" s="19">
        <v>0.2</v>
      </c>
      <c r="S575" s="21">
        <v>2439.08</v>
      </c>
      <c r="T575">
        <v>12195.39</v>
      </c>
      <c r="U575" s="2">
        <v>9756.31</v>
      </c>
      <c r="V575">
        <v>155.97</v>
      </c>
      <c r="W575">
        <v>6514.77</v>
      </c>
      <c r="X575" s="2">
        <v>3085.57</v>
      </c>
      <c r="Y575">
        <v>0.31630000000000003</v>
      </c>
      <c r="Z575">
        <v>4</v>
      </c>
      <c r="AA575" t="s">
        <v>46</v>
      </c>
      <c r="AB575" t="s">
        <v>47</v>
      </c>
      <c r="AD575">
        <v>5</v>
      </c>
      <c r="AE575" s="2">
        <v>10671.41</v>
      </c>
      <c r="AF575">
        <v>0.91420000000000001</v>
      </c>
      <c r="AG575" t="s">
        <v>49</v>
      </c>
      <c r="AH575" s="23">
        <f>SUM(Amazon_Data_Set[[#This Row],[Gross Sales]]-Amazon_Data_Set[[#This Row],[Discount Amount]])</f>
        <v>9756.31</v>
      </c>
    </row>
    <row r="576" spans="1:34">
      <c r="A576" t="s">
        <v>1600</v>
      </c>
      <c r="B576" s="1">
        <v>46106</v>
      </c>
      <c r="C576" t="str">
        <f>TEXT(Amazon_Data_Set[[#This Row],[Order Date]],"mmm")</f>
        <v>Mar</v>
      </c>
      <c r="D576" t="s">
        <v>1601</v>
      </c>
      <c r="E576" t="s">
        <v>100</v>
      </c>
      <c r="F576" t="s">
        <v>101</v>
      </c>
      <c r="G576" t="s">
        <v>54</v>
      </c>
      <c r="H576" t="s">
        <v>55</v>
      </c>
      <c r="I576" t="s">
        <v>120</v>
      </c>
      <c r="J576" t="s">
        <v>127</v>
      </c>
      <c r="K576" t="s">
        <v>128</v>
      </c>
      <c r="L576" t="s">
        <v>1602</v>
      </c>
      <c r="M576" t="s">
        <v>43</v>
      </c>
      <c r="N576" t="s">
        <v>60</v>
      </c>
      <c r="O576" t="s">
        <v>45</v>
      </c>
      <c r="P576">
        <v>5</v>
      </c>
      <c r="Q576">
        <v>902.5</v>
      </c>
      <c r="R576" s="19">
        <v>0.3</v>
      </c>
      <c r="S576" s="21">
        <v>1353.75</v>
      </c>
      <c r="T576">
        <v>4512.5</v>
      </c>
      <c r="U576" s="2">
        <v>3158.75</v>
      </c>
      <c r="V576">
        <v>90.88</v>
      </c>
      <c r="W576">
        <v>1786.3</v>
      </c>
      <c r="X576" s="2">
        <v>1281.57</v>
      </c>
      <c r="Y576">
        <v>0.40570000000000001</v>
      </c>
      <c r="Z576">
        <v>2</v>
      </c>
      <c r="AA576" t="s">
        <v>46</v>
      </c>
      <c r="AB576" t="s">
        <v>47</v>
      </c>
      <c r="AD576">
        <v>5</v>
      </c>
      <c r="AE576" s="2">
        <v>2936.79</v>
      </c>
      <c r="AF576">
        <v>1.0755999999999999</v>
      </c>
      <c r="AG576" t="s">
        <v>347</v>
      </c>
      <c r="AH576" s="23">
        <f>SUM(Amazon_Data_Set[[#This Row],[Gross Sales]]-Amazon_Data_Set[[#This Row],[Discount Amount]])</f>
        <v>3158.75</v>
      </c>
    </row>
    <row r="577" spans="1:34">
      <c r="A577" t="s">
        <v>1603</v>
      </c>
      <c r="B577" s="1">
        <v>46105</v>
      </c>
      <c r="C577" t="str">
        <f>TEXT(Amazon_Data_Set[[#This Row],[Order Date]],"mmm")</f>
        <v>Mar</v>
      </c>
      <c r="D577" t="s">
        <v>726</v>
      </c>
      <c r="E577" t="s">
        <v>194</v>
      </c>
      <c r="F577" t="s">
        <v>195</v>
      </c>
      <c r="G577" t="s">
        <v>111</v>
      </c>
      <c r="H577" t="s">
        <v>83</v>
      </c>
      <c r="I577" t="s">
        <v>84</v>
      </c>
      <c r="J577" t="s">
        <v>85</v>
      </c>
      <c r="K577" t="s">
        <v>86</v>
      </c>
      <c r="L577" t="s">
        <v>1604</v>
      </c>
      <c r="M577" t="s">
        <v>106</v>
      </c>
      <c r="N577" t="s">
        <v>70</v>
      </c>
      <c r="O577" t="s">
        <v>45</v>
      </c>
      <c r="P577">
        <v>3</v>
      </c>
      <c r="Q577">
        <v>1162.75</v>
      </c>
      <c r="R577" s="19">
        <v>0.25</v>
      </c>
      <c r="S577" s="21">
        <v>872.06</v>
      </c>
      <c r="T577">
        <v>3488.25</v>
      </c>
      <c r="U577" s="2">
        <v>2616.19</v>
      </c>
      <c r="V577">
        <v>35.549999999999997</v>
      </c>
      <c r="W577">
        <v>1820.81</v>
      </c>
      <c r="X577" s="2">
        <v>759.83</v>
      </c>
      <c r="Y577">
        <v>0.29039999999999999</v>
      </c>
      <c r="Z577">
        <v>1</v>
      </c>
      <c r="AA577" t="s">
        <v>46</v>
      </c>
      <c r="AB577" t="s">
        <v>47</v>
      </c>
      <c r="AD577">
        <v>4</v>
      </c>
      <c r="AE577" s="2">
        <v>2453.9</v>
      </c>
      <c r="AF577">
        <v>1.0661</v>
      </c>
      <c r="AG577" t="s">
        <v>347</v>
      </c>
      <c r="AH577" s="23">
        <f>SUM(Amazon_Data_Set[[#This Row],[Gross Sales]]-Amazon_Data_Set[[#This Row],[Discount Amount]])</f>
        <v>2616.19</v>
      </c>
    </row>
    <row r="578" spans="1:34">
      <c r="A578" t="s">
        <v>1605</v>
      </c>
      <c r="B578" s="1">
        <v>46027</v>
      </c>
      <c r="C578" t="str">
        <f>TEXT(Amazon_Data_Set[[#This Row],[Order Date]],"mmm")</f>
        <v>Jan</v>
      </c>
      <c r="D578" t="s">
        <v>638</v>
      </c>
      <c r="E578" t="s">
        <v>140</v>
      </c>
      <c r="F578" t="s">
        <v>141</v>
      </c>
      <c r="G578" t="s">
        <v>54</v>
      </c>
      <c r="H578" t="s">
        <v>83</v>
      </c>
      <c r="I578" t="s">
        <v>188</v>
      </c>
      <c r="J578" t="s">
        <v>690</v>
      </c>
      <c r="K578" t="s">
        <v>691</v>
      </c>
      <c r="L578" t="s">
        <v>1606</v>
      </c>
      <c r="M578" t="s">
        <v>43</v>
      </c>
      <c r="N578" t="s">
        <v>124</v>
      </c>
      <c r="O578" t="s">
        <v>45</v>
      </c>
      <c r="P578">
        <v>1</v>
      </c>
      <c r="Q578">
        <v>157.1</v>
      </c>
      <c r="R578" s="19">
        <v>0.25</v>
      </c>
      <c r="S578" s="21">
        <v>39.270000000000003</v>
      </c>
      <c r="T578">
        <v>157.1</v>
      </c>
      <c r="U578" s="2">
        <v>117.83</v>
      </c>
      <c r="V578">
        <v>167.2</v>
      </c>
      <c r="W578">
        <v>75.3</v>
      </c>
      <c r="X578" s="2">
        <v>-124.67</v>
      </c>
      <c r="Y578">
        <v>-1.0580000000000001</v>
      </c>
      <c r="Z578">
        <v>6</v>
      </c>
      <c r="AA578" t="s">
        <v>61</v>
      </c>
      <c r="AB578" t="s">
        <v>47</v>
      </c>
      <c r="AD578">
        <v>5</v>
      </c>
      <c r="AE578" s="2">
        <v>105.95</v>
      </c>
      <c r="AF578">
        <v>1.1121000000000001</v>
      </c>
      <c r="AG578" t="s">
        <v>49</v>
      </c>
      <c r="AH578" s="23">
        <f>SUM(Amazon_Data_Set[[#This Row],[Gross Sales]]-Amazon_Data_Set[[#This Row],[Discount Amount]])</f>
        <v>117.82999999999998</v>
      </c>
    </row>
    <row r="579" spans="1:34">
      <c r="A579" t="s">
        <v>1607</v>
      </c>
      <c r="B579" s="1">
        <v>46036</v>
      </c>
      <c r="C579" t="str">
        <f>TEXT(Amazon_Data_Set[[#This Row],[Order Date]],"mmm")</f>
        <v>Jan</v>
      </c>
      <c r="D579" t="s">
        <v>924</v>
      </c>
      <c r="E579" t="s">
        <v>64</v>
      </c>
      <c r="F579" t="s">
        <v>65</v>
      </c>
      <c r="G579" t="s">
        <v>54</v>
      </c>
      <c r="H579" t="s">
        <v>90</v>
      </c>
      <c r="I579" t="s">
        <v>112</v>
      </c>
      <c r="J579" t="s">
        <v>292</v>
      </c>
      <c r="K579" t="s">
        <v>293</v>
      </c>
      <c r="L579" t="s">
        <v>1608</v>
      </c>
      <c r="M579" t="s">
        <v>43</v>
      </c>
      <c r="N579" t="s">
        <v>70</v>
      </c>
      <c r="O579" t="s">
        <v>45</v>
      </c>
      <c r="P579">
        <v>1</v>
      </c>
      <c r="Q579">
        <v>139.97</v>
      </c>
      <c r="R579" s="19">
        <v>0.2</v>
      </c>
      <c r="S579" s="21">
        <v>27.99</v>
      </c>
      <c r="T579">
        <v>139.97</v>
      </c>
      <c r="U579" s="2">
        <v>111.98</v>
      </c>
      <c r="V579">
        <v>239.2</v>
      </c>
      <c r="W579">
        <v>67.239999999999995</v>
      </c>
      <c r="X579" s="2">
        <v>-194.46</v>
      </c>
      <c r="Y579">
        <v>-1.7365999999999999</v>
      </c>
      <c r="Z579">
        <v>1</v>
      </c>
      <c r="AA579" t="s">
        <v>46</v>
      </c>
      <c r="AB579" t="s">
        <v>47</v>
      </c>
      <c r="AD579">
        <v>5</v>
      </c>
      <c r="AE579" s="2">
        <v>129.13</v>
      </c>
      <c r="AF579">
        <v>0.86719999999999997</v>
      </c>
      <c r="AG579" t="s">
        <v>49</v>
      </c>
      <c r="AH579" s="23">
        <f>SUM(Amazon_Data_Set[[#This Row],[Gross Sales]]-Amazon_Data_Set[[#This Row],[Discount Amount]])</f>
        <v>111.98</v>
      </c>
    </row>
    <row r="580" spans="1:34">
      <c r="A580" t="s">
        <v>1609</v>
      </c>
      <c r="B580" s="1">
        <v>46363</v>
      </c>
      <c r="C580" t="str">
        <f>TEXT(Amazon_Data_Set[[#This Row],[Order Date]],"mmm")</f>
        <v>Dec</v>
      </c>
      <c r="D580" t="s">
        <v>280</v>
      </c>
      <c r="E580" t="s">
        <v>52</v>
      </c>
      <c r="F580" t="s">
        <v>53</v>
      </c>
      <c r="G580" t="s">
        <v>54</v>
      </c>
      <c r="H580" t="s">
        <v>83</v>
      </c>
      <c r="I580" t="s">
        <v>84</v>
      </c>
      <c r="J580" t="s">
        <v>332</v>
      </c>
      <c r="K580" t="s">
        <v>333</v>
      </c>
      <c r="L580" t="s">
        <v>1610</v>
      </c>
      <c r="M580" t="s">
        <v>106</v>
      </c>
      <c r="N580" t="s">
        <v>60</v>
      </c>
      <c r="O580" t="s">
        <v>45</v>
      </c>
      <c r="P580">
        <v>4</v>
      </c>
      <c r="Q580">
        <v>1444.44</v>
      </c>
      <c r="R580" s="19">
        <v>0.2</v>
      </c>
      <c r="S580" s="21">
        <v>1155.55</v>
      </c>
      <c r="T580">
        <v>5777.76</v>
      </c>
      <c r="U580" s="2">
        <v>4622.21</v>
      </c>
      <c r="V580">
        <v>124.41</v>
      </c>
      <c r="W580">
        <v>2715.96</v>
      </c>
      <c r="X580" s="2">
        <v>1781.84</v>
      </c>
      <c r="Y580">
        <v>0.38550000000000001</v>
      </c>
      <c r="Z580">
        <v>7</v>
      </c>
      <c r="AA580" t="s">
        <v>61</v>
      </c>
      <c r="AB580" t="s">
        <v>47</v>
      </c>
      <c r="AD580">
        <v>5</v>
      </c>
      <c r="AE580" s="2">
        <v>4134</v>
      </c>
      <c r="AF580">
        <v>1.1181000000000001</v>
      </c>
      <c r="AG580" t="s">
        <v>49</v>
      </c>
      <c r="AH580" s="23">
        <f>SUM(Amazon_Data_Set[[#This Row],[Gross Sales]]-Amazon_Data_Set[[#This Row],[Discount Amount]])</f>
        <v>4622.21</v>
      </c>
    </row>
    <row r="581" spans="1:34">
      <c r="A581" t="s">
        <v>1611</v>
      </c>
      <c r="B581" s="1">
        <v>46262</v>
      </c>
      <c r="C581" t="str">
        <f>TEXT(Amazon_Data_Set[[#This Row],[Order Date]],"mmm")</f>
        <v>Aug</v>
      </c>
      <c r="D581" t="s">
        <v>1612</v>
      </c>
      <c r="E581" t="s">
        <v>194</v>
      </c>
      <c r="F581" t="s">
        <v>195</v>
      </c>
      <c r="G581" t="s">
        <v>111</v>
      </c>
      <c r="H581" t="s">
        <v>142</v>
      </c>
      <c r="I581" t="s">
        <v>143</v>
      </c>
      <c r="J581" t="s">
        <v>200</v>
      </c>
      <c r="K581" t="s">
        <v>201</v>
      </c>
      <c r="L581" t="s">
        <v>1613</v>
      </c>
      <c r="M581" t="s">
        <v>106</v>
      </c>
      <c r="N581" t="s">
        <v>77</v>
      </c>
      <c r="O581" t="s">
        <v>45</v>
      </c>
      <c r="P581">
        <v>2</v>
      </c>
      <c r="Q581">
        <v>1863.74</v>
      </c>
      <c r="R581" s="19">
        <v>0.15</v>
      </c>
      <c r="S581" s="21">
        <v>559.12</v>
      </c>
      <c r="T581">
        <v>3727.48</v>
      </c>
      <c r="U581" s="2">
        <v>3168.36</v>
      </c>
      <c r="V581">
        <v>87.63</v>
      </c>
      <c r="W581">
        <v>2062.92</v>
      </c>
      <c r="X581" s="2">
        <v>1017.81</v>
      </c>
      <c r="Y581">
        <v>0.32119999999999999</v>
      </c>
      <c r="Z581">
        <v>8</v>
      </c>
      <c r="AA581" t="s">
        <v>61</v>
      </c>
      <c r="AB581" t="s">
        <v>47</v>
      </c>
      <c r="AD581">
        <v>4</v>
      </c>
      <c r="AE581" s="2">
        <v>3095.67</v>
      </c>
      <c r="AF581">
        <v>1.0235000000000001</v>
      </c>
      <c r="AG581" t="s">
        <v>49</v>
      </c>
      <c r="AH581" s="23">
        <f>SUM(Amazon_Data_Set[[#This Row],[Gross Sales]]-Amazon_Data_Set[[#This Row],[Discount Amount]])</f>
        <v>3168.36</v>
      </c>
    </row>
    <row r="582" spans="1:34">
      <c r="A582" t="s">
        <v>1614</v>
      </c>
      <c r="B582" s="1">
        <v>46203</v>
      </c>
      <c r="C582" t="str">
        <f>TEXT(Amazon_Data_Set[[#This Row],[Order Date]],"mmm")</f>
        <v>Jun</v>
      </c>
      <c r="D582" t="s">
        <v>1474</v>
      </c>
      <c r="E582" t="s">
        <v>228</v>
      </c>
      <c r="F582" t="s">
        <v>229</v>
      </c>
      <c r="G582" t="s">
        <v>37</v>
      </c>
      <c r="H582" t="s">
        <v>83</v>
      </c>
      <c r="I582" t="s">
        <v>84</v>
      </c>
      <c r="J582" t="s">
        <v>85</v>
      </c>
      <c r="K582" t="s">
        <v>86</v>
      </c>
      <c r="L582" t="s">
        <v>1615</v>
      </c>
      <c r="M582" t="s">
        <v>106</v>
      </c>
      <c r="N582" t="s">
        <v>44</v>
      </c>
      <c r="O582" t="s">
        <v>45</v>
      </c>
      <c r="P582">
        <v>5</v>
      </c>
      <c r="Q582">
        <v>601.73</v>
      </c>
      <c r="R582" s="19">
        <v>0.25</v>
      </c>
      <c r="S582" s="21">
        <v>752.16</v>
      </c>
      <c r="T582">
        <v>3008.65</v>
      </c>
      <c r="U582" s="2">
        <v>2256.4899999999998</v>
      </c>
      <c r="V582">
        <v>234.07</v>
      </c>
      <c r="W582">
        <v>1187.43</v>
      </c>
      <c r="X582" s="2">
        <v>834.99</v>
      </c>
      <c r="Y582">
        <v>0.37</v>
      </c>
      <c r="Z582">
        <v>8</v>
      </c>
      <c r="AA582" t="s">
        <v>61</v>
      </c>
      <c r="AB582" t="s">
        <v>48</v>
      </c>
      <c r="AC582" t="s">
        <v>137</v>
      </c>
      <c r="AD582">
        <v>4</v>
      </c>
      <c r="AE582" s="2">
        <v>2227.73</v>
      </c>
      <c r="AF582">
        <v>1.0128999999999999</v>
      </c>
      <c r="AG582" t="s">
        <v>49</v>
      </c>
      <c r="AH582" s="23">
        <f>SUM(Amazon_Data_Set[[#This Row],[Gross Sales]]-Amazon_Data_Set[[#This Row],[Discount Amount]])</f>
        <v>2256.4900000000002</v>
      </c>
    </row>
    <row r="583" spans="1:34">
      <c r="A583" t="s">
        <v>1616</v>
      </c>
      <c r="B583" s="1">
        <v>46099</v>
      </c>
      <c r="C583" t="str">
        <f>TEXT(Amazon_Data_Set[[#This Row],[Order Date]],"mmm")</f>
        <v>Mar</v>
      </c>
      <c r="D583" t="s">
        <v>354</v>
      </c>
      <c r="E583" t="s">
        <v>275</v>
      </c>
      <c r="F583" t="s">
        <v>276</v>
      </c>
      <c r="G583" t="s">
        <v>37</v>
      </c>
      <c r="H583" t="s">
        <v>142</v>
      </c>
      <c r="I583" t="s">
        <v>209</v>
      </c>
      <c r="J583" t="s">
        <v>243</v>
      </c>
      <c r="K583" t="s">
        <v>145</v>
      </c>
      <c r="L583" t="s">
        <v>1617</v>
      </c>
      <c r="M583" t="s">
        <v>43</v>
      </c>
      <c r="N583" t="s">
        <v>60</v>
      </c>
      <c r="O583" t="s">
        <v>45</v>
      </c>
      <c r="P583">
        <v>3</v>
      </c>
      <c r="Q583">
        <v>10266.91</v>
      </c>
      <c r="R583" s="19">
        <v>0.05</v>
      </c>
      <c r="S583" s="21">
        <v>1540.04</v>
      </c>
      <c r="T583">
        <v>30800.73</v>
      </c>
      <c r="U583" s="2">
        <v>29260.69</v>
      </c>
      <c r="V583">
        <v>47.87</v>
      </c>
      <c r="W583">
        <v>18961.810000000001</v>
      </c>
      <c r="X583" s="2">
        <v>10251.01</v>
      </c>
      <c r="Y583">
        <v>0.3503</v>
      </c>
      <c r="Z583">
        <v>1</v>
      </c>
      <c r="AA583" t="s">
        <v>46</v>
      </c>
      <c r="AB583" t="s">
        <v>47</v>
      </c>
      <c r="AD583">
        <v>5</v>
      </c>
      <c r="AE583" s="2">
        <v>30132.85</v>
      </c>
      <c r="AF583">
        <v>0.97109999999999996</v>
      </c>
      <c r="AG583" t="s">
        <v>347</v>
      </c>
      <c r="AH583" s="23">
        <f>SUM(Amazon_Data_Set[[#This Row],[Gross Sales]]-Amazon_Data_Set[[#This Row],[Discount Amount]])</f>
        <v>29260.69</v>
      </c>
    </row>
    <row r="584" spans="1:34">
      <c r="A584" t="s">
        <v>1618</v>
      </c>
      <c r="B584" s="1">
        <v>46379</v>
      </c>
      <c r="C584" t="str">
        <f>TEXT(Amazon_Data_Set[[#This Row],[Order Date]],"mmm")</f>
        <v>Dec</v>
      </c>
      <c r="D584" t="s">
        <v>1619</v>
      </c>
      <c r="E584" t="s">
        <v>109</v>
      </c>
      <c r="F584" t="s">
        <v>154</v>
      </c>
      <c r="G584" t="s">
        <v>111</v>
      </c>
      <c r="H584" t="s">
        <v>38</v>
      </c>
      <c r="I584" t="s">
        <v>161</v>
      </c>
      <c r="J584" t="s">
        <v>297</v>
      </c>
      <c r="K584" t="s">
        <v>298</v>
      </c>
      <c r="L584" t="s">
        <v>1620</v>
      </c>
      <c r="M584" t="s">
        <v>43</v>
      </c>
      <c r="N584" t="s">
        <v>60</v>
      </c>
      <c r="O584" t="s">
        <v>96</v>
      </c>
      <c r="P584">
        <v>2</v>
      </c>
      <c r="Q584">
        <v>374.01</v>
      </c>
      <c r="R584" s="19">
        <v>0.1</v>
      </c>
      <c r="S584" s="21">
        <v>74.8</v>
      </c>
      <c r="T584">
        <v>748.02</v>
      </c>
      <c r="U584" s="2">
        <v>673.22</v>
      </c>
      <c r="V584">
        <v>134.68</v>
      </c>
      <c r="W584">
        <v>427.22</v>
      </c>
      <c r="X584" s="2">
        <v>111.32</v>
      </c>
      <c r="Y584">
        <v>0.16539999999999999</v>
      </c>
      <c r="Z584">
        <v>0</v>
      </c>
      <c r="AA584" t="s">
        <v>97</v>
      </c>
      <c r="AB584" t="s">
        <v>47</v>
      </c>
      <c r="AE584" s="2">
        <v>583.53</v>
      </c>
      <c r="AF584">
        <v>1.1536999999999999</v>
      </c>
      <c r="AG584" t="s">
        <v>49</v>
      </c>
      <c r="AH584" s="23">
        <f>SUM(Amazon_Data_Set[[#This Row],[Gross Sales]]-Amazon_Data_Set[[#This Row],[Discount Amount]])</f>
        <v>673.22</v>
      </c>
    </row>
    <row r="585" spans="1:34">
      <c r="A585" t="s">
        <v>1621</v>
      </c>
      <c r="B585" s="1">
        <v>46292</v>
      </c>
      <c r="C585" t="str">
        <f>TEXT(Amazon_Data_Set[[#This Row],[Order Date]],"mmm")</f>
        <v>Sep</v>
      </c>
      <c r="D585" t="s">
        <v>614</v>
      </c>
      <c r="E585" t="s">
        <v>167</v>
      </c>
      <c r="F585" t="s">
        <v>168</v>
      </c>
      <c r="G585" t="s">
        <v>111</v>
      </c>
      <c r="H585" t="s">
        <v>55</v>
      </c>
      <c r="I585" t="s">
        <v>120</v>
      </c>
      <c r="J585" t="s">
        <v>127</v>
      </c>
      <c r="K585" t="s">
        <v>128</v>
      </c>
      <c r="L585" t="s">
        <v>1622</v>
      </c>
      <c r="M585" t="s">
        <v>106</v>
      </c>
      <c r="N585" t="s">
        <v>77</v>
      </c>
      <c r="O585" t="s">
        <v>45</v>
      </c>
      <c r="P585">
        <v>5</v>
      </c>
      <c r="Q585">
        <v>2467.5300000000002</v>
      </c>
      <c r="R585" s="19">
        <v>0.05</v>
      </c>
      <c r="S585" s="21">
        <v>616.88</v>
      </c>
      <c r="T585">
        <v>12337.65</v>
      </c>
      <c r="U585" s="2">
        <v>11720.77</v>
      </c>
      <c r="V585">
        <v>219.92</v>
      </c>
      <c r="W585">
        <v>7098.64</v>
      </c>
      <c r="X585" s="2">
        <v>4402.21</v>
      </c>
      <c r="Y585">
        <v>0.37559999999999999</v>
      </c>
      <c r="Z585">
        <v>2</v>
      </c>
      <c r="AA585" t="s">
        <v>46</v>
      </c>
      <c r="AB585" t="s">
        <v>47</v>
      </c>
      <c r="AD585">
        <v>4</v>
      </c>
      <c r="AE585" s="2">
        <v>13065.36</v>
      </c>
      <c r="AF585">
        <v>0.89710000000000001</v>
      </c>
      <c r="AG585" t="s">
        <v>49</v>
      </c>
      <c r="AH585" s="23">
        <f>SUM(Amazon_Data_Set[[#This Row],[Gross Sales]]-Amazon_Data_Set[[#This Row],[Discount Amount]])</f>
        <v>11720.77</v>
      </c>
    </row>
    <row r="586" spans="1:34">
      <c r="A586" t="s">
        <v>1623</v>
      </c>
      <c r="B586" s="1">
        <v>46150</v>
      </c>
      <c r="C586" t="str">
        <f>TEXT(Amazon_Data_Set[[#This Row],[Order Date]],"mmm")</f>
        <v>May</v>
      </c>
      <c r="D586" t="s">
        <v>99</v>
      </c>
      <c r="E586" t="s">
        <v>64</v>
      </c>
      <c r="F586" t="s">
        <v>65</v>
      </c>
      <c r="G586" t="s">
        <v>54</v>
      </c>
      <c r="H586" t="s">
        <v>142</v>
      </c>
      <c r="I586" t="s">
        <v>143</v>
      </c>
      <c r="J586" t="s">
        <v>183</v>
      </c>
      <c r="K586" t="s">
        <v>184</v>
      </c>
      <c r="L586" t="s">
        <v>1624</v>
      </c>
      <c r="M586" t="s">
        <v>106</v>
      </c>
      <c r="N586" t="s">
        <v>70</v>
      </c>
      <c r="O586" t="s">
        <v>130</v>
      </c>
      <c r="P586">
        <v>2</v>
      </c>
      <c r="Q586">
        <v>5084.41</v>
      </c>
      <c r="R586" s="19">
        <v>0.1</v>
      </c>
      <c r="S586" s="21">
        <v>1016.88</v>
      </c>
      <c r="T586">
        <v>10168.82</v>
      </c>
      <c r="U586" s="2">
        <v>9151.94</v>
      </c>
      <c r="V586">
        <v>138.19</v>
      </c>
      <c r="W586">
        <v>4428.1499999999996</v>
      </c>
      <c r="X586" s="2">
        <v>4585.6000000000004</v>
      </c>
      <c r="Y586">
        <v>0.50109999999999999</v>
      </c>
      <c r="Z586">
        <v>7</v>
      </c>
      <c r="AA586" t="s">
        <v>131</v>
      </c>
      <c r="AB586" t="s">
        <v>47</v>
      </c>
      <c r="AE586" s="2">
        <v>9854.2900000000009</v>
      </c>
      <c r="AF586">
        <v>0.92869999999999997</v>
      </c>
      <c r="AG586" t="s">
        <v>49</v>
      </c>
      <c r="AH586" s="23">
        <f>SUM(Amazon_Data_Set[[#This Row],[Gross Sales]]-Amazon_Data_Set[[#This Row],[Discount Amount]])</f>
        <v>9151.94</v>
      </c>
    </row>
    <row r="587" spans="1:34">
      <c r="A587" t="s">
        <v>1625</v>
      </c>
      <c r="B587" s="1">
        <v>46190</v>
      </c>
      <c r="C587" t="str">
        <f>TEXT(Amazon_Data_Set[[#This Row],[Order Date]],"mmm")</f>
        <v>Jun</v>
      </c>
      <c r="D587" t="s">
        <v>1626</v>
      </c>
      <c r="E587" t="s">
        <v>100</v>
      </c>
      <c r="F587" t="s">
        <v>179</v>
      </c>
      <c r="G587" t="s">
        <v>54</v>
      </c>
      <c r="H587" t="s">
        <v>90</v>
      </c>
      <c r="I587" t="s">
        <v>91</v>
      </c>
      <c r="J587" t="s">
        <v>443</v>
      </c>
      <c r="K587" t="s">
        <v>444</v>
      </c>
      <c r="L587" t="s">
        <v>1627</v>
      </c>
      <c r="M587" t="s">
        <v>106</v>
      </c>
      <c r="N587" t="s">
        <v>60</v>
      </c>
      <c r="O587" t="s">
        <v>45</v>
      </c>
      <c r="P587">
        <v>4</v>
      </c>
      <c r="Q587">
        <v>87.29</v>
      </c>
      <c r="R587" s="19">
        <v>0.1</v>
      </c>
      <c r="S587" s="21">
        <v>34.92</v>
      </c>
      <c r="T587">
        <v>349.16</v>
      </c>
      <c r="U587" s="2">
        <v>314.24</v>
      </c>
      <c r="V587">
        <v>229.45</v>
      </c>
      <c r="W587">
        <v>195.68</v>
      </c>
      <c r="X587" s="2">
        <v>-110.89</v>
      </c>
      <c r="Y587">
        <v>-0.35289999999999999</v>
      </c>
      <c r="Z587">
        <v>1</v>
      </c>
      <c r="AA587" t="s">
        <v>46</v>
      </c>
      <c r="AB587" t="s">
        <v>47</v>
      </c>
      <c r="AD587">
        <v>4</v>
      </c>
      <c r="AE587" s="2">
        <v>380.98</v>
      </c>
      <c r="AF587">
        <v>0.82479999999999998</v>
      </c>
      <c r="AG587" t="s">
        <v>49</v>
      </c>
      <c r="AH587" s="23">
        <f>SUM(Amazon_Data_Set[[#This Row],[Gross Sales]]-Amazon_Data_Set[[#This Row],[Discount Amount]])</f>
        <v>314.24</v>
      </c>
    </row>
    <row r="588" spans="1:34">
      <c r="A588" t="s">
        <v>1628</v>
      </c>
      <c r="B588" s="1">
        <v>46358</v>
      </c>
      <c r="C588" t="str">
        <f>TEXT(Amazon_Data_Set[[#This Row],[Order Date]],"mmm")</f>
        <v>Dec</v>
      </c>
      <c r="D588" t="s">
        <v>1333</v>
      </c>
      <c r="E588" t="s">
        <v>109</v>
      </c>
      <c r="F588" t="s">
        <v>110</v>
      </c>
      <c r="G588" t="s">
        <v>111</v>
      </c>
      <c r="H588" t="s">
        <v>83</v>
      </c>
      <c r="I588" t="s">
        <v>188</v>
      </c>
      <c r="J588" t="s">
        <v>189</v>
      </c>
      <c r="K588" t="s">
        <v>190</v>
      </c>
      <c r="L588" t="s">
        <v>1629</v>
      </c>
      <c r="M588" t="s">
        <v>43</v>
      </c>
      <c r="N588" t="s">
        <v>77</v>
      </c>
      <c r="O588" t="s">
        <v>45</v>
      </c>
      <c r="P588">
        <v>1</v>
      </c>
      <c r="Q588">
        <v>1055.72</v>
      </c>
      <c r="R588" s="19">
        <v>0.3</v>
      </c>
      <c r="S588" s="21">
        <v>316.72000000000003</v>
      </c>
      <c r="T588">
        <v>1055.72</v>
      </c>
      <c r="U588" s="2">
        <v>739</v>
      </c>
      <c r="V588">
        <v>131.35</v>
      </c>
      <c r="W588">
        <v>365.29</v>
      </c>
      <c r="X588" s="2">
        <v>242.36</v>
      </c>
      <c r="Y588">
        <v>0.32800000000000001</v>
      </c>
      <c r="Z588">
        <v>3</v>
      </c>
      <c r="AA588" t="s">
        <v>46</v>
      </c>
      <c r="AB588" t="s">
        <v>47</v>
      </c>
      <c r="AD588">
        <v>3</v>
      </c>
      <c r="AE588" s="2">
        <v>678.56</v>
      </c>
      <c r="AF588">
        <v>1.0891</v>
      </c>
      <c r="AG588" t="s">
        <v>49</v>
      </c>
      <c r="AH588" s="23">
        <f>SUM(Amazon_Data_Set[[#This Row],[Gross Sales]]-Amazon_Data_Set[[#This Row],[Discount Amount]])</f>
        <v>739</v>
      </c>
    </row>
    <row r="589" spans="1:34">
      <c r="A589" t="s">
        <v>1630</v>
      </c>
      <c r="B589" s="1">
        <v>46261</v>
      </c>
      <c r="C589" t="str">
        <f>TEXT(Amazon_Data_Set[[#This Row],[Order Date]],"mmm")</f>
        <v>Aug</v>
      </c>
      <c r="D589" t="s">
        <v>550</v>
      </c>
      <c r="E589" t="s">
        <v>100</v>
      </c>
      <c r="F589" t="s">
        <v>179</v>
      </c>
      <c r="G589" t="s">
        <v>54</v>
      </c>
      <c r="H589" t="s">
        <v>55</v>
      </c>
      <c r="I589" t="s">
        <v>120</v>
      </c>
      <c r="J589" t="s">
        <v>121</v>
      </c>
      <c r="K589" t="s">
        <v>122</v>
      </c>
      <c r="L589" t="s">
        <v>1631</v>
      </c>
      <c r="M589" t="s">
        <v>106</v>
      </c>
      <c r="N589" t="s">
        <v>60</v>
      </c>
      <c r="O589" t="s">
        <v>96</v>
      </c>
      <c r="P589">
        <v>5</v>
      </c>
      <c r="Q589">
        <v>5572.27</v>
      </c>
      <c r="R589" s="19">
        <v>0.25</v>
      </c>
      <c r="S589" s="21">
        <v>6965.34</v>
      </c>
      <c r="T589">
        <v>27861.35</v>
      </c>
      <c r="U589" s="2">
        <v>20896.009999999998</v>
      </c>
      <c r="V589">
        <v>63.22</v>
      </c>
      <c r="W589">
        <v>10992.59</v>
      </c>
      <c r="X589" s="2">
        <v>9840.2000000000007</v>
      </c>
      <c r="Y589">
        <v>0.47089999999999999</v>
      </c>
      <c r="Z589">
        <v>0</v>
      </c>
      <c r="AA589" t="s">
        <v>97</v>
      </c>
      <c r="AB589" t="s">
        <v>47</v>
      </c>
      <c r="AE589" s="2">
        <v>22135.82</v>
      </c>
      <c r="AF589">
        <v>0.94399999999999995</v>
      </c>
      <c r="AG589" t="s">
        <v>49</v>
      </c>
      <c r="AH589" s="23">
        <f>SUM(Amazon_Data_Set[[#This Row],[Gross Sales]]-Amazon_Data_Set[[#This Row],[Discount Amount]])</f>
        <v>20896.009999999998</v>
      </c>
    </row>
    <row r="590" spans="1:34">
      <c r="A590" t="s">
        <v>1632</v>
      </c>
      <c r="B590" s="1">
        <v>46031</v>
      </c>
      <c r="C590" t="str">
        <f>TEXT(Amazon_Data_Set[[#This Row],[Order Date]],"mmm")</f>
        <v>Jan</v>
      </c>
      <c r="D590" t="s">
        <v>423</v>
      </c>
      <c r="E590" t="s">
        <v>109</v>
      </c>
      <c r="F590" t="s">
        <v>154</v>
      </c>
      <c r="G590" t="s">
        <v>111</v>
      </c>
      <c r="H590" t="s">
        <v>90</v>
      </c>
      <c r="I590" t="s">
        <v>91</v>
      </c>
      <c r="J590" t="s">
        <v>92</v>
      </c>
      <c r="K590" t="s">
        <v>93</v>
      </c>
      <c r="L590" t="s">
        <v>1633</v>
      </c>
      <c r="M590" t="s">
        <v>106</v>
      </c>
      <c r="N590" t="s">
        <v>95</v>
      </c>
      <c r="O590" t="s">
        <v>45</v>
      </c>
      <c r="P590">
        <v>1</v>
      </c>
      <c r="Q590">
        <v>1584.73</v>
      </c>
      <c r="R590" s="19">
        <v>0.25</v>
      </c>
      <c r="S590" s="21">
        <v>396.18</v>
      </c>
      <c r="T590">
        <v>1584.73</v>
      </c>
      <c r="U590" s="2">
        <v>1188.55</v>
      </c>
      <c r="V590">
        <v>16.420000000000002</v>
      </c>
      <c r="W590">
        <v>575.02</v>
      </c>
      <c r="X590" s="2">
        <v>597.11</v>
      </c>
      <c r="Y590">
        <v>0.50239999999999996</v>
      </c>
      <c r="Z590">
        <v>7</v>
      </c>
      <c r="AA590" t="s">
        <v>61</v>
      </c>
      <c r="AB590" t="s">
        <v>47</v>
      </c>
      <c r="AD590">
        <v>4</v>
      </c>
      <c r="AE590" s="2">
        <v>1373.65</v>
      </c>
      <c r="AF590">
        <v>0.86519999999999997</v>
      </c>
      <c r="AG590" t="s">
        <v>49</v>
      </c>
      <c r="AH590" s="23">
        <f>SUM(Amazon_Data_Set[[#This Row],[Gross Sales]]-Amazon_Data_Set[[#This Row],[Discount Amount]])</f>
        <v>1188.55</v>
      </c>
    </row>
    <row r="591" spans="1:34">
      <c r="A591" t="s">
        <v>1634</v>
      </c>
      <c r="B591" s="1">
        <v>46088</v>
      </c>
      <c r="C591" t="str">
        <f>TEXT(Amazon_Data_Set[[#This Row],[Order Date]],"mmm")</f>
        <v>Mar</v>
      </c>
      <c r="D591" t="s">
        <v>605</v>
      </c>
      <c r="E591" t="s">
        <v>52</v>
      </c>
      <c r="F591" t="s">
        <v>53</v>
      </c>
      <c r="G591" t="s">
        <v>54</v>
      </c>
      <c r="H591" t="s">
        <v>90</v>
      </c>
      <c r="I591" t="s">
        <v>112</v>
      </c>
      <c r="J591" t="s">
        <v>113</v>
      </c>
      <c r="K591" t="s">
        <v>114</v>
      </c>
      <c r="L591" t="s">
        <v>1635</v>
      </c>
      <c r="M591" t="s">
        <v>106</v>
      </c>
      <c r="N591" t="s">
        <v>77</v>
      </c>
      <c r="O591" t="s">
        <v>45</v>
      </c>
      <c r="P591">
        <v>4</v>
      </c>
      <c r="Q591">
        <v>1556.87</v>
      </c>
      <c r="R591" s="19">
        <v>0</v>
      </c>
      <c r="S591" s="21">
        <v>0</v>
      </c>
      <c r="T591">
        <v>6227.48</v>
      </c>
      <c r="U591" s="2">
        <v>6227.48</v>
      </c>
      <c r="V591">
        <v>47.7</v>
      </c>
      <c r="W591">
        <v>4772.96</v>
      </c>
      <c r="X591" s="2">
        <v>1406.82</v>
      </c>
      <c r="Y591">
        <v>0.22589999999999999</v>
      </c>
      <c r="Z591">
        <v>2</v>
      </c>
      <c r="AA591" t="s">
        <v>46</v>
      </c>
      <c r="AB591" t="s">
        <v>47</v>
      </c>
      <c r="AD591">
        <v>3</v>
      </c>
      <c r="AE591" s="2">
        <v>6379.44</v>
      </c>
      <c r="AF591">
        <v>0.97619999999999996</v>
      </c>
      <c r="AG591" t="s">
        <v>49</v>
      </c>
      <c r="AH591" s="23">
        <f>SUM(Amazon_Data_Set[[#This Row],[Gross Sales]]-Amazon_Data_Set[[#This Row],[Discount Amount]])</f>
        <v>6227.48</v>
      </c>
    </row>
    <row r="592" spans="1:34">
      <c r="A592" t="s">
        <v>1636</v>
      </c>
      <c r="B592" s="1">
        <v>46089</v>
      </c>
      <c r="C592" t="str">
        <f>TEXT(Amazon_Data_Set[[#This Row],[Order Date]],"mmm")</f>
        <v>Mar</v>
      </c>
      <c r="D592" t="s">
        <v>627</v>
      </c>
      <c r="E592" t="s">
        <v>35</v>
      </c>
      <c r="F592" t="s">
        <v>36</v>
      </c>
      <c r="G592" t="s">
        <v>37</v>
      </c>
      <c r="H592" t="s">
        <v>38</v>
      </c>
      <c r="I592" t="s">
        <v>39</v>
      </c>
      <c r="J592" t="s">
        <v>281</v>
      </c>
      <c r="K592" t="s">
        <v>282</v>
      </c>
      <c r="L592" t="s">
        <v>1637</v>
      </c>
      <c r="M592" t="s">
        <v>43</v>
      </c>
      <c r="N592" t="s">
        <v>77</v>
      </c>
      <c r="O592" t="s">
        <v>130</v>
      </c>
      <c r="P592">
        <v>3</v>
      </c>
      <c r="Q592">
        <v>3616.8</v>
      </c>
      <c r="R592" s="19">
        <v>0</v>
      </c>
      <c r="S592" s="21">
        <v>0</v>
      </c>
      <c r="T592">
        <v>10850.4</v>
      </c>
      <c r="U592" s="2">
        <v>10850.4</v>
      </c>
      <c r="V592">
        <v>239.84</v>
      </c>
      <c r="W592">
        <v>5803.72</v>
      </c>
      <c r="X592" s="2">
        <v>4806.84</v>
      </c>
      <c r="Y592">
        <v>0.443</v>
      </c>
      <c r="Z592">
        <v>1</v>
      </c>
      <c r="AA592" t="s">
        <v>131</v>
      </c>
      <c r="AB592" t="s">
        <v>47</v>
      </c>
      <c r="AE592" s="2">
        <v>9474.0499999999993</v>
      </c>
      <c r="AF592">
        <v>1.1453</v>
      </c>
      <c r="AG592" t="s">
        <v>49</v>
      </c>
      <c r="AH592" s="23">
        <f>SUM(Amazon_Data_Set[[#This Row],[Gross Sales]]-Amazon_Data_Set[[#This Row],[Discount Amount]])</f>
        <v>10850.4</v>
      </c>
    </row>
    <row r="593" spans="1:34">
      <c r="A593" t="s">
        <v>1638</v>
      </c>
      <c r="B593" s="1">
        <v>46123</v>
      </c>
      <c r="C593" t="str">
        <f>TEXT(Amazon_Data_Set[[#This Row],[Order Date]],"mmm")</f>
        <v>Apr</v>
      </c>
      <c r="D593" t="s">
        <v>824</v>
      </c>
      <c r="E593" t="s">
        <v>167</v>
      </c>
      <c r="F593" t="s">
        <v>168</v>
      </c>
      <c r="G593" t="s">
        <v>111</v>
      </c>
      <c r="H593" t="s">
        <v>142</v>
      </c>
      <c r="I593" t="s">
        <v>209</v>
      </c>
      <c r="J593" t="s">
        <v>243</v>
      </c>
      <c r="K593" t="s">
        <v>145</v>
      </c>
      <c r="L593" t="s">
        <v>1639</v>
      </c>
      <c r="M593" t="s">
        <v>106</v>
      </c>
      <c r="N593" t="s">
        <v>95</v>
      </c>
      <c r="O593" t="s">
        <v>45</v>
      </c>
      <c r="P593">
        <v>2</v>
      </c>
      <c r="Q593">
        <v>2958.88</v>
      </c>
      <c r="R593" s="19">
        <v>0.1</v>
      </c>
      <c r="S593" s="21">
        <v>591.78</v>
      </c>
      <c r="T593">
        <v>5917.76</v>
      </c>
      <c r="U593" s="2">
        <v>5325.98</v>
      </c>
      <c r="V593">
        <v>134.66999999999999</v>
      </c>
      <c r="W593">
        <v>2864.61</v>
      </c>
      <c r="X593" s="2">
        <v>2326.6999999999998</v>
      </c>
      <c r="Y593">
        <v>0.43690000000000001</v>
      </c>
      <c r="Z593">
        <v>6</v>
      </c>
      <c r="AA593" t="s">
        <v>61</v>
      </c>
      <c r="AB593" t="s">
        <v>47</v>
      </c>
      <c r="AD593">
        <v>4</v>
      </c>
      <c r="AE593" s="2">
        <v>5444.09</v>
      </c>
      <c r="AF593">
        <v>0.97829999999999995</v>
      </c>
      <c r="AG593" t="s">
        <v>49</v>
      </c>
      <c r="AH593" s="23">
        <f>SUM(Amazon_Data_Set[[#This Row],[Gross Sales]]-Amazon_Data_Set[[#This Row],[Discount Amount]])</f>
        <v>5325.9800000000005</v>
      </c>
    </row>
    <row r="594" spans="1:34">
      <c r="A594" t="s">
        <v>1640</v>
      </c>
      <c r="B594" s="1">
        <v>46116</v>
      </c>
      <c r="C594" t="str">
        <f>TEXT(Amazon_Data_Set[[#This Row],[Order Date]],"mmm")</f>
        <v>Apr</v>
      </c>
      <c r="D594" t="s">
        <v>1641</v>
      </c>
      <c r="E594" t="s">
        <v>35</v>
      </c>
      <c r="F594" t="s">
        <v>36</v>
      </c>
      <c r="G594" t="s">
        <v>37</v>
      </c>
      <c r="H594" t="s">
        <v>83</v>
      </c>
      <c r="I594" t="s">
        <v>188</v>
      </c>
      <c r="J594" t="s">
        <v>475</v>
      </c>
      <c r="K594" t="s">
        <v>476</v>
      </c>
      <c r="L594" t="s">
        <v>1642</v>
      </c>
      <c r="M594" t="s">
        <v>106</v>
      </c>
      <c r="N594" t="s">
        <v>124</v>
      </c>
      <c r="O594" t="s">
        <v>45</v>
      </c>
      <c r="P594">
        <v>5</v>
      </c>
      <c r="Q594">
        <v>972.89</v>
      </c>
      <c r="R594" s="19">
        <v>0.15</v>
      </c>
      <c r="S594" s="21">
        <v>729.67</v>
      </c>
      <c r="T594">
        <v>4864.45</v>
      </c>
      <c r="U594" s="2">
        <v>4134.78</v>
      </c>
      <c r="V594">
        <v>105.83</v>
      </c>
      <c r="W594">
        <v>2823.5</v>
      </c>
      <c r="X594" s="2">
        <v>1205.45</v>
      </c>
      <c r="Y594">
        <v>0.29149999999999998</v>
      </c>
      <c r="Z594">
        <v>7</v>
      </c>
      <c r="AA594" t="s">
        <v>61</v>
      </c>
      <c r="AB594" t="s">
        <v>47</v>
      </c>
      <c r="AD594">
        <v>4</v>
      </c>
      <c r="AE594" s="2">
        <v>5059.32</v>
      </c>
      <c r="AF594">
        <v>0.81730000000000003</v>
      </c>
      <c r="AG594" t="s">
        <v>49</v>
      </c>
      <c r="AH594" s="23">
        <f>SUM(Amazon_Data_Set[[#This Row],[Gross Sales]]-Amazon_Data_Set[[#This Row],[Discount Amount]])</f>
        <v>4134.78</v>
      </c>
    </row>
    <row r="595" spans="1:34">
      <c r="A595" t="s">
        <v>1643</v>
      </c>
      <c r="B595" s="1">
        <v>46079</v>
      </c>
      <c r="C595" t="str">
        <f>TEXT(Amazon_Data_Set[[#This Row],[Order Date]],"mmm")</f>
        <v>Feb</v>
      </c>
      <c r="D595" t="s">
        <v>486</v>
      </c>
      <c r="E595" t="s">
        <v>194</v>
      </c>
      <c r="F595" t="s">
        <v>195</v>
      </c>
      <c r="G595" t="s">
        <v>111</v>
      </c>
      <c r="H595" t="s">
        <v>38</v>
      </c>
      <c r="I595" t="s">
        <v>39</v>
      </c>
      <c r="J595" t="s">
        <v>40</v>
      </c>
      <c r="K595" t="s">
        <v>41</v>
      </c>
      <c r="L595" t="s">
        <v>1644</v>
      </c>
      <c r="M595" t="s">
        <v>43</v>
      </c>
      <c r="N595" t="s">
        <v>124</v>
      </c>
      <c r="O595" t="s">
        <v>45</v>
      </c>
      <c r="P595">
        <v>3</v>
      </c>
      <c r="Q595">
        <v>3241.86</v>
      </c>
      <c r="R595" s="19">
        <v>0</v>
      </c>
      <c r="S595" s="21">
        <v>0</v>
      </c>
      <c r="T595">
        <v>9725.58</v>
      </c>
      <c r="U595" s="2">
        <v>9725.58</v>
      </c>
      <c r="V595">
        <v>221.66</v>
      </c>
      <c r="W595">
        <v>7029.15</v>
      </c>
      <c r="X595" s="2">
        <v>2474.77</v>
      </c>
      <c r="Y595">
        <v>0.2545</v>
      </c>
      <c r="Z595">
        <v>6</v>
      </c>
      <c r="AA595" t="s">
        <v>61</v>
      </c>
      <c r="AB595" t="s">
        <v>47</v>
      </c>
      <c r="AD595">
        <v>5</v>
      </c>
      <c r="AE595" s="2">
        <v>8780.48</v>
      </c>
      <c r="AF595">
        <v>1.1075999999999999</v>
      </c>
      <c r="AG595" t="s">
        <v>49</v>
      </c>
      <c r="AH595" s="23">
        <f>SUM(Amazon_Data_Set[[#This Row],[Gross Sales]]-Amazon_Data_Set[[#This Row],[Discount Amount]])</f>
        <v>9725.58</v>
      </c>
    </row>
    <row r="596" spans="1:34">
      <c r="A596" t="s">
        <v>1645</v>
      </c>
      <c r="B596" s="1">
        <v>46037</v>
      </c>
      <c r="C596" t="str">
        <f>TEXT(Amazon_Data_Set[[#This Row],[Order Date]],"mmm")</f>
        <v>Jan</v>
      </c>
      <c r="D596" t="s">
        <v>566</v>
      </c>
      <c r="E596" t="s">
        <v>80</v>
      </c>
      <c r="F596" t="s">
        <v>81</v>
      </c>
      <c r="G596" t="s">
        <v>82</v>
      </c>
      <c r="H596" t="s">
        <v>55</v>
      </c>
      <c r="I596" t="s">
        <v>120</v>
      </c>
      <c r="J596" t="s">
        <v>127</v>
      </c>
      <c r="K596" t="s">
        <v>128</v>
      </c>
      <c r="L596" t="s">
        <v>1646</v>
      </c>
      <c r="M596" t="s">
        <v>106</v>
      </c>
      <c r="N596" t="s">
        <v>60</v>
      </c>
      <c r="O596" t="s">
        <v>96</v>
      </c>
      <c r="P596">
        <v>3</v>
      </c>
      <c r="Q596">
        <v>663.13</v>
      </c>
      <c r="R596" s="19">
        <v>0.1</v>
      </c>
      <c r="S596" s="21">
        <v>198.94</v>
      </c>
      <c r="T596">
        <v>1989.39</v>
      </c>
      <c r="U596" s="2">
        <v>1790.45</v>
      </c>
      <c r="V596">
        <v>173.55</v>
      </c>
      <c r="W596">
        <v>1045.46</v>
      </c>
      <c r="X596" s="2">
        <v>571.44000000000005</v>
      </c>
      <c r="Y596">
        <v>0.31919999999999998</v>
      </c>
      <c r="Z596">
        <v>0</v>
      </c>
      <c r="AA596" t="s">
        <v>97</v>
      </c>
      <c r="AB596" t="s">
        <v>47</v>
      </c>
      <c r="AE596" s="2">
        <v>2155.4699999999998</v>
      </c>
      <c r="AF596">
        <v>0.83069999999999999</v>
      </c>
      <c r="AG596" t="s">
        <v>49</v>
      </c>
      <c r="AH596" s="23">
        <f>SUM(Amazon_Data_Set[[#This Row],[Gross Sales]]-Amazon_Data_Set[[#This Row],[Discount Amount]])</f>
        <v>1790.45</v>
      </c>
    </row>
    <row r="597" spans="1:34">
      <c r="A597" t="s">
        <v>1647</v>
      </c>
      <c r="B597" s="1">
        <v>46075</v>
      </c>
      <c r="C597" t="str">
        <f>TEXT(Amazon_Data_Set[[#This Row],[Order Date]],"mmm")</f>
        <v>Feb</v>
      </c>
      <c r="D597" t="s">
        <v>455</v>
      </c>
      <c r="E597" t="s">
        <v>52</v>
      </c>
      <c r="F597" t="s">
        <v>53</v>
      </c>
      <c r="G597" t="s">
        <v>54</v>
      </c>
      <c r="H597" t="s">
        <v>55</v>
      </c>
      <c r="I597" t="s">
        <v>56</v>
      </c>
      <c r="J597" t="s">
        <v>448</v>
      </c>
      <c r="K597" t="s">
        <v>170</v>
      </c>
      <c r="L597" t="s">
        <v>1648</v>
      </c>
      <c r="M597" t="s">
        <v>43</v>
      </c>
      <c r="N597" t="s">
        <v>124</v>
      </c>
      <c r="O597" t="s">
        <v>45</v>
      </c>
      <c r="P597">
        <v>4</v>
      </c>
      <c r="Q597">
        <v>2252.19</v>
      </c>
      <c r="R597" s="19">
        <v>0</v>
      </c>
      <c r="S597" s="21">
        <v>0</v>
      </c>
      <c r="T597">
        <v>9008.76</v>
      </c>
      <c r="U597" s="2">
        <v>9008.76</v>
      </c>
      <c r="V597">
        <v>221.66</v>
      </c>
      <c r="W597">
        <v>5024.7</v>
      </c>
      <c r="X597" s="2">
        <v>3762.4</v>
      </c>
      <c r="Y597">
        <v>0.41760000000000003</v>
      </c>
      <c r="Z597">
        <v>4</v>
      </c>
      <c r="AA597" t="s">
        <v>46</v>
      </c>
      <c r="AB597" t="s">
        <v>47</v>
      </c>
      <c r="AD597">
        <v>5</v>
      </c>
      <c r="AE597" s="2">
        <v>9988.66</v>
      </c>
      <c r="AF597">
        <v>0.90190000000000003</v>
      </c>
      <c r="AG597" t="s">
        <v>49</v>
      </c>
      <c r="AH597" s="23">
        <f>SUM(Amazon_Data_Set[[#This Row],[Gross Sales]]-Amazon_Data_Set[[#This Row],[Discount Amount]])</f>
        <v>9008.76</v>
      </c>
    </row>
    <row r="598" spans="1:34">
      <c r="A598" t="s">
        <v>1649</v>
      </c>
      <c r="B598" s="1">
        <v>46259</v>
      </c>
      <c r="C598" t="str">
        <f>TEXT(Amazon_Data_Set[[#This Row],[Order Date]],"mmm")</f>
        <v>Aug</v>
      </c>
      <c r="D598" t="s">
        <v>486</v>
      </c>
      <c r="E598" t="s">
        <v>64</v>
      </c>
      <c r="F598" t="s">
        <v>65</v>
      </c>
      <c r="G598" t="s">
        <v>54</v>
      </c>
      <c r="H598" t="s">
        <v>142</v>
      </c>
      <c r="I598" t="s">
        <v>143</v>
      </c>
      <c r="J598" t="s">
        <v>183</v>
      </c>
      <c r="K598" t="s">
        <v>184</v>
      </c>
      <c r="L598" t="s">
        <v>1650</v>
      </c>
      <c r="M598" t="s">
        <v>106</v>
      </c>
      <c r="N598" t="s">
        <v>70</v>
      </c>
      <c r="O598" t="s">
        <v>45</v>
      </c>
      <c r="P598">
        <v>3</v>
      </c>
      <c r="Q598">
        <v>5832.41</v>
      </c>
      <c r="R598" s="19">
        <v>0.1</v>
      </c>
      <c r="S598" s="21">
        <v>1749.72</v>
      </c>
      <c r="T598">
        <v>17497.23</v>
      </c>
      <c r="U598" s="2">
        <v>15747.51</v>
      </c>
      <c r="V598">
        <v>142.04</v>
      </c>
      <c r="W598">
        <v>10322.709999999999</v>
      </c>
      <c r="X598" s="2">
        <v>5282.76</v>
      </c>
      <c r="Y598">
        <v>0.33550000000000002</v>
      </c>
      <c r="Z598">
        <v>8</v>
      </c>
      <c r="AA598" t="s">
        <v>61</v>
      </c>
      <c r="AB598" t="s">
        <v>47</v>
      </c>
      <c r="AD598">
        <v>4</v>
      </c>
      <c r="AE598" s="2">
        <v>14740.17</v>
      </c>
      <c r="AF598">
        <v>1.0683</v>
      </c>
      <c r="AG598" t="s">
        <v>347</v>
      </c>
      <c r="AH598" s="23">
        <f>SUM(Amazon_Data_Set[[#This Row],[Gross Sales]]-Amazon_Data_Set[[#This Row],[Discount Amount]])</f>
        <v>15747.51</v>
      </c>
    </row>
    <row r="599" spans="1:34">
      <c r="A599" t="s">
        <v>1651</v>
      </c>
      <c r="B599" s="1">
        <v>46266</v>
      </c>
      <c r="C599" t="str">
        <f>TEXT(Amazon_Data_Set[[#This Row],[Order Date]],"mmm")</f>
        <v>Sep</v>
      </c>
      <c r="D599" t="s">
        <v>1250</v>
      </c>
      <c r="E599" t="s">
        <v>118</v>
      </c>
      <c r="F599" t="s">
        <v>119</v>
      </c>
      <c r="G599" t="s">
        <v>82</v>
      </c>
      <c r="H599" t="s">
        <v>55</v>
      </c>
      <c r="I599" t="s">
        <v>73</v>
      </c>
      <c r="J599" t="s">
        <v>74</v>
      </c>
      <c r="K599" t="s">
        <v>75</v>
      </c>
      <c r="L599" t="s">
        <v>1652</v>
      </c>
      <c r="M599" t="s">
        <v>43</v>
      </c>
      <c r="N599" t="s">
        <v>60</v>
      </c>
      <c r="O599" t="s">
        <v>45</v>
      </c>
      <c r="P599">
        <v>1</v>
      </c>
      <c r="Q599">
        <v>22705.68</v>
      </c>
      <c r="R599" s="19">
        <v>0.1</v>
      </c>
      <c r="S599" s="21">
        <v>2270.5700000000002</v>
      </c>
      <c r="T599">
        <v>22705.68</v>
      </c>
      <c r="U599" s="2">
        <v>20435.11</v>
      </c>
      <c r="V599">
        <v>65.8</v>
      </c>
      <c r="W599">
        <v>13043.8</v>
      </c>
      <c r="X599" s="2">
        <v>7325.51</v>
      </c>
      <c r="Y599">
        <v>0.35849999999999999</v>
      </c>
      <c r="Z599">
        <v>2</v>
      </c>
      <c r="AA599" t="s">
        <v>46</v>
      </c>
      <c r="AB599" t="s">
        <v>47</v>
      </c>
      <c r="AD599">
        <v>4</v>
      </c>
      <c r="AE599" s="2">
        <v>24075.64</v>
      </c>
      <c r="AF599">
        <v>0.8488</v>
      </c>
      <c r="AG599" t="s">
        <v>49</v>
      </c>
      <c r="AH599" s="23">
        <f>SUM(Amazon_Data_Set[[#This Row],[Gross Sales]]-Amazon_Data_Set[[#This Row],[Discount Amount]])</f>
        <v>20435.11</v>
      </c>
    </row>
    <row r="600" spans="1:34">
      <c r="A600" t="s">
        <v>1653</v>
      </c>
      <c r="B600" s="1">
        <v>46044</v>
      </c>
      <c r="C600" t="str">
        <f>TEXT(Amazon_Data_Set[[#This Row],[Order Date]],"mmm")</f>
        <v>Jan</v>
      </c>
      <c r="D600" t="s">
        <v>213</v>
      </c>
      <c r="E600" t="s">
        <v>109</v>
      </c>
      <c r="F600" t="s">
        <v>154</v>
      </c>
      <c r="G600" t="s">
        <v>111</v>
      </c>
      <c r="H600" t="s">
        <v>90</v>
      </c>
      <c r="I600" t="s">
        <v>112</v>
      </c>
      <c r="J600" t="s">
        <v>113</v>
      </c>
      <c r="K600" t="s">
        <v>114</v>
      </c>
      <c r="L600" t="s">
        <v>1654</v>
      </c>
      <c r="M600" t="s">
        <v>106</v>
      </c>
      <c r="N600" t="s">
        <v>95</v>
      </c>
      <c r="O600" t="s">
        <v>45</v>
      </c>
      <c r="P600">
        <v>2</v>
      </c>
      <c r="Q600">
        <v>158.51</v>
      </c>
      <c r="R600" s="19">
        <v>0.1</v>
      </c>
      <c r="S600" s="21">
        <v>31.7</v>
      </c>
      <c r="T600">
        <v>317.02</v>
      </c>
      <c r="U600" s="2">
        <v>285.32</v>
      </c>
      <c r="V600">
        <v>80.11</v>
      </c>
      <c r="W600">
        <v>181.82</v>
      </c>
      <c r="X600" s="2">
        <v>23.39</v>
      </c>
      <c r="Y600">
        <v>8.2000000000000003E-2</v>
      </c>
      <c r="Z600">
        <v>8</v>
      </c>
      <c r="AA600" t="s">
        <v>61</v>
      </c>
      <c r="AB600" t="s">
        <v>47</v>
      </c>
      <c r="AD600">
        <v>4</v>
      </c>
      <c r="AE600" s="2">
        <v>271.89</v>
      </c>
      <c r="AF600">
        <v>1.0494000000000001</v>
      </c>
      <c r="AG600" t="s">
        <v>49</v>
      </c>
      <c r="AH600" s="23">
        <f>SUM(Amazon_Data_Set[[#This Row],[Gross Sales]]-Amazon_Data_Set[[#This Row],[Discount Amount]])</f>
        <v>285.32</v>
      </c>
    </row>
    <row r="601" spans="1:34">
      <c r="A601" t="s">
        <v>1655</v>
      </c>
      <c r="B601" s="1">
        <v>46373</v>
      </c>
      <c r="C601" t="str">
        <f>TEXT(Amazon_Data_Set[[#This Row],[Order Date]],"mmm")</f>
        <v>Dec</v>
      </c>
      <c r="D601" t="s">
        <v>447</v>
      </c>
      <c r="E601" t="s">
        <v>194</v>
      </c>
      <c r="F601" t="s">
        <v>195</v>
      </c>
      <c r="G601" t="s">
        <v>111</v>
      </c>
      <c r="H601" t="s">
        <v>38</v>
      </c>
      <c r="I601" t="s">
        <v>39</v>
      </c>
      <c r="J601" t="s">
        <v>281</v>
      </c>
      <c r="K601" t="s">
        <v>282</v>
      </c>
      <c r="L601" t="s">
        <v>1656</v>
      </c>
      <c r="M601" t="s">
        <v>106</v>
      </c>
      <c r="N601" t="s">
        <v>44</v>
      </c>
      <c r="O601" t="s">
        <v>96</v>
      </c>
      <c r="P601">
        <v>5</v>
      </c>
      <c r="Q601">
        <v>4637.4799999999996</v>
      </c>
      <c r="R601" s="19">
        <v>0.1</v>
      </c>
      <c r="S601" s="21">
        <v>2318.7399999999998</v>
      </c>
      <c r="T601">
        <v>23187.4</v>
      </c>
      <c r="U601" s="2">
        <v>20868.66</v>
      </c>
      <c r="V601">
        <v>124.95</v>
      </c>
      <c r="W601">
        <v>12312.86</v>
      </c>
      <c r="X601" s="2">
        <v>8430.85</v>
      </c>
      <c r="Y601">
        <v>0.40400000000000003</v>
      </c>
      <c r="Z601">
        <v>0</v>
      </c>
      <c r="AA601" t="s">
        <v>97</v>
      </c>
      <c r="AB601" t="s">
        <v>47</v>
      </c>
      <c r="AE601" s="2">
        <v>25669.52</v>
      </c>
      <c r="AF601">
        <v>0.81299999999999994</v>
      </c>
      <c r="AG601" t="s">
        <v>49</v>
      </c>
      <c r="AH601" s="23">
        <f>SUM(Amazon_Data_Set[[#This Row],[Gross Sales]]-Amazon_Data_Set[[#This Row],[Discount Amount]])</f>
        <v>20868.660000000003</v>
      </c>
    </row>
    <row r="602" spans="1:34">
      <c r="A602" t="s">
        <v>1657</v>
      </c>
      <c r="B602" s="1">
        <v>46080</v>
      </c>
      <c r="C602" t="str">
        <f>TEXT(Amazon_Data_Set[[#This Row],[Order Date]],"mmm")</f>
        <v>Feb</v>
      </c>
      <c r="D602" t="s">
        <v>148</v>
      </c>
      <c r="E602" t="s">
        <v>109</v>
      </c>
      <c r="F602" t="s">
        <v>110</v>
      </c>
      <c r="G602" t="s">
        <v>111</v>
      </c>
      <c r="H602" t="s">
        <v>38</v>
      </c>
      <c r="I602" t="s">
        <v>161</v>
      </c>
      <c r="J602" t="s">
        <v>297</v>
      </c>
      <c r="K602" t="s">
        <v>298</v>
      </c>
      <c r="L602" t="s">
        <v>1658</v>
      </c>
      <c r="M602" t="s">
        <v>43</v>
      </c>
      <c r="N602" t="s">
        <v>124</v>
      </c>
      <c r="O602" t="s">
        <v>45</v>
      </c>
      <c r="P602">
        <v>5</v>
      </c>
      <c r="Q602">
        <v>1346.35</v>
      </c>
      <c r="R602" s="19">
        <v>0</v>
      </c>
      <c r="S602" s="21">
        <v>0</v>
      </c>
      <c r="T602">
        <v>6731.75</v>
      </c>
      <c r="U602" s="2">
        <v>6731.75</v>
      </c>
      <c r="V602">
        <v>187.91</v>
      </c>
      <c r="W602">
        <v>4398.18</v>
      </c>
      <c r="X602" s="2">
        <v>2145.66</v>
      </c>
      <c r="Y602">
        <v>0.31869999999999998</v>
      </c>
      <c r="Z602">
        <v>4</v>
      </c>
      <c r="AA602" t="s">
        <v>46</v>
      </c>
      <c r="AB602" t="s">
        <v>47</v>
      </c>
      <c r="AD602">
        <v>4</v>
      </c>
      <c r="AE602" s="2">
        <v>7600.98</v>
      </c>
      <c r="AF602">
        <v>0.88560000000000005</v>
      </c>
      <c r="AG602" t="s">
        <v>49</v>
      </c>
      <c r="AH602" s="23">
        <f>SUM(Amazon_Data_Set[[#This Row],[Gross Sales]]-Amazon_Data_Set[[#This Row],[Discount Amount]])</f>
        <v>6731.75</v>
      </c>
    </row>
    <row r="603" spans="1:34">
      <c r="A603" t="s">
        <v>1659</v>
      </c>
      <c r="B603" s="1">
        <v>46068</v>
      </c>
      <c r="C603" t="str">
        <f>TEXT(Amazon_Data_Set[[#This Row],[Order Date]],"mmm")</f>
        <v>Feb</v>
      </c>
      <c r="D603" t="s">
        <v>239</v>
      </c>
      <c r="E603" t="s">
        <v>275</v>
      </c>
      <c r="F603" t="s">
        <v>276</v>
      </c>
      <c r="G603" t="s">
        <v>37</v>
      </c>
      <c r="H603" t="s">
        <v>142</v>
      </c>
      <c r="I603" t="s">
        <v>209</v>
      </c>
      <c r="J603" t="s">
        <v>210</v>
      </c>
      <c r="K603" t="s">
        <v>201</v>
      </c>
      <c r="L603" t="s">
        <v>1660</v>
      </c>
      <c r="M603" t="s">
        <v>43</v>
      </c>
      <c r="N603" t="s">
        <v>95</v>
      </c>
      <c r="O603" t="s">
        <v>130</v>
      </c>
      <c r="P603">
        <v>5</v>
      </c>
      <c r="Q603">
        <v>10377.73</v>
      </c>
      <c r="R603" s="19">
        <v>0.05</v>
      </c>
      <c r="S603" s="21">
        <v>2594.4299999999998</v>
      </c>
      <c r="T603">
        <v>51888.65</v>
      </c>
      <c r="U603" s="2">
        <v>49294.22</v>
      </c>
      <c r="V603">
        <v>202.57</v>
      </c>
      <c r="W603">
        <v>33938.720000000001</v>
      </c>
      <c r="X603" s="2">
        <v>15152.93</v>
      </c>
      <c r="Y603">
        <v>0.30740000000000001</v>
      </c>
      <c r="Z603">
        <v>8</v>
      </c>
      <c r="AA603" t="s">
        <v>131</v>
      </c>
      <c r="AB603" t="s">
        <v>47</v>
      </c>
      <c r="AE603" s="2">
        <v>52957.33</v>
      </c>
      <c r="AF603">
        <v>0.93079999999999996</v>
      </c>
      <c r="AG603" t="s">
        <v>49</v>
      </c>
      <c r="AH603" s="23">
        <f>SUM(Amazon_Data_Set[[#This Row],[Gross Sales]]-Amazon_Data_Set[[#This Row],[Discount Amount]])</f>
        <v>49294.22</v>
      </c>
    </row>
    <row r="604" spans="1:34">
      <c r="A604" t="s">
        <v>1661</v>
      </c>
      <c r="B604" s="1">
        <v>46070</v>
      </c>
      <c r="C604" t="str">
        <f>TEXT(Amazon_Data_Set[[#This Row],[Order Date]],"mmm")</f>
        <v>Feb</v>
      </c>
      <c r="D604" t="s">
        <v>403</v>
      </c>
      <c r="E604" t="s">
        <v>100</v>
      </c>
      <c r="F604" t="s">
        <v>101</v>
      </c>
      <c r="G604" t="s">
        <v>54</v>
      </c>
      <c r="H604" t="s">
        <v>38</v>
      </c>
      <c r="I604" t="s">
        <v>66</v>
      </c>
      <c r="J604" t="s">
        <v>318</v>
      </c>
      <c r="K604" t="s">
        <v>282</v>
      </c>
      <c r="L604" t="s">
        <v>1662</v>
      </c>
      <c r="M604" t="s">
        <v>43</v>
      </c>
      <c r="N604" t="s">
        <v>60</v>
      </c>
      <c r="O604" t="s">
        <v>45</v>
      </c>
      <c r="P604">
        <v>2</v>
      </c>
      <c r="Q604">
        <v>3045.16</v>
      </c>
      <c r="R604" s="19">
        <v>0</v>
      </c>
      <c r="S604" s="21">
        <v>0</v>
      </c>
      <c r="T604">
        <v>6090.32</v>
      </c>
      <c r="U604" s="2">
        <v>6090.32</v>
      </c>
      <c r="V604">
        <v>136.12</v>
      </c>
      <c r="W604">
        <v>4501.8100000000004</v>
      </c>
      <c r="X604" s="2">
        <v>1452.39</v>
      </c>
      <c r="Y604">
        <v>0.23849999999999999</v>
      </c>
      <c r="Z604">
        <v>3</v>
      </c>
      <c r="AA604" t="s">
        <v>46</v>
      </c>
      <c r="AB604" t="s">
        <v>47</v>
      </c>
      <c r="AD604">
        <v>4</v>
      </c>
      <c r="AE604" s="2">
        <v>6015.08</v>
      </c>
      <c r="AF604">
        <v>1.0125</v>
      </c>
      <c r="AG604" t="s">
        <v>49</v>
      </c>
      <c r="AH604" s="23">
        <f>SUM(Amazon_Data_Set[[#This Row],[Gross Sales]]-Amazon_Data_Set[[#This Row],[Discount Amount]])</f>
        <v>6090.32</v>
      </c>
    </row>
    <row r="605" spans="1:34">
      <c r="A605" t="s">
        <v>1663</v>
      </c>
      <c r="B605" s="1">
        <v>46170</v>
      </c>
      <c r="C605" t="str">
        <f>TEXT(Amazon_Data_Set[[#This Row],[Order Date]],"mmm")</f>
        <v>May</v>
      </c>
      <c r="D605" t="s">
        <v>1361</v>
      </c>
      <c r="E605" t="s">
        <v>64</v>
      </c>
      <c r="F605" t="s">
        <v>65</v>
      </c>
      <c r="G605" t="s">
        <v>54</v>
      </c>
      <c r="H605" t="s">
        <v>142</v>
      </c>
      <c r="I605" t="s">
        <v>143</v>
      </c>
      <c r="J605" t="s">
        <v>200</v>
      </c>
      <c r="K605" t="s">
        <v>201</v>
      </c>
      <c r="L605" t="s">
        <v>1664</v>
      </c>
      <c r="M605" t="s">
        <v>106</v>
      </c>
      <c r="N605" t="s">
        <v>124</v>
      </c>
      <c r="O605" t="s">
        <v>45</v>
      </c>
      <c r="P605">
        <v>1</v>
      </c>
      <c r="Q605">
        <v>8028.69</v>
      </c>
      <c r="R605" s="19">
        <v>0</v>
      </c>
      <c r="S605" s="21">
        <v>0</v>
      </c>
      <c r="T605">
        <v>8028.69</v>
      </c>
      <c r="U605" s="2">
        <v>8028.69</v>
      </c>
      <c r="V605">
        <v>203.23</v>
      </c>
      <c r="W605">
        <v>5656.98</v>
      </c>
      <c r="X605" s="2">
        <v>2168.48</v>
      </c>
      <c r="Y605">
        <v>0.27010000000000001</v>
      </c>
      <c r="Z605">
        <v>5</v>
      </c>
      <c r="AA605" t="s">
        <v>61</v>
      </c>
      <c r="AB605" t="s">
        <v>47</v>
      </c>
      <c r="AD605">
        <v>5</v>
      </c>
      <c r="AE605" s="2">
        <v>7713.57</v>
      </c>
      <c r="AF605">
        <v>1.0408999999999999</v>
      </c>
      <c r="AG605" t="s">
        <v>49</v>
      </c>
      <c r="AH605" s="23">
        <f>SUM(Amazon_Data_Set[[#This Row],[Gross Sales]]-Amazon_Data_Set[[#This Row],[Discount Amount]])</f>
        <v>8028.69</v>
      </c>
    </row>
    <row r="606" spans="1:34">
      <c r="A606" t="s">
        <v>1665</v>
      </c>
      <c r="B606" s="1">
        <v>46123</v>
      </c>
      <c r="C606" t="str">
        <f>TEXT(Amazon_Data_Set[[#This Row],[Order Date]],"mmm")</f>
        <v>Apr</v>
      </c>
      <c r="D606" t="s">
        <v>974</v>
      </c>
      <c r="E606" t="s">
        <v>140</v>
      </c>
      <c r="F606" t="s">
        <v>141</v>
      </c>
      <c r="G606" t="s">
        <v>54</v>
      </c>
      <c r="H606" t="s">
        <v>142</v>
      </c>
      <c r="I606" t="s">
        <v>143</v>
      </c>
      <c r="J606" t="s">
        <v>200</v>
      </c>
      <c r="K606" t="s">
        <v>201</v>
      </c>
      <c r="L606" t="s">
        <v>1666</v>
      </c>
      <c r="M606" t="s">
        <v>106</v>
      </c>
      <c r="N606" t="s">
        <v>44</v>
      </c>
      <c r="O606" t="s">
        <v>45</v>
      </c>
      <c r="P606">
        <v>2</v>
      </c>
      <c r="Q606">
        <v>337.97</v>
      </c>
      <c r="R606" s="19">
        <v>0.3</v>
      </c>
      <c r="S606" s="21">
        <v>202.78</v>
      </c>
      <c r="T606">
        <v>675.94</v>
      </c>
      <c r="U606" s="2">
        <v>473.16</v>
      </c>
      <c r="V606">
        <v>52.33</v>
      </c>
      <c r="W606">
        <v>300.64999999999998</v>
      </c>
      <c r="X606" s="2">
        <v>120.18</v>
      </c>
      <c r="Y606">
        <v>0.254</v>
      </c>
      <c r="Z606">
        <v>7</v>
      </c>
      <c r="AA606" t="s">
        <v>61</v>
      </c>
      <c r="AB606" t="s">
        <v>47</v>
      </c>
      <c r="AD606">
        <v>4</v>
      </c>
      <c r="AE606" s="2">
        <v>579.78</v>
      </c>
      <c r="AF606">
        <v>0.81610000000000005</v>
      </c>
      <c r="AG606" t="s">
        <v>49</v>
      </c>
      <c r="AH606" s="23">
        <f>SUM(Amazon_Data_Set[[#This Row],[Gross Sales]]-Amazon_Data_Set[[#This Row],[Discount Amount]])</f>
        <v>473.16000000000008</v>
      </c>
    </row>
    <row r="607" spans="1:34">
      <c r="A607" t="s">
        <v>1667</v>
      </c>
      <c r="B607" s="1">
        <v>46225</v>
      </c>
      <c r="C607" t="str">
        <f>TEXT(Amazon_Data_Set[[#This Row],[Order Date]],"mmm")</f>
        <v>Jul</v>
      </c>
      <c r="D607" t="s">
        <v>1668</v>
      </c>
      <c r="E607" t="s">
        <v>167</v>
      </c>
      <c r="F607" t="s">
        <v>168</v>
      </c>
      <c r="G607" t="s">
        <v>111</v>
      </c>
      <c r="H607" t="s">
        <v>90</v>
      </c>
      <c r="I607" t="s">
        <v>252</v>
      </c>
      <c r="J607" t="s">
        <v>528</v>
      </c>
      <c r="K607" t="s">
        <v>529</v>
      </c>
      <c r="L607" t="s">
        <v>1669</v>
      </c>
      <c r="M607" t="s">
        <v>43</v>
      </c>
      <c r="N607" t="s">
        <v>70</v>
      </c>
      <c r="O607" t="s">
        <v>130</v>
      </c>
      <c r="P607">
        <v>4</v>
      </c>
      <c r="Q607">
        <v>232.75</v>
      </c>
      <c r="R607" s="19">
        <v>0.1</v>
      </c>
      <c r="S607" s="21">
        <v>93.1</v>
      </c>
      <c r="T607">
        <v>931</v>
      </c>
      <c r="U607" s="2">
        <v>837.9</v>
      </c>
      <c r="V607">
        <v>227.61</v>
      </c>
      <c r="W607">
        <v>465.11</v>
      </c>
      <c r="X607" s="2">
        <v>145.18</v>
      </c>
      <c r="Y607">
        <v>0.17330000000000001</v>
      </c>
      <c r="Z607">
        <v>4</v>
      </c>
      <c r="AA607" t="s">
        <v>131</v>
      </c>
      <c r="AB607" t="s">
        <v>47</v>
      </c>
      <c r="AE607" s="2">
        <v>796.45</v>
      </c>
      <c r="AF607">
        <v>1.052</v>
      </c>
      <c r="AG607" t="s">
        <v>49</v>
      </c>
      <c r="AH607" s="23">
        <f>SUM(Amazon_Data_Set[[#This Row],[Gross Sales]]-Amazon_Data_Set[[#This Row],[Discount Amount]])</f>
        <v>837.9</v>
      </c>
    </row>
    <row r="608" spans="1:34">
      <c r="A608" t="s">
        <v>1670</v>
      </c>
      <c r="B608" s="1">
        <v>46382</v>
      </c>
      <c r="C608" t="str">
        <f>TEXT(Amazon_Data_Set[[#This Row],[Order Date]],"mmm")</f>
        <v>Dec</v>
      </c>
      <c r="D608" t="s">
        <v>1093</v>
      </c>
      <c r="E608" t="s">
        <v>100</v>
      </c>
      <c r="F608" t="s">
        <v>101</v>
      </c>
      <c r="G608" t="s">
        <v>54</v>
      </c>
      <c r="H608" t="s">
        <v>142</v>
      </c>
      <c r="I608" t="s">
        <v>143</v>
      </c>
      <c r="J608" t="s">
        <v>183</v>
      </c>
      <c r="K608" t="s">
        <v>184</v>
      </c>
      <c r="L608" t="s">
        <v>1671</v>
      </c>
      <c r="M608" t="s">
        <v>43</v>
      </c>
      <c r="N608" t="s">
        <v>60</v>
      </c>
      <c r="O608" t="s">
        <v>45</v>
      </c>
      <c r="P608">
        <v>2</v>
      </c>
      <c r="Q608">
        <v>1866.2</v>
      </c>
      <c r="R608" s="19">
        <v>0.1</v>
      </c>
      <c r="S608" s="21">
        <v>373.24</v>
      </c>
      <c r="T608">
        <v>3732.4</v>
      </c>
      <c r="U608" s="2">
        <v>3359.16</v>
      </c>
      <c r="V608">
        <v>195.6</v>
      </c>
      <c r="W608">
        <v>2113.1</v>
      </c>
      <c r="X608" s="2">
        <v>1050.46</v>
      </c>
      <c r="Y608">
        <v>0.31269999999999998</v>
      </c>
      <c r="Z608">
        <v>6</v>
      </c>
      <c r="AA608" t="s">
        <v>61</v>
      </c>
      <c r="AB608" t="s">
        <v>47</v>
      </c>
      <c r="AD608">
        <v>5</v>
      </c>
      <c r="AE608" s="2">
        <v>3609.27</v>
      </c>
      <c r="AF608">
        <v>0.93069999999999997</v>
      </c>
      <c r="AG608" t="s">
        <v>49</v>
      </c>
      <c r="AH608" s="23">
        <f>SUM(Amazon_Data_Set[[#This Row],[Gross Sales]]-Amazon_Data_Set[[#This Row],[Discount Amount]])</f>
        <v>3359.16</v>
      </c>
    </row>
    <row r="609" spans="1:34">
      <c r="A609" t="s">
        <v>1672</v>
      </c>
      <c r="B609" s="1">
        <v>46086</v>
      </c>
      <c r="C609" t="str">
        <f>TEXT(Amazon_Data_Set[[#This Row],[Order Date]],"mmm")</f>
        <v>Mar</v>
      </c>
      <c r="D609" t="s">
        <v>51</v>
      </c>
      <c r="E609" t="s">
        <v>100</v>
      </c>
      <c r="F609" t="s">
        <v>179</v>
      </c>
      <c r="G609" t="s">
        <v>54</v>
      </c>
      <c r="H609" t="s">
        <v>55</v>
      </c>
      <c r="I609" t="s">
        <v>73</v>
      </c>
      <c r="J609" t="s">
        <v>247</v>
      </c>
      <c r="K609" t="s">
        <v>248</v>
      </c>
      <c r="L609" t="s">
        <v>1673</v>
      </c>
      <c r="M609" t="s">
        <v>106</v>
      </c>
      <c r="N609" t="s">
        <v>60</v>
      </c>
      <c r="O609" t="s">
        <v>130</v>
      </c>
      <c r="P609">
        <v>4</v>
      </c>
      <c r="Q609">
        <v>10284.370000000001</v>
      </c>
      <c r="R609" s="19">
        <v>0</v>
      </c>
      <c r="S609" s="21">
        <v>0</v>
      </c>
      <c r="T609">
        <v>41137.480000000003</v>
      </c>
      <c r="U609" s="2">
        <v>41137.480000000003</v>
      </c>
      <c r="V609">
        <v>196.81</v>
      </c>
      <c r="W609">
        <v>23636.01</v>
      </c>
      <c r="X609" s="2">
        <v>17304.66</v>
      </c>
      <c r="Y609">
        <v>0.42070000000000002</v>
      </c>
      <c r="Z609">
        <v>3</v>
      </c>
      <c r="AA609" t="s">
        <v>131</v>
      </c>
      <c r="AB609" t="s">
        <v>47</v>
      </c>
      <c r="AE609" s="2">
        <v>35629.760000000002</v>
      </c>
      <c r="AF609">
        <v>1.1546000000000001</v>
      </c>
      <c r="AG609" t="s">
        <v>347</v>
      </c>
      <c r="AH609" s="23">
        <f>SUM(Amazon_Data_Set[[#This Row],[Gross Sales]]-Amazon_Data_Set[[#This Row],[Discount Amount]])</f>
        <v>41137.480000000003</v>
      </c>
    </row>
    <row r="610" spans="1:34">
      <c r="A610" t="s">
        <v>1674</v>
      </c>
      <c r="B610" s="1">
        <v>46089</v>
      </c>
      <c r="C610" t="str">
        <f>TEXT(Amazon_Data_Set[[#This Row],[Order Date]],"mmm")</f>
        <v>Mar</v>
      </c>
      <c r="D610" t="s">
        <v>1675</v>
      </c>
      <c r="E610" t="s">
        <v>275</v>
      </c>
      <c r="F610" t="s">
        <v>276</v>
      </c>
      <c r="G610" t="s">
        <v>37</v>
      </c>
      <c r="H610" t="s">
        <v>38</v>
      </c>
      <c r="I610" t="s">
        <v>161</v>
      </c>
      <c r="J610" t="s">
        <v>162</v>
      </c>
      <c r="K610" t="s">
        <v>163</v>
      </c>
      <c r="L610" t="s">
        <v>1676</v>
      </c>
      <c r="M610" t="s">
        <v>106</v>
      </c>
      <c r="N610" t="s">
        <v>124</v>
      </c>
      <c r="O610" t="s">
        <v>130</v>
      </c>
      <c r="P610">
        <v>3</v>
      </c>
      <c r="Q610">
        <v>1873.92</v>
      </c>
      <c r="R610" s="19">
        <v>0.25</v>
      </c>
      <c r="S610" s="21">
        <v>1405.44</v>
      </c>
      <c r="T610">
        <v>5621.76</v>
      </c>
      <c r="U610" s="2">
        <v>4216.32</v>
      </c>
      <c r="V610">
        <v>216.36</v>
      </c>
      <c r="W610">
        <v>2789</v>
      </c>
      <c r="X610" s="2">
        <v>1210.96</v>
      </c>
      <c r="Y610">
        <v>0.28720000000000001</v>
      </c>
      <c r="Z610">
        <v>3</v>
      </c>
      <c r="AA610" t="s">
        <v>131</v>
      </c>
      <c r="AB610" t="s">
        <v>47</v>
      </c>
      <c r="AE610" s="2">
        <v>4869.2700000000004</v>
      </c>
      <c r="AF610">
        <v>0.8659</v>
      </c>
      <c r="AG610" t="s">
        <v>49</v>
      </c>
      <c r="AH610" s="23">
        <f>SUM(Amazon_Data_Set[[#This Row],[Gross Sales]]-Amazon_Data_Set[[#This Row],[Discount Amount]])</f>
        <v>4216.32</v>
      </c>
    </row>
    <row r="611" spans="1:34">
      <c r="A611" t="s">
        <v>1677</v>
      </c>
      <c r="B611" s="1">
        <v>46370</v>
      </c>
      <c r="C611" t="str">
        <f>TEXT(Amazon_Data_Set[[#This Row],[Order Date]],"mmm")</f>
        <v>Dec</v>
      </c>
      <c r="D611" t="s">
        <v>651</v>
      </c>
      <c r="E611" t="s">
        <v>275</v>
      </c>
      <c r="F611" t="s">
        <v>276</v>
      </c>
      <c r="G611" t="s">
        <v>37</v>
      </c>
      <c r="H611" t="s">
        <v>90</v>
      </c>
      <c r="I611" t="s">
        <v>112</v>
      </c>
      <c r="J611" t="s">
        <v>134</v>
      </c>
      <c r="K611" t="s">
        <v>135</v>
      </c>
      <c r="L611" t="s">
        <v>1678</v>
      </c>
      <c r="M611" t="s">
        <v>106</v>
      </c>
      <c r="N611" t="s">
        <v>70</v>
      </c>
      <c r="O611" t="s">
        <v>45</v>
      </c>
      <c r="P611">
        <v>1</v>
      </c>
      <c r="Q611">
        <v>1067.81</v>
      </c>
      <c r="R611" s="19">
        <v>0.1</v>
      </c>
      <c r="S611" s="21">
        <v>106.78</v>
      </c>
      <c r="T611">
        <v>1067.81</v>
      </c>
      <c r="U611" s="2">
        <v>961.03</v>
      </c>
      <c r="V611">
        <v>202.42</v>
      </c>
      <c r="W611">
        <v>604.35</v>
      </c>
      <c r="X611" s="2">
        <v>154.26</v>
      </c>
      <c r="Y611">
        <v>0.1605</v>
      </c>
      <c r="Z611">
        <v>7</v>
      </c>
      <c r="AA611" t="s">
        <v>61</v>
      </c>
      <c r="AB611" t="s">
        <v>47</v>
      </c>
      <c r="AD611">
        <v>4</v>
      </c>
      <c r="AE611" s="2">
        <v>903.93</v>
      </c>
      <c r="AF611">
        <v>1.0631999999999999</v>
      </c>
      <c r="AG611" t="s">
        <v>49</v>
      </c>
      <c r="AH611" s="23">
        <f>SUM(Amazon_Data_Set[[#This Row],[Gross Sales]]-Amazon_Data_Set[[#This Row],[Discount Amount]])</f>
        <v>961.03</v>
      </c>
    </row>
    <row r="612" spans="1:34">
      <c r="A612" t="s">
        <v>1679</v>
      </c>
      <c r="B612" s="1">
        <v>46029</v>
      </c>
      <c r="C612" t="str">
        <f>TEXT(Amazon_Data_Set[[#This Row],[Order Date]],"mmm")</f>
        <v>Jan</v>
      </c>
      <c r="D612" t="s">
        <v>1173</v>
      </c>
      <c r="E612" t="s">
        <v>109</v>
      </c>
      <c r="F612" t="s">
        <v>154</v>
      </c>
      <c r="G612" t="s">
        <v>111</v>
      </c>
      <c r="H612" t="s">
        <v>90</v>
      </c>
      <c r="I612" t="s">
        <v>91</v>
      </c>
      <c r="J612" t="s">
        <v>313</v>
      </c>
      <c r="K612" t="s">
        <v>314</v>
      </c>
      <c r="L612" t="s">
        <v>1680</v>
      </c>
      <c r="M612" t="s">
        <v>106</v>
      </c>
      <c r="N612" t="s">
        <v>60</v>
      </c>
      <c r="O612" t="s">
        <v>45</v>
      </c>
      <c r="P612">
        <v>1</v>
      </c>
      <c r="Q612">
        <v>1383.74</v>
      </c>
      <c r="R612" s="19">
        <v>0.2</v>
      </c>
      <c r="S612" s="21">
        <v>276.75</v>
      </c>
      <c r="T612">
        <v>1383.74</v>
      </c>
      <c r="U612" s="2">
        <v>1106.99</v>
      </c>
      <c r="V612">
        <v>100.64</v>
      </c>
      <c r="W612">
        <v>702.67</v>
      </c>
      <c r="X612" s="2">
        <v>303.68</v>
      </c>
      <c r="Y612">
        <v>0.27429999999999999</v>
      </c>
      <c r="Z612">
        <v>5</v>
      </c>
      <c r="AA612" t="s">
        <v>61</v>
      </c>
      <c r="AB612" t="s">
        <v>47</v>
      </c>
      <c r="AD612">
        <v>5</v>
      </c>
      <c r="AE612" s="2">
        <v>1299.45</v>
      </c>
      <c r="AF612">
        <v>0.85189999999999999</v>
      </c>
      <c r="AG612" t="s">
        <v>49</v>
      </c>
      <c r="AH612" s="23">
        <f>SUM(Amazon_Data_Set[[#This Row],[Gross Sales]]-Amazon_Data_Set[[#This Row],[Discount Amount]])</f>
        <v>1106.99</v>
      </c>
    </row>
    <row r="613" spans="1:34">
      <c r="A613" t="s">
        <v>1681</v>
      </c>
      <c r="B613" s="1">
        <v>46233</v>
      </c>
      <c r="C613" t="str">
        <f>TEXT(Amazon_Data_Set[[#This Row],[Order Date]],"mmm")</f>
        <v>Jul</v>
      </c>
      <c r="D613" t="s">
        <v>222</v>
      </c>
      <c r="E613" t="s">
        <v>109</v>
      </c>
      <c r="F613" t="s">
        <v>110</v>
      </c>
      <c r="G613" t="s">
        <v>111</v>
      </c>
      <c r="H613" t="s">
        <v>90</v>
      </c>
      <c r="I613" t="s">
        <v>252</v>
      </c>
      <c r="J613" t="s">
        <v>528</v>
      </c>
      <c r="K613" t="s">
        <v>529</v>
      </c>
      <c r="L613" t="s">
        <v>1682</v>
      </c>
      <c r="M613" t="s">
        <v>43</v>
      </c>
      <c r="N613" t="s">
        <v>70</v>
      </c>
      <c r="O613" t="s">
        <v>96</v>
      </c>
      <c r="P613">
        <v>1</v>
      </c>
      <c r="Q613">
        <v>980.52</v>
      </c>
      <c r="R613" s="19">
        <v>0.3</v>
      </c>
      <c r="S613" s="21">
        <v>294.16000000000003</v>
      </c>
      <c r="T613">
        <v>980.52</v>
      </c>
      <c r="U613" s="2">
        <v>686.36</v>
      </c>
      <c r="V613">
        <v>202.86</v>
      </c>
      <c r="W613">
        <v>363.52</v>
      </c>
      <c r="X613" s="2">
        <v>119.98</v>
      </c>
      <c r="Y613">
        <v>0.17480000000000001</v>
      </c>
      <c r="Z613">
        <v>0</v>
      </c>
      <c r="AA613" t="s">
        <v>97</v>
      </c>
      <c r="AB613" t="s">
        <v>47</v>
      </c>
      <c r="AE613" s="2">
        <v>632.1</v>
      </c>
      <c r="AF613">
        <v>1.0858000000000001</v>
      </c>
      <c r="AG613" t="s">
        <v>49</v>
      </c>
      <c r="AH613" s="23">
        <f>SUM(Amazon_Data_Set[[#This Row],[Gross Sales]]-Amazon_Data_Set[[#This Row],[Discount Amount]])</f>
        <v>686.3599999999999</v>
      </c>
    </row>
    <row r="614" spans="1:34">
      <c r="A614" t="s">
        <v>1683</v>
      </c>
      <c r="B614" s="1">
        <v>46171</v>
      </c>
      <c r="C614" t="str">
        <f>TEXT(Amazon_Data_Set[[#This Row],[Order Date]],"mmm")</f>
        <v>May</v>
      </c>
      <c r="D614" t="s">
        <v>1010</v>
      </c>
      <c r="E614" t="s">
        <v>194</v>
      </c>
      <c r="F614" t="s">
        <v>195</v>
      </c>
      <c r="G614" t="s">
        <v>111</v>
      </c>
      <c r="H614" t="s">
        <v>83</v>
      </c>
      <c r="I614" t="s">
        <v>102</v>
      </c>
      <c r="J614" t="s">
        <v>259</v>
      </c>
      <c r="K614" t="s">
        <v>260</v>
      </c>
      <c r="L614" t="s">
        <v>1684</v>
      </c>
      <c r="M614" t="s">
        <v>43</v>
      </c>
      <c r="N614" t="s">
        <v>60</v>
      </c>
      <c r="O614" t="s">
        <v>130</v>
      </c>
      <c r="P614">
        <v>2</v>
      </c>
      <c r="Q614">
        <v>1600.64</v>
      </c>
      <c r="R614" s="19">
        <v>0.05</v>
      </c>
      <c r="S614" s="21">
        <v>160.06</v>
      </c>
      <c r="T614">
        <v>3201.28</v>
      </c>
      <c r="U614" s="2">
        <v>3041.22</v>
      </c>
      <c r="V614">
        <v>209.71</v>
      </c>
      <c r="W614">
        <v>2199.7399999999998</v>
      </c>
      <c r="X614" s="2">
        <v>631.77</v>
      </c>
      <c r="Y614">
        <v>0.2077</v>
      </c>
      <c r="Z614">
        <v>5</v>
      </c>
      <c r="AA614" t="s">
        <v>131</v>
      </c>
      <c r="AB614" t="s">
        <v>47</v>
      </c>
      <c r="AE614" s="2">
        <v>3584.76</v>
      </c>
      <c r="AF614">
        <v>0.84840000000000004</v>
      </c>
      <c r="AG614" t="s">
        <v>49</v>
      </c>
      <c r="AH614" s="23">
        <f>SUM(Amazon_Data_Set[[#This Row],[Gross Sales]]-Amazon_Data_Set[[#This Row],[Discount Amount]])</f>
        <v>3041.2200000000003</v>
      </c>
    </row>
    <row r="615" spans="1:34">
      <c r="A615" t="s">
        <v>1685</v>
      </c>
      <c r="B615" s="1">
        <v>46179</v>
      </c>
      <c r="C615" t="str">
        <f>TEXT(Amazon_Data_Set[[#This Row],[Order Date]],"mmm")</f>
        <v>Jun</v>
      </c>
      <c r="D615" t="s">
        <v>1126</v>
      </c>
      <c r="E615" t="s">
        <v>109</v>
      </c>
      <c r="F615" t="s">
        <v>110</v>
      </c>
      <c r="G615" t="s">
        <v>111</v>
      </c>
      <c r="H615" t="s">
        <v>38</v>
      </c>
      <c r="I615" t="s">
        <v>39</v>
      </c>
      <c r="J615" t="s">
        <v>40</v>
      </c>
      <c r="K615" t="s">
        <v>41</v>
      </c>
      <c r="L615" t="s">
        <v>1686</v>
      </c>
      <c r="M615" t="s">
        <v>43</v>
      </c>
      <c r="N615" t="s">
        <v>77</v>
      </c>
      <c r="O615" t="s">
        <v>130</v>
      </c>
      <c r="P615">
        <v>5</v>
      </c>
      <c r="Q615">
        <v>3678.66</v>
      </c>
      <c r="R615" s="19">
        <v>0.25</v>
      </c>
      <c r="S615" s="21">
        <v>4598.32</v>
      </c>
      <c r="T615">
        <v>18393.3</v>
      </c>
      <c r="U615" s="2">
        <v>13794.98</v>
      </c>
      <c r="V615">
        <v>68.41</v>
      </c>
      <c r="W615">
        <v>10049.02</v>
      </c>
      <c r="X615" s="2">
        <v>3677.55</v>
      </c>
      <c r="Y615">
        <v>0.2666</v>
      </c>
      <c r="Z615">
        <v>8</v>
      </c>
      <c r="AA615" t="s">
        <v>131</v>
      </c>
      <c r="AB615" t="s">
        <v>47</v>
      </c>
      <c r="AE615" s="2">
        <v>13017.38</v>
      </c>
      <c r="AF615">
        <v>1.0597000000000001</v>
      </c>
      <c r="AG615" t="s">
        <v>49</v>
      </c>
      <c r="AH615" s="23">
        <f>SUM(Amazon_Data_Set[[#This Row],[Gross Sales]]-Amazon_Data_Set[[#This Row],[Discount Amount]])</f>
        <v>13794.98</v>
      </c>
    </row>
    <row r="616" spans="1:34">
      <c r="A616" t="s">
        <v>1687</v>
      </c>
      <c r="B616" s="1">
        <v>46150</v>
      </c>
      <c r="C616" t="str">
        <f>TEXT(Amazon_Data_Set[[#This Row],[Order Date]],"mmm")</f>
        <v>May</v>
      </c>
      <c r="D616" t="s">
        <v>246</v>
      </c>
      <c r="E616" t="s">
        <v>100</v>
      </c>
      <c r="F616" t="s">
        <v>179</v>
      </c>
      <c r="G616" t="s">
        <v>54</v>
      </c>
      <c r="H616" t="s">
        <v>55</v>
      </c>
      <c r="I616" t="s">
        <v>73</v>
      </c>
      <c r="J616" t="s">
        <v>387</v>
      </c>
      <c r="K616" t="s">
        <v>388</v>
      </c>
      <c r="L616" t="s">
        <v>1688</v>
      </c>
      <c r="M616" t="s">
        <v>43</v>
      </c>
      <c r="N616" t="s">
        <v>70</v>
      </c>
      <c r="O616" t="s">
        <v>45</v>
      </c>
      <c r="P616">
        <v>2</v>
      </c>
      <c r="Q616">
        <v>500.23</v>
      </c>
      <c r="R616" s="19">
        <v>0.25</v>
      </c>
      <c r="S616" s="21">
        <v>250.12</v>
      </c>
      <c r="T616">
        <v>1000.46</v>
      </c>
      <c r="U616" s="2">
        <v>750.34</v>
      </c>
      <c r="V616">
        <v>30.37</v>
      </c>
      <c r="W616">
        <v>533.82000000000005</v>
      </c>
      <c r="X616" s="2">
        <v>186.15</v>
      </c>
      <c r="Y616">
        <v>0.24809999999999999</v>
      </c>
      <c r="Z616">
        <v>7</v>
      </c>
      <c r="AA616" t="s">
        <v>61</v>
      </c>
      <c r="AB616" t="s">
        <v>47</v>
      </c>
      <c r="AD616">
        <v>4</v>
      </c>
      <c r="AE616" s="2">
        <v>780.32</v>
      </c>
      <c r="AF616">
        <v>0.96160000000000001</v>
      </c>
      <c r="AG616" t="s">
        <v>49</v>
      </c>
      <c r="AH616" s="23">
        <f>SUM(Amazon_Data_Set[[#This Row],[Gross Sales]]-Amazon_Data_Set[[#This Row],[Discount Amount]])</f>
        <v>750.34</v>
      </c>
    </row>
    <row r="617" spans="1:34">
      <c r="A617" t="s">
        <v>1689</v>
      </c>
      <c r="B617" s="1">
        <v>46306</v>
      </c>
      <c r="C617" t="str">
        <f>TEXT(Amazon_Data_Set[[#This Row],[Order Date]],"mmm")</f>
        <v>Oct</v>
      </c>
      <c r="D617" t="s">
        <v>153</v>
      </c>
      <c r="E617" t="s">
        <v>194</v>
      </c>
      <c r="F617" t="s">
        <v>195</v>
      </c>
      <c r="G617" t="s">
        <v>111</v>
      </c>
      <c r="H617" t="s">
        <v>142</v>
      </c>
      <c r="I617" t="s">
        <v>214</v>
      </c>
      <c r="J617" t="s">
        <v>308</v>
      </c>
      <c r="K617" t="s">
        <v>309</v>
      </c>
      <c r="L617" t="s">
        <v>1690</v>
      </c>
      <c r="M617" t="s">
        <v>106</v>
      </c>
      <c r="N617" t="s">
        <v>124</v>
      </c>
      <c r="O617" t="s">
        <v>45</v>
      </c>
      <c r="P617">
        <v>1</v>
      </c>
      <c r="Q617">
        <v>256.98</v>
      </c>
      <c r="R617" s="19">
        <v>0.1</v>
      </c>
      <c r="S617" s="21">
        <v>25.7</v>
      </c>
      <c r="T617">
        <v>256.98</v>
      </c>
      <c r="U617" s="2">
        <v>231.28</v>
      </c>
      <c r="V617">
        <v>65.58</v>
      </c>
      <c r="W617">
        <v>129.13</v>
      </c>
      <c r="X617" s="2">
        <v>36.57</v>
      </c>
      <c r="Y617">
        <v>0.15809999999999999</v>
      </c>
      <c r="Z617">
        <v>1</v>
      </c>
      <c r="AA617" t="s">
        <v>46</v>
      </c>
      <c r="AB617" t="s">
        <v>47</v>
      </c>
      <c r="AD617">
        <v>5</v>
      </c>
      <c r="AE617" s="2">
        <v>208.57</v>
      </c>
      <c r="AF617">
        <v>1.1089</v>
      </c>
      <c r="AG617" t="s">
        <v>49</v>
      </c>
      <c r="AH617" s="23">
        <f>SUM(Amazon_Data_Set[[#This Row],[Gross Sales]]-Amazon_Data_Set[[#This Row],[Discount Amount]])</f>
        <v>231.28000000000003</v>
      </c>
    </row>
    <row r="618" spans="1:34">
      <c r="A618" t="s">
        <v>1691</v>
      </c>
      <c r="B618" s="1">
        <v>46293</v>
      </c>
      <c r="C618" t="str">
        <f>TEXT(Amazon_Data_Set[[#This Row],[Order Date]],"mmm")</f>
        <v>Sep</v>
      </c>
      <c r="D618" t="s">
        <v>429</v>
      </c>
      <c r="E618" t="s">
        <v>228</v>
      </c>
      <c r="F618" t="s">
        <v>229</v>
      </c>
      <c r="G618" t="s">
        <v>37</v>
      </c>
      <c r="H618" t="s">
        <v>142</v>
      </c>
      <c r="I618" t="s">
        <v>209</v>
      </c>
      <c r="J618" t="s">
        <v>243</v>
      </c>
      <c r="K618" t="s">
        <v>145</v>
      </c>
      <c r="L618" t="s">
        <v>1692</v>
      </c>
      <c r="M618" t="s">
        <v>106</v>
      </c>
      <c r="N618" t="s">
        <v>70</v>
      </c>
      <c r="O618" t="s">
        <v>45</v>
      </c>
      <c r="P618">
        <v>4</v>
      </c>
      <c r="Q618">
        <v>509.77</v>
      </c>
      <c r="R618" s="19">
        <v>0.15</v>
      </c>
      <c r="S618" s="21">
        <v>305.86</v>
      </c>
      <c r="T618">
        <v>2039.08</v>
      </c>
      <c r="U618" s="2">
        <v>1733.22</v>
      </c>
      <c r="V618">
        <v>93.85</v>
      </c>
      <c r="W618">
        <v>968.83</v>
      </c>
      <c r="X618" s="2">
        <v>670.54</v>
      </c>
      <c r="Y618">
        <v>0.38690000000000002</v>
      </c>
      <c r="Z618">
        <v>2</v>
      </c>
      <c r="AA618" t="s">
        <v>46</v>
      </c>
      <c r="AB618" t="s">
        <v>47</v>
      </c>
      <c r="AD618">
        <v>5</v>
      </c>
      <c r="AE618" s="2">
        <v>1780.12</v>
      </c>
      <c r="AF618">
        <v>0.97370000000000001</v>
      </c>
      <c r="AG618" t="s">
        <v>49</v>
      </c>
      <c r="AH618" s="23">
        <f>SUM(Amazon_Data_Set[[#This Row],[Gross Sales]]-Amazon_Data_Set[[#This Row],[Discount Amount]])</f>
        <v>1733.2199999999998</v>
      </c>
    </row>
    <row r="619" spans="1:34">
      <c r="A619" t="s">
        <v>1693</v>
      </c>
      <c r="B619" s="1">
        <v>46155</v>
      </c>
      <c r="C619" t="str">
        <f>TEXT(Amazon_Data_Set[[#This Row],[Order Date]],"mmm")</f>
        <v>May</v>
      </c>
      <c r="D619" t="s">
        <v>537</v>
      </c>
      <c r="E619" t="s">
        <v>167</v>
      </c>
      <c r="F619" t="s">
        <v>168</v>
      </c>
      <c r="G619" t="s">
        <v>111</v>
      </c>
      <c r="H619" t="s">
        <v>38</v>
      </c>
      <c r="I619" t="s">
        <v>39</v>
      </c>
      <c r="J619" t="s">
        <v>40</v>
      </c>
      <c r="K619" t="s">
        <v>41</v>
      </c>
      <c r="L619" t="s">
        <v>1694</v>
      </c>
      <c r="M619" t="s">
        <v>106</v>
      </c>
      <c r="N619" t="s">
        <v>95</v>
      </c>
      <c r="O619" t="s">
        <v>45</v>
      </c>
      <c r="P619">
        <v>5</v>
      </c>
      <c r="Q619">
        <v>4205.91</v>
      </c>
      <c r="R619" s="19">
        <v>0.25</v>
      </c>
      <c r="S619" s="21">
        <v>5257.39</v>
      </c>
      <c r="T619">
        <v>21029.55</v>
      </c>
      <c r="U619" s="2">
        <v>15772.16</v>
      </c>
      <c r="V619">
        <v>59.7</v>
      </c>
      <c r="W619">
        <v>10299.19</v>
      </c>
      <c r="X619" s="2">
        <v>5413.27</v>
      </c>
      <c r="Y619">
        <v>0.34320000000000001</v>
      </c>
      <c r="Z619">
        <v>6</v>
      </c>
      <c r="AA619" t="s">
        <v>61</v>
      </c>
      <c r="AB619" t="s">
        <v>47</v>
      </c>
      <c r="AD619">
        <v>5</v>
      </c>
      <c r="AE619" s="2">
        <v>17937.990000000002</v>
      </c>
      <c r="AF619">
        <v>0.87929999999999997</v>
      </c>
      <c r="AG619" t="s">
        <v>347</v>
      </c>
      <c r="AH619" s="23">
        <f>SUM(Amazon_Data_Set[[#This Row],[Gross Sales]]-Amazon_Data_Set[[#This Row],[Discount Amount]])</f>
        <v>15772.16</v>
      </c>
    </row>
    <row r="620" spans="1:34">
      <c r="A620" t="s">
        <v>1695</v>
      </c>
      <c r="B620" s="1">
        <v>46133</v>
      </c>
      <c r="C620" t="str">
        <f>TEXT(Amazon_Data_Set[[#This Row],[Order Date]],"mmm")</f>
        <v>Apr</v>
      </c>
      <c r="D620" t="s">
        <v>1139</v>
      </c>
      <c r="E620" t="s">
        <v>228</v>
      </c>
      <c r="F620" t="s">
        <v>229</v>
      </c>
      <c r="G620" t="s">
        <v>37</v>
      </c>
      <c r="H620" t="s">
        <v>142</v>
      </c>
      <c r="I620" t="s">
        <v>214</v>
      </c>
      <c r="J620" t="s">
        <v>215</v>
      </c>
      <c r="K620" t="s">
        <v>216</v>
      </c>
      <c r="L620" t="s">
        <v>1696</v>
      </c>
      <c r="M620" t="s">
        <v>43</v>
      </c>
      <c r="N620" t="s">
        <v>44</v>
      </c>
      <c r="O620" t="s">
        <v>45</v>
      </c>
      <c r="P620">
        <v>3</v>
      </c>
      <c r="Q620">
        <v>8343.34</v>
      </c>
      <c r="R620" s="19">
        <v>0</v>
      </c>
      <c r="S620" s="21">
        <v>0</v>
      </c>
      <c r="T620">
        <v>25030.02</v>
      </c>
      <c r="U620" s="2">
        <v>25030.02</v>
      </c>
      <c r="V620">
        <v>70.290000000000006</v>
      </c>
      <c r="W620">
        <v>19108.82</v>
      </c>
      <c r="X620" s="2">
        <v>5850.91</v>
      </c>
      <c r="Y620">
        <v>0.23380000000000001</v>
      </c>
      <c r="Z620">
        <v>2</v>
      </c>
      <c r="AA620" t="s">
        <v>46</v>
      </c>
      <c r="AB620" t="s">
        <v>47</v>
      </c>
      <c r="AD620">
        <v>4</v>
      </c>
      <c r="AE620" s="2">
        <v>26545.599999999999</v>
      </c>
      <c r="AF620">
        <v>0.94289999999999996</v>
      </c>
      <c r="AG620" t="s">
        <v>49</v>
      </c>
      <c r="AH620" s="23">
        <f>SUM(Amazon_Data_Set[[#This Row],[Gross Sales]]-Amazon_Data_Set[[#This Row],[Discount Amount]])</f>
        <v>25030.02</v>
      </c>
    </row>
    <row r="621" spans="1:34">
      <c r="A621" t="s">
        <v>1697</v>
      </c>
      <c r="B621" s="1">
        <v>46241</v>
      </c>
      <c r="C621" t="str">
        <f>TEXT(Amazon_Data_Set[[#This Row],[Order Date]],"mmm")</f>
        <v>Aug</v>
      </c>
      <c r="D621" t="s">
        <v>331</v>
      </c>
      <c r="E621" t="s">
        <v>167</v>
      </c>
      <c r="F621" t="s">
        <v>168</v>
      </c>
      <c r="G621" t="s">
        <v>111</v>
      </c>
      <c r="H621" t="s">
        <v>83</v>
      </c>
      <c r="I621" t="s">
        <v>84</v>
      </c>
      <c r="J621" t="s">
        <v>85</v>
      </c>
      <c r="K621" t="s">
        <v>86</v>
      </c>
      <c r="L621" t="s">
        <v>1698</v>
      </c>
      <c r="M621" t="s">
        <v>43</v>
      </c>
      <c r="N621" t="s">
        <v>124</v>
      </c>
      <c r="O621" t="s">
        <v>130</v>
      </c>
      <c r="P621">
        <v>1</v>
      </c>
      <c r="Q621">
        <v>1366.06</v>
      </c>
      <c r="R621" s="19">
        <v>0.3</v>
      </c>
      <c r="S621" s="21">
        <v>409.82</v>
      </c>
      <c r="T621">
        <v>1366.06</v>
      </c>
      <c r="U621" s="2">
        <v>956.24</v>
      </c>
      <c r="V621">
        <v>57.64</v>
      </c>
      <c r="W621">
        <v>589.01</v>
      </c>
      <c r="X621" s="2">
        <v>309.58999999999997</v>
      </c>
      <c r="Y621">
        <v>0.32379999999999998</v>
      </c>
      <c r="Z621">
        <v>1</v>
      </c>
      <c r="AA621" t="s">
        <v>131</v>
      </c>
      <c r="AB621" t="s">
        <v>47</v>
      </c>
      <c r="AE621" s="2">
        <v>969.97</v>
      </c>
      <c r="AF621">
        <v>0.98580000000000001</v>
      </c>
      <c r="AG621" t="s">
        <v>49</v>
      </c>
      <c r="AH621" s="23">
        <f>SUM(Amazon_Data_Set[[#This Row],[Gross Sales]]-Amazon_Data_Set[[#This Row],[Discount Amount]])</f>
        <v>956.24</v>
      </c>
    </row>
    <row r="622" spans="1:34">
      <c r="A622" t="s">
        <v>1699</v>
      </c>
      <c r="B622" s="1">
        <v>46029</v>
      </c>
      <c r="C622" t="str">
        <f>TEXT(Amazon_Data_Set[[#This Row],[Order Date]],"mmm")</f>
        <v>Jan</v>
      </c>
      <c r="D622" t="s">
        <v>331</v>
      </c>
      <c r="E622" t="s">
        <v>64</v>
      </c>
      <c r="F622" t="s">
        <v>65</v>
      </c>
      <c r="G622" t="s">
        <v>54</v>
      </c>
      <c r="H622" t="s">
        <v>83</v>
      </c>
      <c r="I622" t="s">
        <v>188</v>
      </c>
      <c r="J622" t="s">
        <v>690</v>
      </c>
      <c r="K622" t="s">
        <v>691</v>
      </c>
      <c r="L622" t="s">
        <v>1700</v>
      </c>
      <c r="M622" t="s">
        <v>106</v>
      </c>
      <c r="N622" t="s">
        <v>70</v>
      </c>
      <c r="O622" t="s">
        <v>45</v>
      </c>
      <c r="P622">
        <v>2</v>
      </c>
      <c r="Q622">
        <v>151.49</v>
      </c>
      <c r="R622" s="19">
        <v>0.15</v>
      </c>
      <c r="S622" s="21">
        <v>45.45</v>
      </c>
      <c r="T622">
        <v>302.98</v>
      </c>
      <c r="U622" s="2">
        <v>257.52999999999997</v>
      </c>
      <c r="V622">
        <v>114.57</v>
      </c>
      <c r="W622">
        <v>157.63</v>
      </c>
      <c r="X622" s="2">
        <v>-14.67</v>
      </c>
      <c r="Y622">
        <v>-5.7000000000000002E-2</v>
      </c>
      <c r="Z622">
        <v>3</v>
      </c>
      <c r="AA622" t="s">
        <v>46</v>
      </c>
      <c r="AB622" t="s">
        <v>47</v>
      </c>
      <c r="AD622">
        <v>5</v>
      </c>
      <c r="AE622" s="2">
        <v>223.27</v>
      </c>
      <c r="AF622">
        <v>1.1534</v>
      </c>
      <c r="AG622" t="s">
        <v>347</v>
      </c>
      <c r="AH622" s="23">
        <f>SUM(Amazon_Data_Set[[#This Row],[Gross Sales]]-Amazon_Data_Set[[#This Row],[Discount Amount]])</f>
        <v>257.53000000000003</v>
      </c>
    </row>
    <row r="623" spans="1:34">
      <c r="A623" t="s">
        <v>1701</v>
      </c>
      <c r="B623" s="1">
        <v>46117</v>
      </c>
      <c r="C623" t="str">
        <f>TEXT(Amazon_Data_Set[[#This Row],[Order Date]],"mmm")</f>
        <v>Apr</v>
      </c>
      <c r="D623" t="s">
        <v>1675</v>
      </c>
      <c r="E623" t="s">
        <v>140</v>
      </c>
      <c r="F623" t="s">
        <v>141</v>
      </c>
      <c r="G623" t="s">
        <v>54</v>
      </c>
      <c r="H623" t="s">
        <v>142</v>
      </c>
      <c r="I623" t="s">
        <v>143</v>
      </c>
      <c r="J623" t="s">
        <v>144</v>
      </c>
      <c r="K623" t="s">
        <v>145</v>
      </c>
      <c r="L623" t="s">
        <v>1702</v>
      </c>
      <c r="M623" t="s">
        <v>106</v>
      </c>
      <c r="N623" t="s">
        <v>70</v>
      </c>
      <c r="O623" t="s">
        <v>45</v>
      </c>
      <c r="P623">
        <v>2</v>
      </c>
      <c r="Q623">
        <v>9962.99</v>
      </c>
      <c r="R623" s="19">
        <v>0.2</v>
      </c>
      <c r="S623" s="21">
        <v>3985.2</v>
      </c>
      <c r="T623">
        <v>19925.98</v>
      </c>
      <c r="U623" s="2">
        <v>15940.78</v>
      </c>
      <c r="V623">
        <v>191.92</v>
      </c>
      <c r="W623">
        <v>8690.32</v>
      </c>
      <c r="X623" s="2">
        <v>7058.54</v>
      </c>
      <c r="Y623">
        <v>0.44280000000000003</v>
      </c>
      <c r="Z623">
        <v>4</v>
      </c>
      <c r="AA623" t="s">
        <v>46</v>
      </c>
      <c r="AB623" t="s">
        <v>48</v>
      </c>
      <c r="AC623" t="s">
        <v>158</v>
      </c>
      <c r="AD623">
        <v>3</v>
      </c>
      <c r="AE623" s="2">
        <v>18878.46</v>
      </c>
      <c r="AF623">
        <v>0.84440000000000004</v>
      </c>
      <c r="AG623" t="s">
        <v>49</v>
      </c>
      <c r="AH623" s="23">
        <f>SUM(Amazon_Data_Set[[#This Row],[Gross Sales]]-Amazon_Data_Set[[#This Row],[Discount Amount]])</f>
        <v>15940.779999999999</v>
      </c>
    </row>
    <row r="624" spans="1:34">
      <c r="A624" t="s">
        <v>1703</v>
      </c>
      <c r="B624" s="1">
        <v>46368</v>
      </c>
      <c r="C624" t="str">
        <f>TEXT(Amazon_Data_Set[[#This Row],[Order Date]],"mmm")</f>
        <v>Dec</v>
      </c>
      <c r="D624" t="s">
        <v>602</v>
      </c>
      <c r="E624" t="s">
        <v>149</v>
      </c>
      <c r="F624" t="s">
        <v>150</v>
      </c>
      <c r="G624" t="s">
        <v>37</v>
      </c>
      <c r="H624" t="s">
        <v>90</v>
      </c>
      <c r="I624" t="s">
        <v>252</v>
      </c>
      <c r="J624" t="s">
        <v>270</v>
      </c>
      <c r="K624" t="s">
        <v>271</v>
      </c>
      <c r="L624" t="s">
        <v>1704</v>
      </c>
      <c r="M624" t="s">
        <v>106</v>
      </c>
      <c r="N624" t="s">
        <v>95</v>
      </c>
      <c r="O624" t="s">
        <v>96</v>
      </c>
      <c r="P624">
        <v>5</v>
      </c>
      <c r="Q624">
        <v>423.76</v>
      </c>
      <c r="R624" s="19">
        <v>0</v>
      </c>
      <c r="S624" s="21">
        <v>0</v>
      </c>
      <c r="T624">
        <v>2118.8000000000002</v>
      </c>
      <c r="U624" s="2">
        <v>2118.8000000000002</v>
      </c>
      <c r="V624">
        <v>204.25</v>
      </c>
      <c r="W624">
        <v>1428.45</v>
      </c>
      <c r="X624" s="2">
        <v>486.1</v>
      </c>
      <c r="Y624">
        <v>0.22939999999999999</v>
      </c>
      <c r="Z624">
        <v>0</v>
      </c>
      <c r="AA624" t="s">
        <v>97</v>
      </c>
      <c r="AB624" t="s">
        <v>47</v>
      </c>
      <c r="AE624" s="2">
        <v>2343.9699999999998</v>
      </c>
      <c r="AF624">
        <v>0.90390000000000004</v>
      </c>
      <c r="AG624" t="s">
        <v>49</v>
      </c>
      <c r="AH624" s="23">
        <f>SUM(Amazon_Data_Set[[#This Row],[Gross Sales]]-Amazon_Data_Set[[#This Row],[Discount Amount]])</f>
        <v>2118.8000000000002</v>
      </c>
    </row>
    <row r="625" spans="1:34">
      <c r="A625" t="s">
        <v>1705</v>
      </c>
      <c r="B625" s="1">
        <v>46110</v>
      </c>
      <c r="C625" t="str">
        <f>TEXT(Amazon_Data_Set[[#This Row],[Order Date]],"mmm")</f>
        <v>Mar</v>
      </c>
      <c r="D625" t="s">
        <v>1626</v>
      </c>
      <c r="E625" t="s">
        <v>109</v>
      </c>
      <c r="F625" t="s">
        <v>110</v>
      </c>
      <c r="G625" t="s">
        <v>111</v>
      </c>
      <c r="H625" t="s">
        <v>83</v>
      </c>
      <c r="I625" t="s">
        <v>84</v>
      </c>
      <c r="J625" t="s">
        <v>85</v>
      </c>
      <c r="K625" t="s">
        <v>86</v>
      </c>
      <c r="L625" t="s">
        <v>1706</v>
      </c>
      <c r="M625" t="s">
        <v>43</v>
      </c>
      <c r="N625" t="s">
        <v>44</v>
      </c>
      <c r="O625" t="s">
        <v>45</v>
      </c>
      <c r="P625">
        <v>4</v>
      </c>
      <c r="Q625">
        <v>1843.73</v>
      </c>
      <c r="R625" s="19">
        <v>0</v>
      </c>
      <c r="S625" s="21">
        <v>0</v>
      </c>
      <c r="T625">
        <v>7374.92</v>
      </c>
      <c r="U625" s="2">
        <v>7374.92</v>
      </c>
      <c r="V625">
        <v>145.07</v>
      </c>
      <c r="W625">
        <v>3832.3</v>
      </c>
      <c r="X625" s="2">
        <v>3397.55</v>
      </c>
      <c r="Y625">
        <v>0.4607</v>
      </c>
      <c r="Z625">
        <v>6</v>
      </c>
      <c r="AA625" t="s">
        <v>61</v>
      </c>
      <c r="AB625" t="s">
        <v>48</v>
      </c>
      <c r="AC625" t="s">
        <v>158</v>
      </c>
      <c r="AD625">
        <v>4</v>
      </c>
      <c r="AE625" s="2">
        <v>6785.65</v>
      </c>
      <c r="AF625">
        <v>1.0868</v>
      </c>
      <c r="AG625" t="s">
        <v>49</v>
      </c>
      <c r="AH625" s="23">
        <f>SUM(Amazon_Data_Set[[#This Row],[Gross Sales]]-Amazon_Data_Set[[#This Row],[Discount Amount]])</f>
        <v>7374.92</v>
      </c>
    </row>
    <row r="626" spans="1:34">
      <c r="A626" t="s">
        <v>1707</v>
      </c>
      <c r="B626" s="1">
        <v>46227</v>
      </c>
      <c r="C626" t="str">
        <f>TEXT(Amazon_Data_Set[[#This Row],[Order Date]],"mmm")</f>
        <v>Jul</v>
      </c>
      <c r="D626" t="s">
        <v>291</v>
      </c>
      <c r="E626" t="s">
        <v>80</v>
      </c>
      <c r="F626" t="s">
        <v>81</v>
      </c>
      <c r="G626" t="s">
        <v>82</v>
      </c>
      <c r="H626" t="s">
        <v>55</v>
      </c>
      <c r="I626" t="s">
        <v>56</v>
      </c>
      <c r="J626" t="s">
        <v>366</v>
      </c>
      <c r="K626" t="s">
        <v>367</v>
      </c>
      <c r="L626" t="s">
        <v>1708</v>
      </c>
      <c r="M626" t="s">
        <v>43</v>
      </c>
      <c r="N626" t="s">
        <v>70</v>
      </c>
      <c r="O626" t="s">
        <v>45</v>
      </c>
      <c r="P626">
        <v>5</v>
      </c>
      <c r="Q626">
        <v>60509.51</v>
      </c>
      <c r="R626" s="19">
        <v>0.15</v>
      </c>
      <c r="S626" s="21">
        <v>45382.13</v>
      </c>
      <c r="T626">
        <v>302547.55</v>
      </c>
      <c r="U626" s="2">
        <v>257165.42</v>
      </c>
      <c r="V626">
        <v>153.41999999999999</v>
      </c>
      <c r="W626">
        <v>179442.73</v>
      </c>
      <c r="X626" s="2">
        <v>77569.27</v>
      </c>
      <c r="Y626">
        <v>0.30159999999999998</v>
      </c>
      <c r="Z626">
        <v>4</v>
      </c>
      <c r="AA626" t="s">
        <v>46</v>
      </c>
      <c r="AB626" t="s">
        <v>47</v>
      </c>
      <c r="AD626">
        <v>5</v>
      </c>
      <c r="AE626" s="2">
        <v>279788.52</v>
      </c>
      <c r="AF626">
        <v>0.91910000000000003</v>
      </c>
      <c r="AG626" t="s">
        <v>49</v>
      </c>
      <c r="AH626" s="23">
        <f>SUM(Amazon_Data_Set[[#This Row],[Gross Sales]]-Amazon_Data_Set[[#This Row],[Discount Amount]])</f>
        <v>257165.41999999998</v>
      </c>
    </row>
    <row r="627" spans="1:34">
      <c r="A627" t="s">
        <v>1709</v>
      </c>
      <c r="B627" s="1">
        <v>46128</v>
      </c>
      <c r="C627" t="str">
        <f>TEXT(Amazon_Data_Set[[#This Row],[Order Date]],"mmm")</f>
        <v>Apr</v>
      </c>
      <c r="D627" t="s">
        <v>1710</v>
      </c>
      <c r="E627" t="s">
        <v>194</v>
      </c>
      <c r="F627" t="s">
        <v>195</v>
      </c>
      <c r="G627" t="s">
        <v>111</v>
      </c>
      <c r="H627" t="s">
        <v>90</v>
      </c>
      <c r="I627" t="s">
        <v>252</v>
      </c>
      <c r="J627" t="s">
        <v>270</v>
      </c>
      <c r="K627" t="s">
        <v>271</v>
      </c>
      <c r="L627" t="s">
        <v>1711</v>
      </c>
      <c r="M627" t="s">
        <v>106</v>
      </c>
      <c r="N627" t="s">
        <v>70</v>
      </c>
      <c r="O627" t="s">
        <v>96</v>
      </c>
      <c r="P627">
        <v>5</v>
      </c>
      <c r="Q627">
        <v>204.54</v>
      </c>
      <c r="R627" s="19">
        <v>0.1</v>
      </c>
      <c r="S627" s="21">
        <v>102.27</v>
      </c>
      <c r="T627">
        <v>1022.7</v>
      </c>
      <c r="U627" s="2">
        <v>920.43</v>
      </c>
      <c r="V627">
        <v>216.44</v>
      </c>
      <c r="W627">
        <v>641.53</v>
      </c>
      <c r="X627" s="2">
        <v>62.46</v>
      </c>
      <c r="Y627">
        <v>6.7900000000000002E-2</v>
      </c>
      <c r="Z627">
        <v>0</v>
      </c>
      <c r="AA627" t="s">
        <v>97</v>
      </c>
      <c r="AB627" t="s">
        <v>47</v>
      </c>
      <c r="AE627" s="2">
        <v>899.17</v>
      </c>
      <c r="AF627">
        <v>1.0236000000000001</v>
      </c>
      <c r="AG627" t="s">
        <v>49</v>
      </c>
      <c r="AH627" s="23">
        <f>SUM(Amazon_Data_Set[[#This Row],[Gross Sales]]-Amazon_Data_Set[[#This Row],[Discount Amount]])</f>
        <v>920.43000000000006</v>
      </c>
    </row>
    <row r="628" spans="1:34">
      <c r="A628" t="s">
        <v>1712</v>
      </c>
      <c r="B628" s="1">
        <v>46110</v>
      </c>
      <c r="C628" t="str">
        <f>TEXT(Amazon_Data_Set[[#This Row],[Order Date]],"mmm")</f>
        <v>Mar</v>
      </c>
      <c r="D628" t="s">
        <v>735</v>
      </c>
      <c r="E628" t="s">
        <v>167</v>
      </c>
      <c r="F628" t="s">
        <v>168</v>
      </c>
      <c r="G628" t="s">
        <v>111</v>
      </c>
      <c r="H628" t="s">
        <v>38</v>
      </c>
      <c r="I628" t="s">
        <v>161</v>
      </c>
      <c r="J628" t="s">
        <v>162</v>
      </c>
      <c r="K628" t="s">
        <v>163</v>
      </c>
      <c r="L628" t="s">
        <v>1713</v>
      </c>
      <c r="M628" t="s">
        <v>43</v>
      </c>
      <c r="N628" t="s">
        <v>44</v>
      </c>
      <c r="O628" t="s">
        <v>96</v>
      </c>
      <c r="P628">
        <v>1</v>
      </c>
      <c r="Q628">
        <v>444.36</v>
      </c>
      <c r="R628" s="19">
        <v>0.2</v>
      </c>
      <c r="S628" s="21">
        <v>88.87</v>
      </c>
      <c r="T628">
        <v>444.36</v>
      </c>
      <c r="U628" s="2">
        <v>355.49</v>
      </c>
      <c r="V628">
        <v>83.16</v>
      </c>
      <c r="W628">
        <v>215.17</v>
      </c>
      <c r="X628" s="2">
        <v>57.16</v>
      </c>
      <c r="Y628">
        <v>0.1608</v>
      </c>
      <c r="Z628">
        <v>0</v>
      </c>
      <c r="AA628" t="s">
        <v>97</v>
      </c>
      <c r="AB628" t="s">
        <v>47</v>
      </c>
      <c r="AE628" s="2">
        <v>420.56</v>
      </c>
      <c r="AF628">
        <v>0.84530000000000005</v>
      </c>
      <c r="AG628" t="s">
        <v>49</v>
      </c>
      <c r="AH628" s="23">
        <f>SUM(Amazon_Data_Set[[#This Row],[Gross Sales]]-Amazon_Data_Set[[#This Row],[Discount Amount]])</f>
        <v>355.49</v>
      </c>
    </row>
    <row r="629" spans="1:34">
      <c r="A629" t="s">
        <v>1714</v>
      </c>
      <c r="B629" s="1">
        <v>46242</v>
      </c>
      <c r="C629" t="str">
        <f>TEXT(Amazon_Data_Set[[#This Row],[Order Date]],"mmm")</f>
        <v>Aug</v>
      </c>
      <c r="D629" t="s">
        <v>990</v>
      </c>
      <c r="E629" t="s">
        <v>100</v>
      </c>
      <c r="F629" t="s">
        <v>101</v>
      </c>
      <c r="G629" t="s">
        <v>54</v>
      </c>
      <c r="H629" t="s">
        <v>55</v>
      </c>
      <c r="I629" t="s">
        <v>73</v>
      </c>
      <c r="J629" t="s">
        <v>387</v>
      </c>
      <c r="K629" t="s">
        <v>388</v>
      </c>
      <c r="L629" t="s">
        <v>1715</v>
      </c>
      <c r="M629" t="s">
        <v>43</v>
      </c>
      <c r="N629" t="s">
        <v>70</v>
      </c>
      <c r="O629" t="s">
        <v>45</v>
      </c>
      <c r="P629">
        <v>1</v>
      </c>
      <c r="Q629">
        <v>12941.79</v>
      </c>
      <c r="R629" s="19">
        <v>0.1</v>
      </c>
      <c r="S629" s="21">
        <v>1294.18</v>
      </c>
      <c r="T629">
        <v>12941.79</v>
      </c>
      <c r="U629" s="2">
        <v>11647.61</v>
      </c>
      <c r="V629">
        <v>37.11</v>
      </c>
      <c r="W629">
        <v>8334.1299999999992</v>
      </c>
      <c r="X629" s="2">
        <v>3276.37</v>
      </c>
      <c r="Y629">
        <v>0.28129999999999999</v>
      </c>
      <c r="Z629">
        <v>4</v>
      </c>
      <c r="AA629" t="s">
        <v>46</v>
      </c>
      <c r="AB629" t="s">
        <v>47</v>
      </c>
      <c r="AD629">
        <v>3</v>
      </c>
      <c r="AE629" s="2">
        <v>13599.75</v>
      </c>
      <c r="AF629">
        <v>0.85650000000000004</v>
      </c>
      <c r="AG629" t="s">
        <v>49</v>
      </c>
      <c r="AH629" s="23">
        <f>SUM(Amazon_Data_Set[[#This Row],[Gross Sales]]-Amazon_Data_Set[[#This Row],[Discount Amount]])</f>
        <v>11647.61</v>
      </c>
    </row>
    <row r="630" spans="1:34">
      <c r="A630" t="s">
        <v>1716</v>
      </c>
      <c r="B630" s="1">
        <v>46334</v>
      </c>
      <c r="C630" t="str">
        <f>TEXT(Amazon_Data_Set[[#This Row],[Order Date]],"mmm")</f>
        <v>Nov</v>
      </c>
      <c r="D630" t="s">
        <v>924</v>
      </c>
      <c r="E630" t="s">
        <v>64</v>
      </c>
      <c r="F630" t="s">
        <v>65</v>
      </c>
      <c r="G630" t="s">
        <v>54</v>
      </c>
      <c r="H630" t="s">
        <v>142</v>
      </c>
      <c r="I630" t="s">
        <v>143</v>
      </c>
      <c r="J630" t="s">
        <v>183</v>
      </c>
      <c r="K630" t="s">
        <v>184</v>
      </c>
      <c r="L630" t="s">
        <v>1717</v>
      </c>
      <c r="M630" t="s">
        <v>43</v>
      </c>
      <c r="N630" t="s">
        <v>70</v>
      </c>
      <c r="O630" t="s">
        <v>130</v>
      </c>
      <c r="P630">
        <v>5</v>
      </c>
      <c r="Q630">
        <v>418.25</v>
      </c>
      <c r="R630" s="19">
        <v>0.3</v>
      </c>
      <c r="S630" s="21">
        <v>627.38</v>
      </c>
      <c r="T630">
        <v>2091.25</v>
      </c>
      <c r="U630" s="2">
        <v>1463.87</v>
      </c>
      <c r="V630">
        <v>127.03</v>
      </c>
      <c r="W630">
        <v>1044.53</v>
      </c>
      <c r="X630" s="2">
        <v>292.31</v>
      </c>
      <c r="Y630">
        <v>0.19969999999999999</v>
      </c>
      <c r="Z630">
        <v>2</v>
      </c>
      <c r="AA630" t="s">
        <v>131</v>
      </c>
      <c r="AB630" t="s">
        <v>47</v>
      </c>
      <c r="AE630" s="2">
        <v>1755.88</v>
      </c>
      <c r="AF630">
        <v>0.8337</v>
      </c>
      <c r="AG630" t="s">
        <v>49</v>
      </c>
      <c r="AH630" s="23">
        <f>SUM(Amazon_Data_Set[[#This Row],[Gross Sales]]-Amazon_Data_Set[[#This Row],[Discount Amount]])</f>
        <v>1463.87</v>
      </c>
    </row>
    <row r="631" spans="1:34">
      <c r="A631" t="s">
        <v>1718</v>
      </c>
      <c r="B631" s="1">
        <v>46060</v>
      </c>
      <c r="C631" t="str">
        <f>TEXT(Amazon_Data_Set[[#This Row],[Order Date]],"mmm")</f>
        <v>Feb</v>
      </c>
      <c r="D631" t="s">
        <v>1719</v>
      </c>
      <c r="E631" t="s">
        <v>194</v>
      </c>
      <c r="F631" t="s">
        <v>195</v>
      </c>
      <c r="G631" t="s">
        <v>111</v>
      </c>
      <c r="H631" t="s">
        <v>38</v>
      </c>
      <c r="I631" t="s">
        <v>66</v>
      </c>
      <c r="J631" t="s">
        <v>337</v>
      </c>
      <c r="K631" t="s">
        <v>224</v>
      </c>
      <c r="L631" t="s">
        <v>1720</v>
      </c>
      <c r="M631" t="s">
        <v>106</v>
      </c>
      <c r="N631" t="s">
        <v>44</v>
      </c>
      <c r="O631" t="s">
        <v>45</v>
      </c>
      <c r="P631">
        <v>2</v>
      </c>
      <c r="Q631">
        <v>1795.68</v>
      </c>
      <c r="R631" s="19">
        <v>0</v>
      </c>
      <c r="S631" s="21">
        <v>0</v>
      </c>
      <c r="T631">
        <v>3591.36</v>
      </c>
      <c r="U631" s="2">
        <v>3591.36</v>
      </c>
      <c r="V631">
        <v>32.33</v>
      </c>
      <c r="W631">
        <v>2016.97</v>
      </c>
      <c r="X631" s="2">
        <v>1542.06</v>
      </c>
      <c r="Y631">
        <v>0.4294</v>
      </c>
      <c r="Z631">
        <v>8</v>
      </c>
      <c r="AA631" t="s">
        <v>61</v>
      </c>
      <c r="AB631" t="s">
        <v>47</v>
      </c>
      <c r="AD631">
        <v>3</v>
      </c>
      <c r="AE631" s="2">
        <v>4216.6899999999996</v>
      </c>
      <c r="AF631">
        <v>0.85170000000000001</v>
      </c>
      <c r="AG631" t="s">
        <v>49</v>
      </c>
      <c r="AH631" s="23">
        <f>SUM(Amazon_Data_Set[[#This Row],[Gross Sales]]-Amazon_Data_Set[[#This Row],[Discount Amount]])</f>
        <v>3591.36</v>
      </c>
    </row>
    <row r="632" spans="1:34">
      <c r="A632" t="s">
        <v>1721</v>
      </c>
      <c r="B632" s="1">
        <v>46123</v>
      </c>
      <c r="C632" t="str">
        <f>TEXT(Amazon_Data_Set[[#This Row],[Order Date]],"mmm")</f>
        <v>Apr</v>
      </c>
      <c r="D632" t="s">
        <v>447</v>
      </c>
      <c r="E632" t="s">
        <v>109</v>
      </c>
      <c r="F632" t="s">
        <v>110</v>
      </c>
      <c r="G632" t="s">
        <v>111</v>
      </c>
      <c r="H632" t="s">
        <v>90</v>
      </c>
      <c r="I632" t="s">
        <v>91</v>
      </c>
      <c r="J632" t="s">
        <v>92</v>
      </c>
      <c r="K632" t="s">
        <v>93</v>
      </c>
      <c r="L632" t="s">
        <v>1722</v>
      </c>
      <c r="M632" t="s">
        <v>106</v>
      </c>
      <c r="N632" t="s">
        <v>95</v>
      </c>
      <c r="O632" t="s">
        <v>45</v>
      </c>
      <c r="P632">
        <v>1</v>
      </c>
      <c r="Q632">
        <v>1536.02</v>
      </c>
      <c r="R632" s="19">
        <v>0.25</v>
      </c>
      <c r="S632" s="21">
        <v>384</v>
      </c>
      <c r="T632">
        <v>1536.02</v>
      </c>
      <c r="U632" s="2">
        <v>1152.02</v>
      </c>
      <c r="V632">
        <v>87.07</v>
      </c>
      <c r="W632">
        <v>602.25</v>
      </c>
      <c r="X632" s="2">
        <v>462.7</v>
      </c>
      <c r="Y632">
        <v>0.40160000000000001</v>
      </c>
      <c r="Z632">
        <v>3</v>
      </c>
      <c r="AA632" t="s">
        <v>46</v>
      </c>
      <c r="AB632" t="s">
        <v>47</v>
      </c>
      <c r="AD632">
        <v>5</v>
      </c>
      <c r="AE632" s="2">
        <v>1256.6600000000001</v>
      </c>
      <c r="AF632">
        <v>0.91669999999999996</v>
      </c>
      <c r="AG632" t="s">
        <v>49</v>
      </c>
      <c r="AH632" s="23">
        <f>SUM(Amazon_Data_Set[[#This Row],[Gross Sales]]-Amazon_Data_Set[[#This Row],[Discount Amount]])</f>
        <v>1152.02</v>
      </c>
    </row>
    <row r="633" spans="1:34">
      <c r="A633" t="s">
        <v>1723</v>
      </c>
      <c r="B633" s="1">
        <v>46089</v>
      </c>
      <c r="C633" t="str">
        <f>TEXT(Amazon_Data_Set[[#This Row],[Order Date]],"mmm")</f>
        <v>Mar</v>
      </c>
      <c r="D633" t="s">
        <v>239</v>
      </c>
      <c r="E633" t="s">
        <v>174</v>
      </c>
      <c r="F633" t="s">
        <v>175</v>
      </c>
      <c r="G633" t="s">
        <v>82</v>
      </c>
      <c r="H633" t="s">
        <v>142</v>
      </c>
      <c r="I633" t="s">
        <v>143</v>
      </c>
      <c r="J633" t="s">
        <v>200</v>
      </c>
      <c r="K633" t="s">
        <v>201</v>
      </c>
      <c r="L633" t="s">
        <v>1724</v>
      </c>
      <c r="M633" t="s">
        <v>43</v>
      </c>
      <c r="N633" t="s">
        <v>77</v>
      </c>
      <c r="O633" t="s">
        <v>130</v>
      </c>
      <c r="P633">
        <v>1</v>
      </c>
      <c r="Q633">
        <v>495.31</v>
      </c>
      <c r="R633" s="19">
        <v>0</v>
      </c>
      <c r="S633" s="21">
        <v>0</v>
      </c>
      <c r="T633">
        <v>495.31</v>
      </c>
      <c r="U633" s="2">
        <v>495.31</v>
      </c>
      <c r="V633">
        <v>135.83000000000001</v>
      </c>
      <c r="W633">
        <v>326.58999999999997</v>
      </c>
      <c r="X633" s="2">
        <v>32.89</v>
      </c>
      <c r="Y633">
        <v>6.6400000000000001E-2</v>
      </c>
      <c r="Z633">
        <v>8</v>
      </c>
      <c r="AA633" t="s">
        <v>131</v>
      </c>
      <c r="AB633" t="s">
        <v>47</v>
      </c>
      <c r="AE633" s="2">
        <v>511.04</v>
      </c>
      <c r="AF633">
        <v>0.96919999999999995</v>
      </c>
      <c r="AG633" t="s">
        <v>49</v>
      </c>
      <c r="AH633" s="23">
        <f>SUM(Amazon_Data_Set[[#This Row],[Gross Sales]]-Amazon_Data_Set[[#This Row],[Discount Amount]])</f>
        <v>495.31</v>
      </c>
    </row>
    <row r="634" spans="1:34">
      <c r="A634" t="s">
        <v>1725</v>
      </c>
      <c r="B634" s="1">
        <v>46242</v>
      </c>
      <c r="C634" t="str">
        <f>TEXT(Amazon_Data_Set[[#This Row],[Order Date]],"mmm")</f>
        <v>Aug</v>
      </c>
      <c r="D634" t="s">
        <v>1037</v>
      </c>
      <c r="E634" t="s">
        <v>275</v>
      </c>
      <c r="F634" t="s">
        <v>276</v>
      </c>
      <c r="G634" t="s">
        <v>37</v>
      </c>
      <c r="H634" t="s">
        <v>142</v>
      </c>
      <c r="I634" t="s">
        <v>214</v>
      </c>
      <c r="J634" t="s">
        <v>350</v>
      </c>
      <c r="K634" t="s">
        <v>351</v>
      </c>
      <c r="L634" t="s">
        <v>1726</v>
      </c>
      <c r="M634" t="s">
        <v>106</v>
      </c>
      <c r="N634" t="s">
        <v>60</v>
      </c>
      <c r="O634" t="s">
        <v>45</v>
      </c>
      <c r="P634">
        <v>1</v>
      </c>
      <c r="Q634">
        <v>7151.77</v>
      </c>
      <c r="R634" s="19">
        <v>0</v>
      </c>
      <c r="S634" s="21">
        <v>0</v>
      </c>
      <c r="T634">
        <v>7151.77</v>
      </c>
      <c r="U634" s="2">
        <v>7151.77</v>
      </c>
      <c r="V634">
        <v>83.26</v>
      </c>
      <c r="W634">
        <v>4999.99</v>
      </c>
      <c r="X634" s="2">
        <v>2068.52</v>
      </c>
      <c r="Y634">
        <v>0.28920000000000001</v>
      </c>
      <c r="Z634">
        <v>5</v>
      </c>
      <c r="AA634" t="s">
        <v>61</v>
      </c>
      <c r="AB634" t="s">
        <v>47</v>
      </c>
      <c r="AD634">
        <v>4</v>
      </c>
      <c r="AE634" s="2">
        <v>6091.76</v>
      </c>
      <c r="AF634">
        <v>1.1739999999999999</v>
      </c>
      <c r="AG634" t="s">
        <v>49</v>
      </c>
      <c r="AH634" s="23">
        <f>SUM(Amazon_Data_Set[[#This Row],[Gross Sales]]-Amazon_Data_Set[[#This Row],[Discount Amount]])</f>
        <v>7151.77</v>
      </c>
    </row>
    <row r="635" spans="1:34">
      <c r="A635" t="s">
        <v>1727</v>
      </c>
      <c r="B635" s="1">
        <v>46042</v>
      </c>
      <c r="C635" t="str">
        <f>TEXT(Amazon_Data_Set[[#This Row],[Order Date]],"mmm")</f>
        <v>Jan</v>
      </c>
      <c r="D635" t="s">
        <v>834</v>
      </c>
      <c r="E635" t="s">
        <v>167</v>
      </c>
      <c r="F635" t="s">
        <v>168</v>
      </c>
      <c r="G635" t="s">
        <v>111</v>
      </c>
      <c r="H635" t="s">
        <v>83</v>
      </c>
      <c r="I635" t="s">
        <v>188</v>
      </c>
      <c r="J635" t="s">
        <v>690</v>
      </c>
      <c r="K635" t="s">
        <v>691</v>
      </c>
      <c r="L635" t="s">
        <v>1728</v>
      </c>
      <c r="M635" t="s">
        <v>43</v>
      </c>
      <c r="N635" t="s">
        <v>124</v>
      </c>
      <c r="O635" t="s">
        <v>96</v>
      </c>
      <c r="P635">
        <v>5</v>
      </c>
      <c r="Q635">
        <v>795.29</v>
      </c>
      <c r="R635" s="19">
        <v>0.05</v>
      </c>
      <c r="S635" s="21">
        <v>198.82</v>
      </c>
      <c r="T635">
        <v>3976.45</v>
      </c>
      <c r="U635" s="2">
        <v>3777.63</v>
      </c>
      <c r="V635">
        <v>30.23</v>
      </c>
      <c r="W635">
        <v>2353.69</v>
      </c>
      <c r="X635" s="2">
        <v>1393.71</v>
      </c>
      <c r="Y635">
        <v>0.36890000000000001</v>
      </c>
      <c r="Z635">
        <v>0</v>
      </c>
      <c r="AA635" t="s">
        <v>97</v>
      </c>
      <c r="AB635" t="s">
        <v>47</v>
      </c>
      <c r="AE635" s="2">
        <v>4034.53</v>
      </c>
      <c r="AF635">
        <v>0.93630000000000002</v>
      </c>
      <c r="AG635" t="s">
        <v>347</v>
      </c>
      <c r="AH635" s="23">
        <f>SUM(Amazon_Data_Set[[#This Row],[Gross Sales]]-Amazon_Data_Set[[#This Row],[Discount Amount]])</f>
        <v>3777.6299999999997</v>
      </c>
    </row>
    <row r="636" spans="1:34">
      <c r="A636" t="s">
        <v>1729</v>
      </c>
      <c r="B636" s="1">
        <v>46104</v>
      </c>
      <c r="C636" t="str">
        <f>TEXT(Amazon_Data_Set[[#This Row],[Order Date]],"mmm")</f>
        <v>Mar</v>
      </c>
      <c r="D636" t="s">
        <v>166</v>
      </c>
      <c r="E636" t="s">
        <v>194</v>
      </c>
      <c r="F636" t="s">
        <v>195</v>
      </c>
      <c r="G636" t="s">
        <v>111</v>
      </c>
      <c r="H636" t="s">
        <v>38</v>
      </c>
      <c r="I636" t="s">
        <v>39</v>
      </c>
      <c r="J636" t="s">
        <v>281</v>
      </c>
      <c r="K636" t="s">
        <v>282</v>
      </c>
      <c r="L636" t="s">
        <v>1730</v>
      </c>
      <c r="M636" t="s">
        <v>43</v>
      </c>
      <c r="N636" t="s">
        <v>60</v>
      </c>
      <c r="O636" t="s">
        <v>45</v>
      </c>
      <c r="P636">
        <v>3</v>
      </c>
      <c r="Q636">
        <v>4608.62</v>
      </c>
      <c r="R636" s="19">
        <v>0.1</v>
      </c>
      <c r="S636" s="21">
        <v>1382.59</v>
      </c>
      <c r="T636">
        <v>13825.86</v>
      </c>
      <c r="U636" s="2">
        <v>12443.27</v>
      </c>
      <c r="V636">
        <v>134.52000000000001</v>
      </c>
      <c r="W636">
        <v>8017.75</v>
      </c>
      <c r="X636" s="2">
        <v>4291</v>
      </c>
      <c r="Y636">
        <v>0.3448</v>
      </c>
      <c r="Z636">
        <v>4</v>
      </c>
      <c r="AA636" t="s">
        <v>46</v>
      </c>
      <c r="AB636" t="s">
        <v>47</v>
      </c>
      <c r="AD636">
        <v>4</v>
      </c>
      <c r="AE636" s="2">
        <v>12778.85</v>
      </c>
      <c r="AF636">
        <v>0.97370000000000001</v>
      </c>
      <c r="AG636" t="s">
        <v>347</v>
      </c>
      <c r="AH636" s="23">
        <f>SUM(Amazon_Data_Set[[#This Row],[Gross Sales]]-Amazon_Data_Set[[#This Row],[Discount Amount]])</f>
        <v>12443.27</v>
      </c>
    </row>
    <row r="637" spans="1:34">
      <c r="A637" t="s">
        <v>1731</v>
      </c>
      <c r="B637" s="1">
        <v>46088</v>
      </c>
      <c r="C637" t="str">
        <f>TEXT(Amazon_Data_Set[[#This Row],[Order Date]],"mmm")</f>
        <v>Mar</v>
      </c>
      <c r="D637" t="s">
        <v>993</v>
      </c>
      <c r="E637" t="s">
        <v>80</v>
      </c>
      <c r="F637" t="s">
        <v>81</v>
      </c>
      <c r="G637" t="s">
        <v>82</v>
      </c>
      <c r="H637" t="s">
        <v>142</v>
      </c>
      <c r="I637" t="s">
        <v>209</v>
      </c>
      <c r="J637" t="s">
        <v>511</v>
      </c>
      <c r="K637" t="s">
        <v>512</v>
      </c>
      <c r="L637" t="s">
        <v>1732</v>
      </c>
      <c r="M637" t="s">
        <v>106</v>
      </c>
      <c r="N637" t="s">
        <v>124</v>
      </c>
      <c r="O637" t="s">
        <v>45</v>
      </c>
      <c r="P637">
        <v>3</v>
      </c>
      <c r="Q637">
        <v>8481.09</v>
      </c>
      <c r="R637" s="19">
        <v>0.3</v>
      </c>
      <c r="S637" s="21">
        <v>7632.98</v>
      </c>
      <c r="T637">
        <v>25443.27</v>
      </c>
      <c r="U637" s="2">
        <v>17810.29</v>
      </c>
      <c r="V637">
        <v>1.82</v>
      </c>
      <c r="W637">
        <v>12177.8</v>
      </c>
      <c r="X637" s="2">
        <v>5630.67</v>
      </c>
      <c r="Y637">
        <v>0.31609999999999999</v>
      </c>
      <c r="Z637">
        <v>4</v>
      </c>
      <c r="AA637" t="s">
        <v>46</v>
      </c>
      <c r="AB637" t="s">
        <v>47</v>
      </c>
      <c r="AD637">
        <v>3</v>
      </c>
      <c r="AE637" s="2">
        <v>21341.65</v>
      </c>
      <c r="AF637">
        <v>0.83450000000000002</v>
      </c>
      <c r="AG637" t="s">
        <v>347</v>
      </c>
      <c r="AH637" s="23">
        <f>SUM(Amazon_Data_Set[[#This Row],[Gross Sales]]-Amazon_Data_Set[[#This Row],[Discount Amount]])</f>
        <v>17810.29</v>
      </c>
    </row>
    <row r="638" spans="1:34">
      <c r="A638" t="s">
        <v>1733</v>
      </c>
      <c r="B638" s="1">
        <v>46262</v>
      </c>
      <c r="C638" t="str">
        <f>TEXT(Amazon_Data_Set[[#This Row],[Order Date]],"mmm")</f>
        <v>Aug</v>
      </c>
      <c r="D638" t="s">
        <v>1296</v>
      </c>
      <c r="E638" t="s">
        <v>35</v>
      </c>
      <c r="F638" t="s">
        <v>36</v>
      </c>
      <c r="G638" t="s">
        <v>37</v>
      </c>
      <c r="H638" t="s">
        <v>90</v>
      </c>
      <c r="I638" t="s">
        <v>91</v>
      </c>
      <c r="J638" t="s">
        <v>92</v>
      </c>
      <c r="K638" t="s">
        <v>93</v>
      </c>
      <c r="L638" t="s">
        <v>1734</v>
      </c>
      <c r="M638" t="s">
        <v>106</v>
      </c>
      <c r="N638" t="s">
        <v>95</v>
      </c>
      <c r="O638" t="s">
        <v>130</v>
      </c>
      <c r="P638">
        <v>3</v>
      </c>
      <c r="Q638">
        <v>1680.82</v>
      </c>
      <c r="R638" s="19">
        <v>0.25</v>
      </c>
      <c r="S638" s="21">
        <v>1260.6199999999999</v>
      </c>
      <c r="T638">
        <v>5042.46</v>
      </c>
      <c r="U638" s="2">
        <v>3781.84</v>
      </c>
      <c r="V638">
        <v>245.58</v>
      </c>
      <c r="W638">
        <v>1993.34</v>
      </c>
      <c r="X638" s="2">
        <v>1542.92</v>
      </c>
      <c r="Y638">
        <v>0.40799999999999997</v>
      </c>
      <c r="Z638">
        <v>1</v>
      </c>
      <c r="AA638" t="s">
        <v>131</v>
      </c>
      <c r="AB638" t="s">
        <v>47</v>
      </c>
      <c r="AE638" s="2">
        <v>3216.56</v>
      </c>
      <c r="AF638">
        <v>1.1757</v>
      </c>
      <c r="AG638" t="s">
        <v>49</v>
      </c>
      <c r="AH638" s="23">
        <f>SUM(Amazon_Data_Set[[#This Row],[Gross Sales]]-Amazon_Data_Set[[#This Row],[Discount Amount]])</f>
        <v>3781.84</v>
      </c>
    </row>
    <row r="639" spans="1:34">
      <c r="A639" t="s">
        <v>1735</v>
      </c>
      <c r="B639" s="1">
        <v>46180</v>
      </c>
      <c r="C639" t="str">
        <f>TEXT(Amazon_Data_Set[[#This Row],[Order Date]],"mmm")</f>
        <v>Jun</v>
      </c>
      <c r="D639" t="s">
        <v>1330</v>
      </c>
      <c r="E639" t="s">
        <v>52</v>
      </c>
      <c r="F639" t="s">
        <v>53</v>
      </c>
      <c r="G639" t="s">
        <v>54</v>
      </c>
      <c r="H639" t="s">
        <v>142</v>
      </c>
      <c r="I639" t="s">
        <v>214</v>
      </c>
      <c r="J639" t="s">
        <v>215</v>
      </c>
      <c r="K639" t="s">
        <v>216</v>
      </c>
      <c r="L639" t="s">
        <v>1736</v>
      </c>
      <c r="M639" t="s">
        <v>106</v>
      </c>
      <c r="N639" t="s">
        <v>44</v>
      </c>
      <c r="O639" t="s">
        <v>130</v>
      </c>
      <c r="P639">
        <v>4</v>
      </c>
      <c r="Q639">
        <v>324.67</v>
      </c>
      <c r="R639" s="19">
        <v>0.1</v>
      </c>
      <c r="S639" s="21">
        <v>129.87</v>
      </c>
      <c r="T639">
        <v>1298.68</v>
      </c>
      <c r="U639" s="2">
        <v>1168.81</v>
      </c>
      <c r="V639">
        <v>78.28</v>
      </c>
      <c r="W639">
        <v>633.29999999999995</v>
      </c>
      <c r="X639" s="2">
        <v>457.23</v>
      </c>
      <c r="Y639">
        <v>0.39119999999999999</v>
      </c>
      <c r="Z639">
        <v>1</v>
      </c>
      <c r="AA639" t="s">
        <v>131</v>
      </c>
      <c r="AB639" t="s">
        <v>47</v>
      </c>
      <c r="AE639" s="2">
        <v>1006.76</v>
      </c>
      <c r="AF639">
        <v>1.161</v>
      </c>
      <c r="AG639" t="s">
        <v>49</v>
      </c>
      <c r="AH639" s="23">
        <f>SUM(Amazon_Data_Set[[#This Row],[Gross Sales]]-Amazon_Data_Set[[#This Row],[Discount Amount]])</f>
        <v>1168.81</v>
      </c>
    </row>
    <row r="640" spans="1:34">
      <c r="A640" t="s">
        <v>1737</v>
      </c>
      <c r="B640" s="1">
        <v>46244</v>
      </c>
      <c r="C640" t="str">
        <f>TEXT(Amazon_Data_Set[[#This Row],[Order Date]],"mmm")</f>
        <v>Aug</v>
      </c>
      <c r="D640" t="s">
        <v>917</v>
      </c>
      <c r="E640" t="s">
        <v>109</v>
      </c>
      <c r="F640" t="s">
        <v>154</v>
      </c>
      <c r="G640" t="s">
        <v>111</v>
      </c>
      <c r="H640" t="s">
        <v>38</v>
      </c>
      <c r="I640" t="s">
        <v>161</v>
      </c>
      <c r="J640" t="s">
        <v>223</v>
      </c>
      <c r="K640" t="s">
        <v>224</v>
      </c>
      <c r="L640" t="s">
        <v>1738</v>
      </c>
      <c r="M640" t="s">
        <v>43</v>
      </c>
      <c r="N640" t="s">
        <v>60</v>
      </c>
      <c r="O640" t="s">
        <v>130</v>
      </c>
      <c r="P640">
        <v>1</v>
      </c>
      <c r="Q640">
        <v>350.66</v>
      </c>
      <c r="R640" s="19">
        <v>0.3</v>
      </c>
      <c r="S640" s="21">
        <v>105.2</v>
      </c>
      <c r="T640">
        <v>350.66</v>
      </c>
      <c r="U640" s="2">
        <v>245.46</v>
      </c>
      <c r="V640">
        <v>142.69</v>
      </c>
      <c r="W640">
        <v>149.83000000000001</v>
      </c>
      <c r="X640" s="2">
        <v>-47.06</v>
      </c>
      <c r="Y640">
        <v>-0.19170000000000001</v>
      </c>
      <c r="Z640">
        <v>6</v>
      </c>
      <c r="AA640" t="s">
        <v>131</v>
      </c>
      <c r="AB640" t="s">
        <v>47</v>
      </c>
      <c r="AE640" s="2">
        <v>212.08</v>
      </c>
      <c r="AF640">
        <v>1.1574</v>
      </c>
      <c r="AG640" t="s">
        <v>347</v>
      </c>
      <c r="AH640" s="23">
        <f>SUM(Amazon_Data_Set[[#This Row],[Gross Sales]]-Amazon_Data_Set[[#This Row],[Discount Amount]])</f>
        <v>245.46000000000004</v>
      </c>
    </row>
    <row r="641" spans="1:34">
      <c r="A641" t="s">
        <v>1739</v>
      </c>
      <c r="B641" s="1">
        <v>46233</v>
      </c>
      <c r="C641" t="str">
        <f>TEXT(Amazon_Data_Set[[#This Row],[Order Date]],"mmm")</f>
        <v>Jul</v>
      </c>
      <c r="D641" t="s">
        <v>1227</v>
      </c>
      <c r="E641" t="s">
        <v>149</v>
      </c>
      <c r="F641" t="s">
        <v>150</v>
      </c>
      <c r="G641" t="s">
        <v>37</v>
      </c>
      <c r="H641" t="s">
        <v>83</v>
      </c>
      <c r="I641" t="s">
        <v>84</v>
      </c>
      <c r="J641" t="s">
        <v>332</v>
      </c>
      <c r="K641" t="s">
        <v>333</v>
      </c>
      <c r="L641" t="s">
        <v>1740</v>
      </c>
      <c r="M641" t="s">
        <v>43</v>
      </c>
      <c r="N641" t="s">
        <v>77</v>
      </c>
      <c r="O641" t="s">
        <v>96</v>
      </c>
      <c r="P641">
        <v>1</v>
      </c>
      <c r="Q641">
        <v>408.07</v>
      </c>
      <c r="R641" s="19">
        <v>0</v>
      </c>
      <c r="S641" s="21">
        <v>0</v>
      </c>
      <c r="T641">
        <v>408.07</v>
      </c>
      <c r="U641" s="2">
        <v>408.07</v>
      </c>
      <c r="V641">
        <v>51.56</v>
      </c>
      <c r="W641">
        <v>219.49</v>
      </c>
      <c r="X641" s="2">
        <v>137.02000000000001</v>
      </c>
      <c r="Y641">
        <v>0.33579999999999999</v>
      </c>
      <c r="Z641">
        <v>0</v>
      </c>
      <c r="AA641" t="s">
        <v>97</v>
      </c>
      <c r="AB641" t="s">
        <v>47</v>
      </c>
      <c r="AE641" s="2">
        <v>479.59</v>
      </c>
      <c r="AF641">
        <v>0.85089999999999999</v>
      </c>
      <c r="AG641" t="s">
        <v>49</v>
      </c>
      <c r="AH641" s="23">
        <f>SUM(Amazon_Data_Set[[#This Row],[Gross Sales]]-Amazon_Data_Set[[#This Row],[Discount Amount]])</f>
        <v>408.07</v>
      </c>
    </row>
    <row r="642" spans="1:34">
      <c r="A642" t="s">
        <v>1741</v>
      </c>
      <c r="B642" s="1">
        <v>46053</v>
      </c>
      <c r="C642" t="str">
        <f>TEXT(Amazon_Data_Set[[#This Row],[Order Date]],"mmm")</f>
        <v>Jan</v>
      </c>
      <c r="D642" t="s">
        <v>1071</v>
      </c>
      <c r="E642" t="s">
        <v>140</v>
      </c>
      <c r="F642" t="s">
        <v>141</v>
      </c>
      <c r="G642" t="s">
        <v>54</v>
      </c>
      <c r="H642" t="s">
        <v>142</v>
      </c>
      <c r="I642" t="s">
        <v>214</v>
      </c>
      <c r="J642" t="s">
        <v>215</v>
      </c>
      <c r="K642" t="s">
        <v>216</v>
      </c>
      <c r="L642" t="s">
        <v>1742</v>
      </c>
      <c r="M642" t="s">
        <v>106</v>
      </c>
      <c r="N642" t="s">
        <v>70</v>
      </c>
      <c r="O642" t="s">
        <v>45</v>
      </c>
      <c r="P642">
        <v>5</v>
      </c>
      <c r="Q642">
        <v>6397.1</v>
      </c>
      <c r="R642" s="19">
        <v>0.2</v>
      </c>
      <c r="S642" s="21">
        <v>6397.1</v>
      </c>
      <c r="T642">
        <v>31985.5</v>
      </c>
      <c r="U642" s="2">
        <v>25588.400000000001</v>
      </c>
      <c r="V642">
        <v>166.66</v>
      </c>
      <c r="W642">
        <v>12431.54</v>
      </c>
      <c r="X642" s="2">
        <v>12990.2</v>
      </c>
      <c r="Y642">
        <v>0.50770000000000004</v>
      </c>
      <c r="Z642">
        <v>1</v>
      </c>
      <c r="AA642" t="s">
        <v>46</v>
      </c>
      <c r="AB642" t="s">
        <v>47</v>
      </c>
      <c r="AD642">
        <v>4</v>
      </c>
      <c r="AE642" s="2">
        <v>30247.38</v>
      </c>
      <c r="AF642">
        <v>0.84599999999999997</v>
      </c>
      <c r="AG642" t="s">
        <v>49</v>
      </c>
      <c r="AH642" s="23">
        <f>SUM(Amazon_Data_Set[[#This Row],[Gross Sales]]-Amazon_Data_Set[[#This Row],[Discount Amount]])</f>
        <v>25588.400000000001</v>
      </c>
    </row>
    <row r="643" spans="1:34">
      <c r="A643" t="s">
        <v>1743</v>
      </c>
      <c r="B643" s="1">
        <v>46367</v>
      </c>
      <c r="C643" t="str">
        <f>TEXT(Amazon_Data_Set[[#This Row],[Order Date]],"mmm")</f>
        <v>Dec</v>
      </c>
      <c r="D643" t="s">
        <v>865</v>
      </c>
      <c r="E643" t="s">
        <v>100</v>
      </c>
      <c r="F643" t="s">
        <v>101</v>
      </c>
      <c r="G643" t="s">
        <v>54</v>
      </c>
      <c r="H643" t="s">
        <v>55</v>
      </c>
      <c r="I643" t="s">
        <v>73</v>
      </c>
      <c r="J643" t="s">
        <v>230</v>
      </c>
      <c r="K643" t="s">
        <v>231</v>
      </c>
      <c r="L643" t="s">
        <v>1744</v>
      </c>
      <c r="M643" t="s">
        <v>43</v>
      </c>
      <c r="N643" t="s">
        <v>95</v>
      </c>
      <c r="O643" t="s">
        <v>96</v>
      </c>
      <c r="P643">
        <v>2</v>
      </c>
      <c r="Q643">
        <v>10828.96</v>
      </c>
      <c r="R643" s="19">
        <v>0.2</v>
      </c>
      <c r="S643" s="21">
        <v>4331.58</v>
      </c>
      <c r="T643">
        <v>21657.919999999998</v>
      </c>
      <c r="U643" s="2">
        <v>17326.34</v>
      </c>
      <c r="V643">
        <v>34.93</v>
      </c>
      <c r="W643">
        <v>11456.52</v>
      </c>
      <c r="X643" s="2">
        <v>5834.89</v>
      </c>
      <c r="Y643">
        <v>0.33679999999999999</v>
      </c>
      <c r="Z643">
        <v>0</v>
      </c>
      <c r="AA643" t="s">
        <v>97</v>
      </c>
      <c r="AB643" t="s">
        <v>47</v>
      </c>
      <c r="AE643" s="2">
        <v>20135.46</v>
      </c>
      <c r="AF643">
        <v>0.86050000000000004</v>
      </c>
      <c r="AG643" t="s">
        <v>49</v>
      </c>
      <c r="AH643" s="23">
        <f>SUM(Amazon_Data_Set[[#This Row],[Gross Sales]]-Amazon_Data_Set[[#This Row],[Discount Amount]])</f>
        <v>17326.339999999997</v>
      </c>
    </row>
    <row r="644" spans="1:34">
      <c r="A644" t="s">
        <v>1745</v>
      </c>
      <c r="B644" s="1">
        <v>46097</v>
      </c>
      <c r="C644" t="str">
        <f>TEXT(Amazon_Data_Set[[#This Row],[Order Date]],"mmm")</f>
        <v>Mar</v>
      </c>
      <c r="D644" t="s">
        <v>1129</v>
      </c>
      <c r="E644" t="s">
        <v>174</v>
      </c>
      <c r="F644" t="s">
        <v>175</v>
      </c>
      <c r="G644" t="s">
        <v>82</v>
      </c>
      <c r="H644" t="s">
        <v>83</v>
      </c>
      <c r="I644" t="s">
        <v>188</v>
      </c>
      <c r="J644" t="s">
        <v>189</v>
      </c>
      <c r="K644" t="s">
        <v>190</v>
      </c>
      <c r="L644" t="s">
        <v>1746</v>
      </c>
      <c r="M644" t="s">
        <v>106</v>
      </c>
      <c r="N644" t="s">
        <v>44</v>
      </c>
      <c r="O644" t="s">
        <v>45</v>
      </c>
      <c r="P644">
        <v>1</v>
      </c>
      <c r="Q644">
        <v>160.83000000000001</v>
      </c>
      <c r="R644" s="19">
        <v>0.2</v>
      </c>
      <c r="S644" s="21">
        <v>32.17</v>
      </c>
      <c r="T644">
        <v>160.83000000000001</v>
      </c>
      <c r="U644" s="2">
        <v>128.66</v>
      </c>
      <c r="V644">
        <v>129.9</v>
      </c>
      <c r="W644">
        <v>86.35</v>
      </c>
      <c r="X644" s="2">
        <v>-87.59</v>
      </c>
      <c r="Y644">
        <v>-0.68079999999999996</v>
      </c>
      <c r="Z644">
        <v>2</v>
      </c>
      <c r="AA644" t="s">
        <v>46</v>
      </c>
      <c r="AB644" t="s">
        <v>47</v>
      </c>
      <c r="AD644">
        <v>4</v>
      </c>
      <c r="AE644" s="2">
        <v>149.81</v>
      </c>
      <c r="AF644">
        <v>0.85880000000000001</v>
      </c>
      <c r="AG644" t="s">
        <v>49</v>
      </c>
      <c r="AH644" s="23">
        <f>SUM(Amazon_Data_Set[[#This Row],[Gross Sales]]-Amazon_Data_Set[[#This Row],[Discount Amount]])</f>
        <v>128.66000000000003</v>
      </c>
    </row>
    <row r="645" spans="1:34">
      <c r="A645" t="s">
        <v>1747</v>
      </c>
      <c r="B645" s="1">
        <v>46086</v>
      </c>
      <c r="C645" t="str">
        <f>TEXT(Amazon_Data_Set[[#This Row],[Order Date]],"mmm")</f>
        <v>Mar</v>
      </c>
      <c r="D645" t="s">
        <v>63</v>
      </c>
      <c r="E645" t="s">
        <v>100</v>
      </c>
      <c r="F645" t="s">
        <v>179</v>
      </c>
      <c r="G645" t="s">
        <v>54</v>
      </c>
      <c r="H645" t="s">
        <v>83</v>
      </c>
      <c r="I645" t="s">
        <v>188</v>
      </c>
      <c r="J645" t="s">
        <v>475</v>
      </c>
      <c r="K645" t="s">
        <v>476</v>
      </c>
      <c r="L645" t="s">
        <v>1748</v>
      </c>
      <c r="M645" t="s">
        <v>106</v>
      </c>
      <c r="N645" t="s">
        <v>60</v>
      </c>
      <c r="O645" t="s">
        <v>45</v>
      </c>
      <c r="P645">
        <v>1</v>
      </c>
      <c r="Q645">
        <v>1814.34</v>
      </c>
      <c r="R645" s="19">
        <v>0.25</v>
      </c>
      <c r="S645" s="21">
        <v>453.58</v>
      </c>
      <c r="T645">
        <v>1814.34</v>
      </c>
      <c r="U645" s="2">
        <v>1360.76</v>
      </c>
      <c r="V645">
        <v>34.369999999999997</v>
      </c>
      <c r="W645">
        <v>1002.8</v>
      </c>
      <c r="X645" s="2">
        <v>323.58999999999997</v>
      </c>
      <c r="Y645">
        <v>0.23780000000000001</v>
      </c>
      <c r="Z645">
        <v>1</v>
      </c>
      <c r="AA645" t="s">
        <v>46</v>
      </c>
      <c r="AB645" t="s">
        <v>47</v>
      </c>
      <c r="AD645">
        <v>5</v>
      </c>
      <c r="AE645" s="2">
        <v>1571.29</v>
      </c>
      <c r="AF645">
        <v>0.86599999999999999</v>
      </c>
      <c r="AG645" t="s">
        <v>49</v>
      </c>
      <c r="AH645" s="23">
        <f>SUM(Amazon_Data_Set[[#This Row],[Gross Sales]]-Amazon_Data_Set[[#This Row],[Discount Amount]])</f>
        <v>1360.76</v>
      </c>
    </row>
    <row r="646" spans="1:34">
      <c r="A646" t="s">
        <v>1749</v>
      </c>
      <c r="B646" s="1">
        <v>46154</v>
      </c>
      <c r="C646" t="str">
        <f>TEXT(Amazon_Data_Set[[#This Row],[Order Date]],"mmm")</f>
        <v>May</v>
      </c>
      <c r="D646" t="s">
        <v>967</v>
      </c>
      <c r="E646" t="s">
        <v>64</v>
      </c>
      <c r="F646" t="s">
        <v>65</v>
      </c>
      <c r="G646" t="s">
        <v>54</v>
      </c>
      <c r="H646" t="s">
        <v>38</v>
      </c>
      <c r="I646" t="s">
        <v>161</v>
      </c>
      <c r="J646" t="s">
        <v>223</v>
      </c>
      <c r="K646" t="s">
        <v>224</v>
      </c>
      <c r="L646" t="s">
        <v>1750</v>
      </c>
      <c r="M646" t="s">
        <v>106</v>
      </c>
      <c r="N646" t="s">
        <v>95</v>
      </c>
      <c r="O646" t="s">
        <v>130</v>
      </c>
      <c r="P646">
        <v>1</v>
      </c>
      <c r="Q646">
        <v>4731.0200000000004</v>
      </c>
      <c r="R646" s="19">
        <v>0.25</v>
      </c>
      <c r="S646" s="21">
        <v>1182.76</v>
      </c>
      <c r="T646">
        <v>4731.0200000000004</v>
      </c>
      <c r="U646" s="2">
        <v>3548.26</v>
      </c>
      <c r="V646">
        <v>62.25</v>
      </c>
      <c r="W646">
        <v>2271.9499999999998</v>
      </c>
      <c r="X646" s="2">
        <v>1214.06</v>
      </c>
      <c r="Y646">
        <v>0.3422</v>
      </c>
      <c r="Z646">
        <v>5</v>
      </c>
      <c r="AA646" t="s">
        <v>131</v>
      </c>
      <c r="AB646" t="s">
        <v>47</v>
      </c>
      <c r="AE646" s="2">
        <v>3119.33</v>
      </c>
      <c r="AF646">
        <v>1.1375</v>
      </c>
      <c r="AG646" t="s">
        <v>49</v>
      </c>
      <c r="AH646" s="23">
        <f>SUM(Amazon_Data_Set[[#This Row],[Gross Sales]]-Amazon_Data_Set[[#This Row],[Discount Amount]])</f>
        <v>3548.26</v>
      </c>
    </row>
    <row r="647" spans="1:34">
      <c r="A647" t="s">
        <v>1751</v>
      </c>
      <c r="B647" s="1">
        <v>46134</v>
      </c>
      <c r="C647" t="str">
        <f>TEXT(Amazon_Data_Set[[#This Row],[Order Date]],"mmm")</f>
        <v>Apr</v>
      </c>
      <c r="D647" t="s">
        <v>834</v>
      </c>
      <c r="E647" t="s">
        <v>109</v>
      </c>
      <c r="F647" t="s">
        <v>154</v>
      </c>
      <c r="G647" t="s">
        <v>111</v>
      </c>
      <c r="H647" t="s">
        <v>38</v>
      </c>
      <c r="I647" t="s">
        <v>39</v>
      </c>
      <c r="J647" t="s">
        <v>281</v>
      </c>
      <c r="K647" t="s">
        <v>282</v>
      </c>
      <c r="L647" t="s">
        <v>1752</v>
      </c>
      <c r="M647" t="s">
        <v>106</v>
      </c>
      <c r="N647" t="s">
        <v>95</v>
      </c>
      <c r="O647" t="s">
        <v>130</v>
      </c>
      <c r="P647">
        <v>4</v>
      </c>
      <c r="Q647">
        <v>2500.7800000000002</v>
      </c>
      <c r="R647" s="19">
        <v>0.1</v>
      </c>
      <c r="S647" s="21">
        <v>1000.31</v>
      </c>
      <c r="T647">
        <v>10003.120000000001</v>
      </c>
      <c r="U647" s="2">
        <v>9002.81</v>
      </c>
      <c r="V647">
        <v>78.59</v>
      </c>
      <c r="W647">
        <v>4658.9799999999996</v>
      </c>
      <c r="X647" s="2">
        <v>4265.24</v>
      </c>
      <c r="Y647">
        <v>0.4738</v>
      </c>
      <c r="Z647">
        <v>5</v>
      </c>
      <c r="AA647" t="s">
        <v>131</v>
      </c>
      <c r="AB647" t="s">
        <v>47</v>
      </c>
      <c r="AE647" s="2">
        <v>11249.15</v>
      </c>
      <c r="AF647">
        <v>0.80030000000000001</v>
      </c>
      <c r="AG647" t="s">
        <v>49</v>
      </c>
      <c r="AH647" s="23">
        <f>SUM(Amazon_Data_Set[[#This Row],[Gross Sales]]-Amazon_Data_Set[[#This Row],[Discount Amount]])</f>
        <v>9002.8100000000013</v>
      </c>
    </row>
    <row r="648" spans="1:34">
      <c r="A648" t="s">
        <v>1753</v>
      </c>
      <c r="B648" s="1">
        <v>46085</v>
      </c>
      <c r="C648" t="str">
        <f>TEXT(Amazon_Data_Set[[#This Row],[Order Date]],"mmm")</f>
        <v>Mar</v>
      </c>
      <c r="D648" t="s">
        <v>1754</v>
      </c>
      <c r="E648" t="s">
        <v>228</v>
      </c>
      <c r="F648" t="s">
        <v>229</v>
      </c>
      <c r="G648" t="s">
        <v>37</v>
      </c>
      <c r="H648" t="s">
        <v>83</v>
      </c>
      <c r="I648" t="s">
        <v>188</v>
      </c>
      <c r="J648" t="s">
        <v>690</v>
      </c>
      <c r="K648" t="s">
        <v>691</v>
      </c>
      <c r="L648" t="s">
        <v>1755</v>
      </c>
      <c r="M648" t="s">
        <v>106</v>
      </c>
      <c r="N648" t="s">
        <v>44</v>
      </c>
      <c r="O648" t="s">
        <v>45</v>
      </c>
      <c r="P648">
        <v>1</v>
      </c>
      <c r="Q648">
        <v>213.69</v>
      </c>
      <c r="R648" s="19">
        <v>0.15</v>
      </c>
      <c r="S648" s="21">
        <v>32.049999999999997</v>
      </c>
      <c r="T648">
        <v>213.69</v>
      </c>
      <c r="U648" s="2">
        <v>181.64</v>
      </c>
      <c r="V648">
        <v>201.92</v>
      </c>
      <c r="W648">
        <v>133.4</v>
      </c>
      <c r="X648" s="2">
        <v>-153.68</v>
      </c>
      <c r="Y648">
        <v>-0.84609999999999996</v>
      </c>
      <c r="Z648">
        <v>1</v>
      </c>
      <c r="AA648" t="s">
        <v>46</v>
      </c>
      <c r="AB648" t="s">
        <v>47</v>
      </c>
      <c r="AD648">
        <v>4</v>
      </c>
      <c r="AE648" s="2">
        <v>160.9</v>
      </c>
      <c r="AF648">
        <v>1.1289</v>
      </c>
      <c r="AG648" t="s">
        <v>49</v>
      </c>
      <c r="AH648" s="23">
        <f>SUM(Amazon_Data_Set[[#This Row],[Gross Sales]]-Amazon_Data_Set[[#This Row],[Discount Amount]])</f>
        <v>181.64</v>
      </c>
    </row>
    <row r="649" spans="1:34">
      <c r="A649" t="s">
        <v>1756</v>
      </c>
      <c r="B649" s="1">
        <v>46355</v>
      </c>
      <c r="C649" t="str">
        <f>TEXT(Amazon_Data_Set[[#This Row],[Order Date]],"mmm")</f>
        <v>Nov</v>
      </c>
      <c r="D649" t="s">
        <v>242</v>
      </c>
      <c r="E649" t="s">
        <v>228</v>
      </c>
      <c r="F649" t="s">
        <v>229</v>
      </c>
      <c r="G649" t="s">
        <v>37</v>
      </c>
      <c r="H649" t="s">
        <v>142</v>
      </c>
      <c r="I649" t="s">
        <v>214</v>
      </c>
      <c r="J649" t="s">
        <v>215</v>
      </c>
      <c r="K649" t="s">
        <v>216</v>
      </c>
      <c r="L649" t="s">
        <v>1757</v>
      </c>
      <c r="M649" t="s">
        <v>43</v>
      </c>
      <c r="N649" t="s">
        <v>70</v>
      </c>
      <c r="O649" t="s">
        <v>45</v>
      </c>
      <c r="P649">
        <v>1</v>
      </c>
      <c r="Q649">
        <v>6251.43</v>
      </c>
      <c r="R649" s="19">
        <v>0.2</v>
      </c>
      <c r="S649" s="21">
        <v>1250.29</v>
      </c>
      <c r="T649">
        <v>6251.43</v>
      </c>
      <c r="U649" s="2">
        <v>5001.1400000000003</v>
      </c>
      <c r="V649">
        <v>230.61</v>
      </c>
      <c r="W649">
        <v>3725.15</v>
      </c>
      <c r="X649" s="2">
        <v>1045.3800000000001</v>
      </c>
      <c r="Y649">
        <v>0.20899999999999999</v>
      </c>
      <c r="Z649">
        <v>1</v>
      </c>
      <c r="AA649" t="s">
        <v>46</v>
      </c>
      <c r="AB649" t="s">
        <v>47</v>
      </c>
      <c r="AD649">
        <v>4</v>
      </c>
      <c r="AE649" s="2">
        <v>6127.6</v>
      </c>
      <c r="AF649">
        <v>0.81620000000000004</v>
      </c>
      <c r="AG649" t="s">
        <v>49</v>
      </c>
      <c r="AH649" s="23">
        <f>SUM(Amazon_Data_Set[[#This Row],[Gross Sales]]-Amazon_Data_Set[[#This Row],[Discount Amount]])</f>
        <v>5001.1400000000003</v>
      </c>
    </row>
    <row r="650" spans="1:34">
      <c r="A650" t="s">
        <v>1758</v>
      </c>
      <c r="B650" s="1">
        <v>46261</v>
      </c>
      <c r="C650" t="str">
        <f>TEXT(Amazon_Data_Set[[#This Row],[Order Date]],"mmm")</f>
        <v>Aug</v>
      </c>
      <c r="D650" t="s">
        <v>714</v>
      </c>
      <c r="E650" t="s">
        <v>80</v>
      </c>
      <c r="F650" t="s">
        <v>81</v>
      </c>
      <c r="G650" t="s">
        <v>82</v>
      </c>
      <c r="H650" t="s">
        <v>83</v>
      </c>
      <c r="I650" t="s">
        <v>188</v>
      </c>
      <c r="J650" t="s">
        <v>475</v>
      </c>
      <c r="K650" t="s">
        <v>476</v>
      </c>
      <c r="L650" t="s">
        <v>1759</v>
      </c>
      <c r="M650" t="s">
        <v>43</v>
      </c>
      <c r="N650" t="s">
        <v>60</v>
      </c>
      <c r="O650" t="s">
        <v>130</v>
      </c>
      <c r="P650">
        <v>2</v>
      </c>
      <c r="Q650">
        <v>198.42</v>
      </c>
      <c r="R650" s="19">
        <v>0.15</v>
      </c>
      <c r="S650" s="21">
        <v>59.53</v>
      </c>
      <c r="T650">
        <v>396.84</v>
      </c>
      <c r="U650" s="2">
        <v>337.31</v>
      </c>
      <c r="V650">
        <v>25.13</v>
      </c>
      <c r="W650">
        <v>223.86</v>
      </c>
      <c r="X650" s="2">
        <v>88.32</v>
      </c>
      <c r="Y650">
        <v>0.26179999999999998</v>
      </c>
      <c r="Z650">
        <v>7</v>
      </c>
      <c r="AA650" t="s">
        <v>131</v>
      </c>
      <c r="AB650" t="s">
        <v>47</v>
      </c>
      <c r="AE650" s="2">
        <v>331.13</v>
      </c>
      <c r="AF650">
        <v>1.0186999999999999</v>
      </c>
      <c r="AG650" t="s">
        <v>49</v>
      </c>
      <c r="AH650" s="23">
        <f>SUM(Amazon_Data_Set[[#This Row],[Gross Sales]]-Amazon_Data_Set[[#This Row],[Discount Amount]])</f>
        <v>337.30999999999995</v>
      </c>
    </row>
    <row r="651" spans="1:34">
      <c r="A651" t="s">
        <v>1760</v>
      </c>
      <c r="B651" s="1">
        <v>46348</v>
      </c>
      <c r="C651" t="str">
        <f>TEXT(Amazon_Data_Set[[#This Row],[Order Date]],"mmm")</f>
        <v>Nov</v>
      </c>
      <c r="D651" t="s">
        <v>614</v>
      </c>
      <c r="E651" t="s">
        <v>80</v>
      </c>
      <c r="F651" t="s">
        <v>81</v>
      </c>
      <c r="G651" t="s">
        <v>82</v>
      </c>
      <c r="H651" t="s">
        <v>90</v>
      </c>
      <c r="I651" t="s">
        <v>112</v>
      </c>
      <c r="J651" t="s">
        <v>292</v>
      </c>
      <c r="K651" t="s">
        <v>293</v>
      </c>
      <c r="L651" t="s">
        <v>1761</v>
      </c>
      <c r="M651" t="s">
        <v>43</v>
      </c>
      <c r="N651" t="s">
        <v>60</v>
      </c>
      <c r="O651" t="s">
        <v>45</v>
      </c>
      <c r="P651">
        <v>4</v>
      </c>
      <c r="Q651">
        <v>670.51</v>
      </c>
      <c r="R651" s="19">
        <v>0.15</v>
      </c>
      <c r="S651" s="21">
        <v>402.31</v>
      </c>
      <c r="T651">
        <v>2682.04</v>
      </c>
      <c r="U651" s="2">
        <v>2279.73</v>
      </c>
      <c r="V651">
        <v>158.6</v>
      </c>
      <c r="W651">
        <v>1371.77</v>
      </c>
      <c r="X651" s="2">
        <v>749.36</v>
      </c>
      <c r="Y651">
        <v>0.32869999999999999</v>
      </c>
      <c r="Z651">
        <v>4</v>
      </c>
      <c r="AA651" t="s">
        <v>46</v>
      </c>
      <c r="AB651" t="s">
        <v>47</v>
      </c>
      <c r="AD651">
        <v>5</v>
      </c>
      <c r="AE651" s="2">
        <v>2562.38</v>
      </c>
      <c r="AF651">
        <v>0.88970000000000005</v>
      </c>
      <c r="AG651" t="s">
        <v>49</v>
      </c>
      <c r="AH651" s="23">
        <f>SUM(Amazon_Data_Set[[#This Row],[Gross Sales]]-Amazon_Data_Set[[#This Row],[Discount Amount]])</f>
        <v>2279.73</v>
      </c>
    </row>
    <row r="652" spans="1:34">
      <c r="A652" t="s">
        <v>1762</v>
      </c>
      <c r="B652" s="1">
        <v>46175</v>
      </c>
      <c r="C652" t="str">
        <f>TEXT(Amazon_Data_Set[[#This Row],[Order Date]],"mmm")</f>
        <v>Jun</v>
      </c>
      <c r="D652" t="s">
        <v>304</v>
      </c>
      <c r="E652" t="s">
        <v>64</v>
      </c>
      <c r="F652" t="s">
        <v>65</v>
      </c>
      <c r="G652" t="s">
        <v>54</v>
      </c>
      <c r="H652" t="s">
        <v>83</v>
      </c>
      <c r="I652" t="s">
        <v>188</v>
      </c>
      <c r="J652" t="s">
        <v>189</v>
      </c>
      <c r="K652" t="s">
        <v>190</v>
      </c>
      <c r="L652" t="s">
        <v>1763</v>
      </c>
      <c r="M652" t="s">
        <v>106</v>
      </c>
      <c r="N652" t="s">
        <v>95</v>
      </c>
      <c r="O652" t="s">
        <v>130</v>
      </c>
      <c r="P652">
        <v>1</v>
      </c>
      <c r="Q652">
        <v>2285.7600000000002</v>
      </c>
      <c r="R652" s="19">
        <v>0</v>
      </c>
      <c r="S652" s="21">
        <v>0</v>
      </c>
      <c r="T652">
        <v>2285.7600000000002</v>
      </c>
      <c r="U652" s="2">
        <v>2285.7600000000002</v>
      </c>
      <c r="V652">
        <v>169.41</v>
      </c>
      <c r="W652">
        <v>1390.23</v>
      </c>
      <c r="X652" s="2">
        <v>726.12</v>
      </c>
      <c r="Y652">
        <v>0.31769999999999998</v>
      </c>
      <c r="Z652">
        <v>4</v>
      </c>
      <c r="AA652" t="s">
        <v>131</v>
      </c>
      <c r="AB652" t="s">
        <v>47</v>
      </c>
      <c r="AE652" s="2">
        <v>2180.66</v>
      </c>
      <c r="AF652">
        <v>1.0482</v>
      </c>
      <c r="AG652" t="s">
        <v>49</v>
      </c>
      <c r="AH652" s="23">
        <f>SUM(Amazon_Data_Set[[#This Row],[Gross Sales]]-Amazon_Data_Set[[#This Row],[Discount Amount]])</f>
        <v>2285.7600000000002</v>
      </c>
    </row>
    <row r="653" spans="1:34">
      <c r="A653" t="s">
        <v>1764</v>
      </c>
      <c r="B653" s="1">
        <v>46033</v>
      </c>
      <c r="C653" t="str">
        <f>TEXT(Amazon_Data_Set[[#This Row],[Order Date]],"mmm")</f>
        <v>Jan</v>
      </c>
      <c r="D653" t="s">
        <v>178</v>
      </c>
      <c r="E653" t="s">
        <v>35</v>
      </c>
      <c r="F653" t="s">
        <v>36</v>
      </c>
      <c r="G653" t="s">
        <v>37</v>
      </c>
      <c r="H653" t="s">
        <v>90</v>
      </c>
      <c r="I653" t="s">
        <v>112</v>
      </c>
      <c r="J653" t="s">
        <v>292</v>
      </c>
      <c r="K653" t="s">
        <v>293</v>
      </c>
      <c r="L653" t="s">
        <v>1765</v>
      </c>
      <c r="M653" t="s">
        <v>43</v>
      </c>
      <c r="N653" t="s">
        <v>124</v>
      </c>
      <c r="O653" t="s">
        <v>130</v>
      </c>
      <c r="P653">
        <v>5</v>
      </c>
      <c r="Q653">
        <v>1602.57</v>
      </c>
      <c r="R653" s="19">
        <v>0.15</v>
      </c>
      <c r="S653" s="21">
        <v>1201.93</v>
      </c>
      <c r="T653">
        <v>8012.85</v>
      </c>
      <c r="U653" s="2">
        <v>6810.92</v>
      </c>
      <c r="V653">
        <v>126.03</v>
      </c>
      <c r="W653">
        <v>5215.17</v>
      </c>
      <c r="X653" s="2">
        <v>1469.72</v>
      </c>
      <c r="Y653">
        <v>0.21579999999999999</v>
      </c>
      <c r="Z653">
        <v>7</v>
      </c>
      <c r="AA653" t="s">
        <v>131</v>
      </c>
      <c r="AB653" t="s">
        <v>47</v>
      </c>
      <c r="AE653" s="2">
        <v>6973.55</v>
      </c>
      <c r="AF653">
        <v>0.97670000000000001</v>
      </c>
      <c r="AG653" t="s">
        <v>49</v>
      </c>
      <c r="AH653" s="23">
        <f>SUM(Amazon_Data_Set[[#This Row],[Gross Sales]]-Amazon_Data_Set[[#This Row],[Discount Amount]])</f>
        <v>6810.92</v>
      </c>
    </row>
    <row r="654" spans="1:34">
      <c r="A654" t="s">
        <v>1766</v>
      </c>
      <c r="B654" s="1">
        <v>46112</v>
      </c>
      <c r="C654" t="str">
        <f>TEXT(Amazon_Data_Set[[#This Row],[Order Date]],"mmm")</f>
        <v>Mar</v>
      </c>
      <c r="D654" t="s">
        <v>987</v>
      </c>
      <c r="E654" t="s">
        <v>228</v>
      </c>
      <c r="F654" t="s">
        <v>229</v>
      </c>
      <c r="G654" t="s">
        <v>37</v>
      </c>
      <c r="H654" t="s">
        <v>90</v>
      </c>
      <c r="I654" t="s">
        <v>252</v>
      </c>
      <c r="J654" t="s">
        <v>253</v>
      </c>
      <c r="K654" t="s">
        <v>254</v>
      </c>
      <c r="L654" t="s">
        <v>1767</v>
      </c>
      <c r="M654" t="s">
        <v>43</v>
      </c>
      <c r="N654" t="s">
        <v>95</v>
      </c>
      <c r="O654" t="s">
        <v>45</v>
      </c>
      <c r="P654">
        <v>3</v>
      </c>
      <c r="Q654">
        <v>466.46</v>
      </c>
      <c r="R654" s="19">
        <v>0</v>
      </c>
      <c r="S654" s="21">
        <v>0</v>
      </c>
      <c r="T654">
        <v>1399.38</v>
      </c>
      <c r="U654" s="2">
        <v>1399.38</v>
      </c>
      <c r="V654">
        <v>49.14</v>
      </c>
      <c r="W654">
        <v>999.88</v>
      </c>
      <c r="X654" s="2">
        <v>350.36</v>
      </c>
      <c r="Y654">
        <v>0.25040000000000001</v>
      </c>
      <c r="Z654">
        <v>8</v>
      </c>
      <c r="AA654" t="s">
        <v>61</v>
      </c>
      <c r="AB654" t="s">
        <v>47</v>
      </c>
      <c r="AD654">
        <v>5</v>
      </c>
      <c r="AE654" s="2">
        <v>1234.57</v>
      </c>
      <c r="AF654">
        <v>1.1335</v>
      </c>
      <c r="AG654" t="s">
        <v>49</v>
      </c>
      <c r="AH654" s="23">
        <f>SUM(Amazon_Data_Set[[#This Row],[Gross Sales]]-Amazon_Data_Set[[#This Row],[Discount Amount]])</f>
        <v>1399.38</v>
      </c>
    </row>
    <row r="655" spans="1:34">
      <c r="A655" t="s">
        <v>1768</v>
      </c>
      <c r="B655" s="1">
        <v>46122</v>
      </c>
      <c r="C655" t="str">
        <f>TEXT(Amazon_Data_Set[[#This Row],[Order Date]],"mmm")</f>
        <v>Apr</v>
      </c>
      <c r="D655" t="s">
        <v>632</v>
      </c>
      <c r="E655" t="s">
        <v>100</v>
      </c>
      <c r="F655" t="s">
        <v>101</v>
      </c>
      <c r="G655" t="s">
        <v>54</v>
      </c>
      <c r="H655" t="s">
        <v>142</v>
      </c>
      <c r="I655" t="s">
        <v>214</v>
      </c>
      <c r="J655" t="s">
        <v>350</v>
      </c>
      <c r="K655" t="s">
        <v>351</v>
      </c>
      <c r="L655" t="s">
        <v>1769</v>
      </c>
      <c r="M655" t="s">
        <v>43</v>
      </c>
      <c r="N655" t="s">
        <v>95</v>
      </c>
      <c r="O655" t="s">
        <v>130</v>
      </c>
      <c r="P655">
        <v>2</v>
      </c>
      <c r="Q655">
        <v>6402.66</v>
      </c>
      <c r="R655" s="19">
        <v>0.2</v>
      </c>
      <c r="S655" s="21">
        <v>2561.06</v>
      </c>
      <c r="T655">
        <v>12805.32</v>
      </c>
      <c r="U655" s="2">
        <v>10244.26</v>
      </c>
      <c r="V655">
        <v>103.47</v>
      </c>
      <c r="W655">
        <v>7599.97</v>
      </c>
      <c r="X655" s="2">
        <v>2540.8200000000002</v>
      </c>
      <c r="Y655">
        <v>0.248</v>
      </c>
      <c r="Z655">
        <v>4</v>
      </c>
      <c r="AA655" t="s">
        <v>131</v>
      </c>
      <c r="AB655" t="s">
        <v>47</v>
      </c>
      <c r="AE655" s="2">
        <v>11991.18</v>
      </c>
      <c r="AF655">
        <v>0.85429999999999995</v>
      </c>
      <c r="AG655" t="s">
        <v>49</v>
      </c>
      <c r="AH655" s="23">
        <f>SUM(Amazon_Data_Set[[#This Row],[Gross Sales]]-Amazon_Data_Set[[#This Row],[Discount Amount]])</f>
        <v>10244.26</v>
      </c>
    </row>
    <row r="656" spans="1:34">
      <c r="A656" t="s">
        <v>1770</v>
      </c>
      <c r="B656" s="1">
        <v>46188</v>
      </c>
      <c r="C656" t="str">
        <f>TEXT(Amazon_Data_Set[[#This Row],[Order Date]],"mmm")</f>
        <v>Jun</v>
      </c>
      <c r="D656" t="s">
        <v>153</v>
      </c>
      <c r="E656" t="s">
        <v>167</v>
      </c>
      <c r="F656" t="s">
        <v>168</v>
      </c>
      <c r="G656" t="s">
        <v>111</v>
      </c>
      <c r="H656" t="s">
        <v>55</v>
      </c>
      <c r="I656" t="s">
        <v>120</v>
      </c>
      <c r="J656" t="s">
        <v>169</v>
      </c>
      <c r="K656" t="s">
        <v>170</v>
      </c>
      <c r="L656" t="s">
        <v>1771</v>
      </c>
      <c r="M656" t="s">
        <v>43</v>
      </c>
      <c r="N656" t="s">
        <v>95</v>
      </c>
      <c r="O656" t="s">
        <v>45</v>
      </c>
      <c r="P656">
        <v>4</v>
      </c>
      <c r="Q656">
        <v>2607.59</v>
      </c>
      <c r="R656" s="19">
        <v>0</v>
      </c>
      <c r="S656" s="21">
        <v>0</v>
      </c>
      <c r="T656">
        <v>10430.36</v>
      </c>
      <c r="U656" s="2">
        <v>10430.36</v>
      </c>
      <c r="V656">
        <v>59.82</v>
      </c>
      <c r="W656">
        <v>7503.64</v>
      </c>
      <c r="X656" s="2">
        <v>2866.9</v>
      </c>
      <c r="Y656">
        <v>0.27489999999999998</v>
      </c>
      <c r="Z656">
        <v>6</v>
      </c>
      <c r="AA656" t="s">
        <v>61</v>
      </c>
      <c r="AB656" t="s">
        <v>47</v>
      </c>
      <c r="AD656">
        <v>4</v>
      </c>
      <c r="AE656" s="2">
        <v>8949.07</v>
      </c>
      <c r="AF656">
        <v>1.1655</v>
      </c>
      <c r="AG656" t="s">
        <v>49</v>
      </c>
      <c r="AH656" s="23">
        <f>SUM(Amazon_Data_Set[[#This Row],[Gross Sales]]-Amazon_Data_Set[[#This Row],[Discount Amount]])</f>
        <v>10430.36</v>
      </c>
    </row>
    <row r="657" spans="1:34">
      <c r="A657" t="s">
        <v>1772</v>
      </c>
      <c r="B657" s="1">
        <v>46271</v>
      </c>
      <c r="C657" t="str">
        <f>TEXT(Amazon_Data_Set[[#This Row],[Order Date]],"mmm")</f>
        <v>Sep</v>
      </c>
      <c r="D657" t="s">
        <v>1460</v>
      </c>
      <c r="E657" t="s">
        <v>64</v>
      </c>
      <c r="F657" t="s">
        <v>65</v>
      </c>
      <c r="G657" t="s">
        <v>54</v>
      </c>
      <c r="H657" t="s">
        <v>90</v>
      </c>
      <c r="I657" t="s">
        <v>112</v>
      </c>
      <c r="J657" t="s">
        <v>134</v>
      </c>
      <c r="K657" t="s">
        <v>135</v>
      </c>
      <c r="L657" t="s">
        <v>1773</v>
      </c>
      <c r="M657" t="s">
        <v>43</v>
      </c>
      <c r="N657" t="s">
        <v>60</v>
      </c>
      <c r="O657" t="s">
        <v>45</v>
      </c>
      <c r="P657">
        <v>5</v>
      </c>
      <c r="Q657">
        <v>247.43</v>
      </c>
      <c r="R657" s="19">
        <v>0.05</v>
      </c>
      <c r="S657" s="21">
        <v>61.86</v>
      </c>
      <c r="T657">
        <v>1237.1500000000001</v>
      </c>
      <c r="U657" s="2">
        <v>1175.29</v>
      </c>
      <c r="V657">
        <v>178.99</v>
      </c>
      <c r="W657">
        <v>794.97</v>
      </c>
      <c r="X657" s="2">
        <v>201.33</v>
      </c>
      <c r="Y657">
        <v>0.17130000000000001</v>
      </c>
      <c r="Z657">
        <v>3</v>
      </c>
      <c r="AA657" t="s">
        <v>46</v>
      </c>
      <c r="AB657" t="s">
        <v>47</v>
      </c>
      <c r="AD657">
        <v>5</v>
      </c>
      <c r="AE657" s="2">
        <v>1211.6099999999999</v>
      </c>
      <c r="AF657">
        <v>0.97</v>
      </c>
      <c r="AG657" t="s">
        <v>49</v>
      </c>
      <c r="AH657" s="23">
        <f>SUM(Amazon_Data_Set[[#This Row],[Gross Sales]]-Amazon_Data_Set[[#This Row],[Discount Amount]])</f>
        <v>1175.2900000000002</v>
      </c>
    </row>
    <row r="658" spans="1:34">
      <c r="A658" t="s">
        <v>1774</v>
      </c>
      <c r="B658" s="1">
        <v>46245</v>
      </c>
      <c r="C658" t="str">
        <f>TEXT(Amazon_Data_Set[[#This Row],[Order Date]],"mmm")</f>
        <v>Aug</v>
      </c>
      <c r="D658" t="s">
        <v>1775</v>
      </c>
      <c r="E658" t="s">
        <v>228</v>
      </c>
      <c r="F658" t="s">
        <v>229</v>
      </c>
      <c r="G658" t="s">
        <v>37</v>
      </c>
      <c r="H658" t="s">
        <v>142</v>
      </c>
      <c r="I658" t="s">
        <v>214</v>
      </c>
      <c r="J658" t="s">
        <v>350</v>
      </c>
      <c r="K658" t="s">
        <v>351</v>
      </c>
      <c r="L658" t="s">
        <v>1776</v>
      </c>
      <c r="M658" t="s">
        <v>106</v>
      </c>
      <c r="N658" t="s">
        <v>70</v>
      </c>
      <c r="O658" t="s">
        <v>45</v>
      </c>
      <c r="P658">
        <v>5</v>
      </c>
      <c r="Q658">
        <v>1548.8</v>
      </c>
      <c r="R658" s="19">
        <v>0.25</v>
      </c>
      <c r="S658" s="21">
        <v>1936</v>
      </c>
      <c r="T658">
        <v>7744</v>
      </c>
      <c r="U658" s="2">
        <v>5808</v>
      </c>
      <c r="V658">
        <v>239.22</v>
      </c>
      <c r="W658">
        <v>2938.92</v>
      </c>
      <c r="X658" s="2">
        <v>2629.86</v>
      </c>
      <c r="Y658">
        <v>0.45279999999999998</v>
      </c>
      <c r="Z658">
        <v>2</v>
      </c>
      <c r="AA658" t="s">
        <v>46</v>
      </c>
      <c r="AB658" t="s">
        <v>47</v>
      </c>
      <c r="AD658">
        <v>3</v>
      </c>
      <c r="AE658" s="2">
        <v>5802.01</v>
      </c>
      <c r="AF658">
        <v>1.0009999999999999</v>
      </c>
      <c r="AG658" t="s">
        <v>49</v>
      </c>
      <c r="AH658" s="23">
        <f>SUM(Amazon_Data_Set[[#This Row],[Gross Sales]]-Amazon_Data_Set[[#This Row],[Discount Amount]])</f>
        <v>5808</v>
      </c>
    </row>
    <row r="659" spans="1:34">
      <c r="A659" t="s">
        <v>1777</v>
      </c>
      <c r="B659" s="1">
        <v>46024</v>
      </c>
      <c r="C659" t="str">
        <f>TEXT(Amazon_Data_Set[[#This Row],[Order Date]],"mmm")</f>
        <v>Jan</v>
      </c>
      <c r="D659" t="s">
        <v>586</v>
      </c>
      <c r="E659" t="s">
        <v>174</v>
      </c>
      <c r="F659" t="s">
        <v>175</v>
      </c>
      <c r="G659" t="s">
        <v>82</v>
      </c>
      <c r="H659" t="s">
        <v>90</v>
      </c>
      <c r="I659" t="s">
        <v>112</v>
      </c>
      <c r="J659" t="s">
        <v>292</v>
      </c>
      <c r="K659" t="s">
        <v>293</v>
      </c>
      <c r="L659" t="s">
        <v>1778</v>
      </c>
      <c r="M659" t="s">
        <v>106</v>
      </c>
      <c r="N659" t="s">
        <v>77</v>
      </c>
      <c r="O659" t="s">
        <v>130</v>
      </c>
      <c r="P659">
        <v>2</v>
      </c>
      <c r="Q659">
        <v>244.58</v>
      </c>
      <c r="R659" s="19">
        <v>0.2</v>
      </c>
      <c r="S659" s="21">
        <v>97.83</v>
      </c>
      <c r="T659">
        <v>489.16</v>
      </c>
      <c r="U659" s="2">
        <v>391.33</v>
      </c>
      <c r="V659">
        <v>188.36</v>
      </c>
      <c r="W659">
        <v>262.08999999999997</v>
      </c>
      <c r="X659" s="2">
        <v>-59.12</v>
      </c>
      <c r="Y659">
        <v>-0.15110000000000001</v>
      </c>
      <c r="Z659">
        <v>4</v>
      </c>
      <c r="AA659" t="s">
        <v>131</v>
      </c>
      <c r="AB659" t="s">
        <v>47</v>
      </c>
      <c r="AE659" s="2">
        <v>375.47</v>
      </c>
      <c r="AF659">
        <v>1.0422</v>
      </c>
      <c r="AG659" t="s">
        <v>347</v>
      </c>
      <c r="AH659" s="23">
        <f>SUM(Amazon_Data_Set[[#This Row],[Gross Sales]]-Amazon_Data_Set[[#This Row],[Discount Amount]])</f>
        <v>391.33000000000004</v>
      </c>
    </row>
    <row r="660" spans="1:34">
      <c r="A660" t="s">
        <v>1779</v>
      </c>
      <c r="B660" s="1">
        <v>46218</v>
      </c>
      <c r="C660" t="str">
        <f>TEXT(Amazon_Data_Set[[#This Row],[Order Date]],"mmm")</f>
        <v>Jul</v>
      </c>
      <c r="D660" t="s">
        <v>1601</v>
      </c>
      <c r="E660" t="s">
        <v>228</v>
      </c>
      <c r="F660" t="s">
        <v>229</v>
      </c>
      <c r="G660" t="s">
        <v>37</v>
      </c>
      <c r="H660" t="s">
        <v>142</v>
      </c>
      <c r="I660" t="s">
        <v>209</v>
      </c>
      <c r="J660" t="s">
        <v>511</v>
      </c>
      <c r="K660" t="s">
        <v>512</v>
      </c>
      <c r="L660" t="s">
        <v>1780</v>
      </c>
      <c r="M660" t="s">
        <v>106</v>
      </c>
      <c r="N660" t="s">
        <v>95</v>
      </c>
      <c r="O660" t="s">
        <v>45</v>
      </c>
      <c r="P660">
        <v>1</v>
      </c>
      <c r="Q660">
        <v>9443.07</v>
      </c>
      <c r="R660" s="19">
        <v>0</v>
      </c>
      <c r="S660" s="21">
        <v>0</v>
      </c>
      <c r="T660">
        <v>9443.07</v>
      </c>
      <c r="U660" s="2">
        <v>9443.07</v>
      </c>
      <c r="V660">
        <v>5.57</v>
      </c>
      <c r="W660">
        <v>5789.32</v>
      </c>
      <c r="X660" s="2">
        <v>3648.18</v>
      </c>
      <c r="Y660">
        <v>0.38629999999999998</v>
      </c>
      <c r="Z660">
        <v>1</v>
      </c>
      <c r="AA660" t="s">
        <v>46</v>
      </c>
      <c r="AB660" t="s">
        <v>47</v>
      </c>
      <c r="AD660">
        <v>3</v>
      </c>
      <c r="AE660" s="2">
        <v>10811.65</v>
      </c>
      <c r="AF660">
        <v>0.87339999999999995</v>
      </c>
      <c r="AG660" t="s">
        <v>49</v>
      </c>
      <c r="AH660" s="23">
        <f>SUM(Amazon_Data_Set[[#This Row],[Gross Sales]]-Amazon_Data_Set[[#This Row],[Discount Amount]])</f>
        <v>9443.07</v>
      </c>
    </row>
    <row r="661" spans="1:34">
      <c r="A661" t="s">
        <v>1781</v>
      </c>
      <c r="B661" s="1">
        <v>46251</v>
      </c>
      <c r="C661" t="str">
        <f>TEXT(Amazon_Data_Set[[#This Row],[Order Date]],"mmm")</f>
        <v>Aug</v>
      </c>
      <c r="D661" t="s">
        <v>1129</v>
      </c>
      <c r="E661" t="s">
        <v>118</v>
      </c>
      <c r="F661" t="s">
        <v>119</v>
      </c>
      <c r="G661" t="s">
        <v>82</v>
      </c>
      <c r="H661" t="s">
        <v>83</v>
      </c>
      <c r="I661" t="s">
        <v>84</v>
      </c>
      <c r="J661" t="s">
        <v>332</v>
      </c>
      <c r="K661" t="s">
        <v>333</v>
      </c>
      <c r="L661" t="s">
        <v>1782</v>
      </c>
      <c r="M661" t="s">
        <v>106</v>
      </c>
      <c r="N661" t="s">
        <v>44</v>
      </c>
      <c r="O661" t="s">
        <v>96</v>
      </c>
      <c r="P661">
        <v>3</v>
      </c>
      <c r="Q661">
        <v>905.09</v>
      </c>
      <c r="R661" s="19">
        <v>0.3</v>
      </c>
      <c r="S661" s="21">
        <v>814.58</v>
      </c>
      <c r="T661">
        <v>2715.27</v>
      </c>
      <c r="U661" s="2">
        <v>1900.69</v>
      </c>
      <c r="V661">
        <v>178.69</v>
      </c>
      <c r="W661">
        <v>992.88</v>
      </c>
      <c r="X661" s="2">
        <v>729.12</v>
      </c>
      <c r="Y661">
        <v>0.3836</v>
      </c>
      <c r="Z661">
        <v>0</v>
      </c>
      <c r="AA661" t="s">
        <v>97</v>
      </c>
      <c r="AB661" t="s">
        <v>47</v>
      </c>
      <c r="AE661" s="2">
        <v>1929.76</v>
      </c>
      <c r="AF661">
        <v>0.9849</v>
      </c>
      <c r="AG661" t="s">
        <v>49</v>
      </c>
      <c r="AH661" s="23">
        <f>SUM(Amazon_Data_Set[[#This Row],[Gross Sales]]-Amazon_Data_Set[[#This Row],[Discount Amount]])</f>
        <v>1900.69</v>
      </c>
    </row>
    <row r="662" spans="1:34">
      <c r="A662" t="s">
        <v>1783</v>
      </c>
      <c r="B662" s="1">
        <v>46273</v>
      </c>
      <c r="C662" t="str">
        <f>TEXT(Amazon_Data_Set[[#This Row],[Order Date]],"mmm")</f>
        <v>Sep</v>
      </c>
      <c r="D662" t="s">
        <v>729</v>
      </c>
      <c r="E662" t="s">
        <v>167</v>
      </c>
      <c r="F662" t="s">
        <v>168</v>
      </c>
      <c r="G662" t="s">
        <v>111</v>
      </c>
      <c r="H662" t="s">
        <v>55</v>
      </c>
      <c r="I662" t="s">
        <v>120</v>
      </c>
      <c r="J662" t="s">
        <v>169</v>
      </c>
      <c r="K662" t="s">
        <v>170</v>
      </c>
      <c r="L662" t="s">
        <v>1784</v>
      </c>
      <c r="M662" t="s">
        <v>43</v>
      </c>
      <c r="N662" t="s">
        <v>124</v>
      </c>
      <c r="O662" t="s">
        <v>45</v>
      </c>
      <c r="P662">
        <v>1</v>
      </c>
      <c r="Q662">
        <v>870.57</v>
      </c>
      <c r="R662" s="19">
        <v>0.3</v>
      </c>
      <c r="S662" s="21">
        <v>261.17</v>
      </c>
      <c r="T662">
        <v>870.57</v>
      </c>
      <c r="U662" s="2">
        <v>609.4</v>
      </c>
      <c r="V662">
        <v>41.05</v>
      </c>
      <c r="W662">
        <v>375.22</v>
      </c>
      <c r="X662" s="2">
        <v>193.13</v>
      </c>
      <c r="Y662">
        <v>0.31690000000000002</v>
      </c>
      <c r="Z662">
        <v>1</v>
      </c>
      <c r="AA662" t="s">
        <v>46</v>
      </c>
      <c r="AB662" t="s">
        <v>47</v>
      </c>
      <c r="AD662">
        <v>5</v>
      </c>
      <c r="AE662" s="2">
        <v>551.02</v>
      </c>
      <c r="AF662">
        <v>1.1059000000000001</v>
      </c>
      <c r="AG662" t="s">
        <v>49</v>
      </c>
      <c r="AH662" s="23">
        <f>SUM(Amazon_Data_Set[[#This Row],[Gross Sales]]-Amazon_Data_Set[[#This Row],[Discount Amount]])</f>
        <v>609.40000000000009</v>
      </c>
    </row>
    <row r="663" spans="1:34">
      <c r="A663" t="s">
        <v>1785</v>
      </c>
      <c r="B663" s="1">
        <v>46213</v>
      </c>
      <c r="C663" t="str">
        <f>TEXT(Amazon_Data_Set[[#This Row],[Order Date]],"mmm")</f>
        <v>Jul</v>
      </c>
      <c r="D663" t="s">
        <v>592</v>
      </c>
      <c r="E663" t="s">
        <v>52</v>
      </c>
      <c r="F663" t="s">
        <v>53</v>
      </c>
      <c r="G663" t="s">
        <v>54</v>
      </c>
      <c r="H663" t="s">
        <v>142</v>
      </c>
      <c r="I663" t="s">
        <v>209</v>
      </c>
      <c r="J663" t="s">
        <v>243</v>
      </c>
      <c r="K663" t="s">
        <v>145</v>
      </c>
      <c r="L663" t="s">
        <v>1786</v>
      </c>
      <c r="M663" t="s">
        <v>106</v>
      </c>
      <c r="N663" t="s">
        <v>60</v>
      </c>
      <c r="O663" t="s">
        <v>45</v>
      </c>
      <c r="P663">
        <v>5</v>
      </c>
      <c r="Q663">
        <v>1703.24</v>
      </c>
      <c r="R663" s="19">
        <v>0.05</v>
      </c>
      <c r="S663" s="21">
        <v>425.81</v>
      </c>
      <c r="T663">
        <v>8516.2000000000007</v>
      </c>
      <c r="U663" s="2">
        <v>8090.39</v>
      </c>
      <c r="V663">
        <v>12.39</v>
      </c>
      <c r="W663">
        <v>4975.12</v>
      </c>
      <c r="X663" s="2">
        <v>3102.88</v>
      </c>
      <c r="Y663">
        <v>0.38350000000000001</v>
      </c>
      <c r="Z663">
        <v>6</v>
      </c>
      <c r="AA663" t="s">
        <v>61</v>
      </c>
      <c r="AB663" t="s">
        <v>47</v>
      </c>
      <c r="AD663">
        <v>4</v>
      </c>
      <c r="AE663" s="2">
        <v>7143.21</v>
      </c>
      <c r="AF663">
        <v>1.1326000000000001</v>
      </c>
      <c r="AG663" t="s">
        <v>49</v>
      </c>
      <c r="AH663" s="23">
        <f>SUM(Amazon_Data_Set[[#This Row],[Gross Sales]]-Amazon_Data_Set[[#This Row],[Discount Amount]])</f>
        <v>8090.39</v>
      </c>
    </row>
    <row r="664" spans="1:34">
      <c r="A664" t="s">
        <v>1787</v>
      </c>
      <c r="B664" s="1">
        <v>46069</v>
      </c>
      <c r="C664" t="str">
        <f>TEXT(Amazon_Data_Set[[#This Row],[Order Date]],"mmm")</f>
        <v>Feb</v>
      </c>
      <c r="D664" t="s">
        <v>166</v>
      </c>
      <c r="E664" t="s">
        <v>140</v>
      </c>
      <c r="F664" t="s">
        <v>141</v>
      </c>
      <c r="G664" t="s">
        <v>54</v>
      </c>
      <c r="H664" t="s">
        <v>55</v>
      </c>
      <c r="I664" t="s">
        <v>73</v>
      </c>
      <c r="J664" t="s">
        <v>247</v>
      </c>
      <c r="K664" t="s">
        <v>248</v>
      </c>
      <c r="L664" t="s">
        <v>1788</v>
      </c>
      <c r="M664" t="s">
        <v>43</v>
      </c>
      <c r="N664" t="s">
        <v>77</v>
      </c>
      <c r="O664" t="s">
        <v>96</v>
      </c>
      <c r="P664">
        <v>3</v>
      </c>
      <c r="Q664">
        <v>51927.05</v>
      </c>
      <c r="R664" s="19">
        <v>0.2</v>
      </c>
      <c r="S664" s="21">
        <v>31156.23</v>
      </c>
      <c r="T664">
        <v>155781.15</v>
      </c>
      <c r="U664" s="2">
        <v>124624.92</v>
      </c>
      <c r="V664">
        <v>67.5</v>
      </c>
      <c r="W664">
        <v>67924.88</v>
      </c>
      <c r="X664" s="2">
        <v>56632.54</v>
      </c>
      <c r="Y664">
        <v>0.45440000000000003</v>
      </c>
      <c r="Z664">
        <v>0</v>
      </c>
      <c r="AA664" t="s">
        <v>97</v>
      </c>
      <c r="AB664" t="s">
        <v>47</v>
      </c>
      <c r="AE664" s="2">
        <v>126260.94</v>
      </c>
      <c r="AF664">
        <v>0.98699999999999999</v>
      </c>
      <c r="AG664" t="s">
        <v>49</v>
      </c>
      <c r="AH664" s="23">
        <f>SUM(Amazon_Data_Set[[#This Row],[Gross Sales]]-Amazon_Data_Set[[#This Row],[Discount Amount]])</f>
        <v>124624.92</v>
      </c>
    </row>
    <row r="665" spans="1:34">
      <c r="A665" t="s">
        <v>1789</v>
      </c>
      <c r="B665" s="1">
        <v>46382</v>
      </c>
      <c r="C665" t="str">
        <f>TEXT(Amazon_Data_Set[[#This Row],[Order Date]],"mmm")</f>
        <v>Dec</v>
      </c>
      <c r="D665" t="s">
        <v>1474</v>
      </c>
      <c r="E665" t="s">
        <v>174</v>
      </c>
      <c r="F665" t="s">
        <v>175</v>
      </c>
      <c r="G665" t="s">
        <v>82</v>
      </c>
      <c r="H665" t="s">
        <v>38</v>
      </c>
      <c r="I665" t="s">
        <v>39</v>
      </c>
      <c r="J665" t="s">
        <v>155</v>
      </c>
      <c r="K665" t="s">
        <v>156</v>
      </c>
      <c r="L665" t="s">
        <v>1790</v>
      </c>
      <c r="M665" t="s">
        <v>106</v>
      </c>
      <c r="N665" t="s">
        <v>60</v>
      </c>
      <c r="O665" t="s">
        <v>45</v>
      </c>
      <c r="P665">
        <v>5</v>
      </c>
      <c r="Q665">
        <v>366.01</v>
      </c>
      <c r="R665" s="19">
        <v>0.2</v>
      </c>
      <c r="S665" s="21">
        <v>366.01</v>
      </c>
      <c r="T665">
        <v>1830.05</v>
      </c>
      <c r="U665" s="2">
        <v>1464.04</v>
      </c>
      <c r="V665">
        <v>120.43</v>
      </c>
      <c r="W665">
        <v>1108.1300000000001</v>
      </c>
      <c r="X665" s="2">
        <v>235.48</v>
      </c>
      <c r="Y665">
        <v>0.1608</v>
      </c>
      <c r="Z665">
        <v>3</v>
      </c>
      <c r="AA665" t="s">
        <v>46</v>
      </c>
      <c r="AB665" t="s">
        <v>47</v>
      </c>
      <c r="AD665">
        <v>5</v>
      </c>
      <c r="AE665" s="2">
        <v>1534.46</v>
      </c>
      <c r="AF665">
        <v>0.95409999999999995</v>
      </c>
      <c r="AG665" t="s">
        <v>49</v>
      </c>
      <c r="AH665" s="23">
        <f>SUM(Amazon_Data_Set[[#This Row],[Gross Sales]]-Amazon_Data_Set[[#This Row],[Discount Amount]])</f>
        <v>1464.04</v>
      </c>
    </row>
    <row r="666" spans="1:34">
      <c r="A666" t="s">
        <v>1791</v>
      </c>
      <c r="B666" s="1">
        <v>46375</v>
      </c>
      <c r="C666" t="str">
        <f>TEXT(Amazon_Data_Set[[#This Row],[Order Date]],"mmm")</f>
        <v>Dec</v>
      </c>
      <c r="D666" t="s">
        <v>868</v>
      </c>
      <c r="E666" t="s">
        <v>80</v>
      </c>
      <c r="F666" t="s">
        <v>81</v>
      </c>
      <c r="G666" t="s">
        <v>82</v>
      </c>
      <c r="H666" t="s">
        <v>55</v>
      </c>
      <c r="I666" t="s">
        <v>120</v>
      </c>
      <c r="J666" t="s">
        <v>169</v>
      </c>
      <c r="K666" t="s">
        <v>170</v>
      </c>
      <c r="L666" t="s">
        <v>1792</v>
      </c>
      <c r="M666" t="s">
        <v>106</v>
      </c>
      <c r="N666" t="s">
        <v>124</v>
      </c>
      <c r="O666" t="s">
        <v>45</v>
      </c>
      <c r="P666">
        <v>2</v>
      </c>
      <c r="Q666">
        <v>33472.370000000003</v>
      </c>
      <c r="R666" s="19">
        <v>0.2</v>
      </c>
      <c r="S666" s="21">
        <v>13388.95</v>
      </c>
      <c r="T666">
        <v>66944.740000000005</v>
      </c>
      <c r="U666" s="2">
        <v>53555.79</v>
      </c>
      <c r="V666">
        <v>8.7799999999999994</v>
      </c>
      <c r="W666">
        <v>37048.92</v>
      </c>
      <c r="X666" s="2">
        <v>16498.09</v>
      </c>
      <c r="Y666">
        <v>0.30809999999999998</v>
      </c>
      <c r="Z666">
        <v>2</v>
      </c>
      <c r="AA666" t="s">
        <v>46</v>
      </c>
      <c r="AB666" t="s">
        <v>48</v>
      </c>
      <c r="AC666" t="s">
        <v>137</v>
      </c>
      <c r="AD666">
        <v>5</v>
      </c>
      <c r="AE666" s="2">
        <v>50308.78</v>
      </c>
      <c r="AF666">
        <v>1.0645</v>
      </c>
      <c r="AG666" t="s">
        <v>49</v>
      </c>
      <c r="AH666" s="23">
        <f>SUM(Amazon_Data_Set[[#This Row],[Gross Sales]]-Amazon_Data_Set[[#This Row],[Discount Amount]])</f>
        <v>53555.790000000008</v>
      </c>
    </row>
    <row r="667" spans="1:34">
      <c r="A667" t="s">
        <v>1793</v>
      </c>
      <c r="B667" s="1">
        <v>46177</v>
      </c>
      <c r="C667" t="str">
        <f>TEXT(Amazon_Data_Set[[#This Row],[Order Date]],"mmm")</f>
        <v>Jun</v>
      </c>
      <c r="D667" t="s">
        <v>663</v>
      </c>
      <c r="E667" t="s">
        <v>235</v>
      </c>
      <c r="F667" t="s">
        <v>236</v>
      </c>
      <c r="G667" t="s">
        <v>82</v>
      </c>
      <c r="H667" t="s">
        <v>83</v>
      </c>
      <c r="I667" t="s">
        <v>102</v>
      </c>
      <c r="J667" t="s">
        <v>259</v>
      </c>
      <c r="K667" t="s">
        <v>260</v>
      </c>
      <c r="L667" t="s">
        <v>1794</v>
      </c>
      <c r="M667" t="s">
        <v>43</v>
      </c>
      <c r="N667" t="s">
        <v>124</v>
      </c>
      <c r="O667" t="s">
        <v>96</v>
      </c>
      <c r="P667">
        <v>3</v>
      </c>
      <c r="Q667">
        <v>2013.85</v>
      </c>
      <c r="R667" s="19">
        <v>0.2</v>
      </c>
      <c r="S667" s="21">
        <v>1208.31</v>
      </c>
      <c r="T667">
        <v>6041.55</v>
      </c>
      <c r="U667" s="2">
        <v>4833.24</v>
      </c>
      <c r="V667">
        <v>105.37</v>
      </c>
      <c r="W667">
        <v>2888.82</v>
      </c>
      <c r="X667" s="2">
        <v>1839.05</v>
      </c>
      <c r="Y667">
        <v>0.3805</v>
      </c>
      <c r="Z667">
        <v>0</v>
      </c>
      <c r="AA667" t="s">
        <v>97</v>
      </c>
      <c r="AB667" t="s">
        <v>47</v>
      </c>
      <c r="AE667" s="2">
        <v>4793.93</v>
      </c>
      <c r="AF667">
        <v>1.0082</v>
      </c>
      <c r="AG667" t="s">
        <v>49</v>
      </c>
      <c r="AH667" s="23">
        <f>SUM(Amazon_Data_Set[[#This Row],[Gross Sales]]-Amazon_Data_Set[[#This Row],[Discount Amount]])</f>
        <v>4833.24</v>
      </c>
    </row>
    <row r="668" spans="1:34">
      <c r="A668" t="s">
        <v>1795</v>
      </c>
      <c r="B668" s="1">
        <v>46229</v>
      </c>
      <c r="C668" t="str">
        <f>TEXT(Amazon_Data_Set[[#This Row],[Order Date]],"mmm")</f>
        <v>Jul</v>
      </c>
      <c r="D668" t="s">
        <v>474</v>
      </c>
      <c r="E668" t="s">
        <v>64</v>
      </c>
      <c r="F668" t="s">
        <v>65</v>
      </c>
      <c r="G668" t="s">
        <v>54</v>
      </c>
      <c r="H668" t="s">
        <v>90</v>
      </c>
      <c r="I668" t="s">
        <v>91</v>
      </c>
      <c r="J668" t="s">
        <v>313</v>
      </c>
      <c r="K668" t="s">
        <v>314</v>
      </c>
      <c r="L668" t="s">
        <v>1796</v>
      </c>
      <c r="M668" t="s">
        <v>106</v>
      </c>
      <c r="N668" t="s">
        <v>60</v>
      </c>
      <c r="O668" t="s">
        <v>45</v>
      </c>
      <c r="P668">
        <v>4</v>
      </c>
      <c r="Q668">
        <v>439.78</v>
      </c>
      <c r="R668" s="19">
        <v>0</v>
      </c>
      <c r="S668" s="21">
        <v>0</v>
      </c>
      <c r="T668">
        <v>1759.12</v>
      </c>
      <c r="U668" s="2">
        <v>1759.12</v>
      </c>
      <c r="V668">
        <v>108.46</v>
      </c>
      <c r="W668">
        <v>1163.3599999999999</v>
      </c>
      <c r="X668" s="2">
        <v>487.3</v>
      </c>
      <c r="Y668">
        <v>0.27700000000000002</v>
      </c>
      <c r="Z668">
        <v>2</v>
      </c>
      <c r="AA668" t="s">
        <v>46</v>
      </c>
      <c r="AB668" t="s">
        <v>47</v>
      </c>
      <c r="AD668">
        <v>5</v>
      </c>
      <c r="AE668" s="2">
        <v>2153.9699999999998</v>
      </c>
      <c r="AF668">
        <v>0.81669999999999998</v>
      </c>
      <c r="AG668" t="s">
        <v>49</v>
      </c>
      <c r="AH668" s="23">
        <f>SUM(Amazon_Data_Set[[#This Row],[Gross Sales]]-Amazon_Data_Set[[#This Row],[Discount Amount]])</f>
        <v>1759.12</v>
      </c>
    </row>
    <row r="669" spans="1:34">
      <c r="A669" t="s">
        <v>1797</v>
      </c>
      <c r="B669" s="1">
        <v>46373</v>
      </c>
      <c r="C669" t="str">
        <f>TEXT(Amazon_Data_Set[[#This Row],[Order Date]],"mmm")</f>
        <v>Dec</v>
      </c>
      <c r="D669" t="s">
        <v>397</v>
      </c>
      <c r="E669" t="s">
        <v>140</v>
      </c>
      <c r="F669" t="s">
        <v>141</v>
      </c>
      <c r="G669" t="s">
        <v>54</v>
      </c>
      <c r="H669" t="s">
        <v>38</v>
      </c>
      <c r="I669" t="s">
        <v>66</v>
      </c>
      <c r="J669" t="s">
        <v>337</v>
      </c>
      <c r="K669" t="s">
        <v>224</v>
      </c>
      <c r="L669" t="s">
        <v>1798</v>
      </c>
      <c r="M669" t="s">
        <v>106</v>
      </c>
      <c r="N669" t="s">
        <v>95</v>
      </c>
      <c r="O669" t="s">
        <v>45</v>
      </c>
      <c r="P669">
        <v>1</v>
      </c>
      <c r="Q669">
        <v>3294.7</v>
      </c>
      <c r="R669" s="19">
        <v>0.15</v>
      </c>
      <c r="S669" s="21">
        <v>494.2</v>
      </c>
      <c r="T669">
        <v>3294.7</v>
      </c>
      <c r="U669" s="2">
        <v>2800.5</v>
      </c>
      <c r="V669">
        <v>218.21</v>
      </c>
      <c r="W669">
        <v>1660.5</v>
      </c>
      <c r="X669" s="2">
        <v>921.79</v>
      </c>
      <c r="Y669">
        <v>0.32919999999999999</v>
      </c>
      <c r="Z669">
        <v>6</v>
      </c>
      <c r="AA669" t="s">
        <v>61</v>
      </c>
      <c r="AB669" t="s">
        <v>47</v>
      </c>
      <c r="AD669">
        <v>5</v>
      </c>
      <c r="AE669" s="2">
        <v>2543.69</v>
      </c>
      <c r="AF669">
        <v>1.101</v>
      </c>
      <c r="AG669" t="s">
        <v>49</v>
      </c>
      <c r="AH669" s="23">
        <f>SUM(Amazon_Data_Set[[#This Row],[Gross Sales]]-Amazon_Data_Set[[#This Row],[Discount Amount]])</f>
        <v>2800.5</v>
      </c>
    </row>
    <row r="670" spans="1:34">
      <c r="A670" t="s">
        <v>1799</v>
      </c>
      <c r="B670" s="1">
        <v>46117</v>
      </c>
      <c r="C670" t="str">
        <f>TEXT(Amazon_Data_Set[[#This Row],[Order Date]],"mmm")</f>
        <v>Apr</v>
      </c>
      <c r="D670" t="s">
        <v>696</v>
      </c>
      <c r="E670" t="s">
        <v>149</v>
      </c>
      <c r="F670" t="s">
        <v>150</v>
      </c>
      <c r="G670" t="s">
        <v>37</v>
      </c>
      <c r="H670" t="s">
        <v>38</v>
      </c>
      <c r="I670" t="s">
        <v>161</v>
      </c>
      <c r="J670" t="s">
        <v>223</v>
      </c>
      <c r="K670" t="s">
        <v>224</v>
      </c>
      <c r="L670" t="s">
        <v>1800</v>
      </c>
      <c r="M670" t="s">
        <v>43</v>
      </c>
      <c r="N670" t="s">
        <v>60</v>
      </c>
      <c r="O670" t="s">
        <v>45</v>
      </c>
      <c r="P670">
        <v>3</v>
      </c>
      <c r="Q670">
        <v>1936.44</v>
      </c>
      <c r="R670" s="19">
        <v>0</v>
      </c>
      <c r="S670" s="21">
        <v>0</v>
      </c>
      <c r="T670">
        <v>5809.32</v>
      </c>
      <c r="U670" s="2">
        <v>5809.32</v>
      </c>
      <c r="V670">
        <v>21.2</v>
      </c>
      <c r="W670">
        <v>3880.43</v>
      </c>
      <c r="X670" s="2">
        <v>1907.69</v>
      </c>
      <c r="Y670">
        <v>0.32840000000000003</v>
      </c>
      <c r="Z670">
        <v>1</v>
      </c>
      <c r="AA670" t="s">
        <v>46</v>
      </c>
      <c r="AB670" t="s">
        <v>47</v>
      </c>
      <c r="AD670">
        <v>5</v>
      </c>
      <c r="AE670" s="2">
        <v>5900.44</v>
      </c>
      <c r="AF670">
        <v>0.98460000000000003</v>
      </c>
      <c r="AG670" t="s">
        <v>49</v>
      </c>
      <c r="AH670" s="23">
        <f>SUM(Amazon_Data_Set[[#This Row],[Gross Sales]]-Amazon_Data_Set[[#This Row],[Discount Amount]])</f>
        <v>5809.32</v>
      </c>
    </row>
    <row r="671" spans="1:34">
      <c r="A671" t="s">
        <v>1801</v>
      </c>
      <c r="B671" s="1">
        <v>46194</v>
      </c>
      <c r="C671" t="str">
        <f>TEXT(Amazon_Data_Set[[#This Row],[Order Date]],"mmm")</f>
        <v>Jun</v>
      </c>
      <c r="D671" t="s">
        <v>1382</v>
      </c>
      <c r="E671" t="s">
        <v>140</v>
      </c>
      <c r="F671" t="s">
        <v>141</v>
      </c>
      <c r="G671" t="s">
        <v>54</v>
      </c>
      <c r="H671" t="s">
        <v>38</v>
      </c>
      <c r="I671" t="s">
        <v>66</v>
      </c>
      <c r="J671" t="s">
        <v>67</v>
      </c>
      <c r="K671" t="s">
        <v>68</v>
      </c>
      <c r="L671" t="s">
        <v>1802</v>
      </c>
      <c r="M671" t="s">
        <v>106</v>
      </c>
      <c r="N671" t="s">
        <v>124</v>
      </c>
      <c r="O671" t="s">
        <v>45</v>
      </c>
      <c r="P671">
        <v>2</v>
      </c>
      <c r="Q671">
        <v>548.58000000000004</v>
      </c>
      <c r="R671" s="19">
        <v>0.15</v>
      </c>
      <c r="S671" s="21">
        <v>164.57</v>
      </c>
      <c r="T671">
        <v>1097.1600000000001</v>
      </c>
      <c r="U671" s="2">
        <v>932.59</v>
      </c>
      <c r="V671">
        <v>168.85</v>
      </c>
      <c r="W671">
        <v>633.08000000000004</v>
      </c>
      <c r="X671" s="2">
        <v>130.66</v>
      </c>
      <c r="Y671">
        <v>0.1401</v>
      </c>
      <c r="Z671">
        <v>1</v>
      </c>
      <c r="AA671" t="s">
        <v>46</v>
      </c>
      <c r="AB671" t="s">
        <v>47</v>
      </c>
      <c r="AD671">
        <v>4</v>
      </c>
      <c r="AE671" s="2">
        <v>977.36</v>
      </c>
      <c r="AF671">
        <v>0.95420000000000005</v>
      </c>
      <c r="AG671" t="s">
        <v>49</v>
      </c>
      <c r="AH671" s="23">
        <f>SUM(Amazon_Data_Set[[#This Row],[Gross Sales]]-Amazon_Data_Set[[#This Row],[Discount Amount]])</f>
        <v>932.59000000000015</v>
      </c>
    </row>
    <row r="672" spans="1:34">
      <c r="A672" t="s">
        <v>1803</v>
      </c>
      <c r="B672" s="1">
        <v>46087</v>
      </c>
      <c r="C672" t="str">
        <f>TEXT(Amazon_Data_Set[[#This Row],[Order Date]],"mmm")</f>
        <v>Mar</v>
      </c>
      <c r="D672" t="s">
        <v>1804</v>
      </c>
      <c r="E672" t="s">
        <v>275</v>
      </c>
      <c r="F672" t="s">
        <v>276</v>
      </c>
      <c r="G672" t="s">
        <v>37</v>
      </c>
      <c r="H672" t="s">
        <v>90</v>
      </c>
      <c r="I672" t="s">
        <v>91</v>
      </c>
      <c r="J672" t="s">
        <v>443</v>
      </c>
      <c r="K672" t="s">
        <v>444</v>
      </c>
      <c r="L672" t="s">
        <v>1805</v>
      </c>
      <c r="M672" t="s">
        <v>106</v>
      </c>
      <c r="N672" t="s">
        <v>77</v>
      </c>
      <c r="O672" t="s">
        <v>130</v>
      </c>
      <c r="P672">
        <v>2</v>
      </c>
      <c r="Q672">
        <v>733.66</v>
      </c>
      <c r="R672" s="19">
        <v>0</v>
      </c>
      <c r="S672" s="21">
        <v>0</v>
      </c>
      <c r="T672">
        <v>1467.32</v>
      </c>
      <c r="U672" s="2">
        <v>1467.32</v>
      </c>
      <c r="V672">
        <v>172.28</v>
      </c>
      <c r="W672">
        <v>769.97</v>
      </c>
      <c r="X672" s="2">
        <v>525.07000000000005</v>
      </c>
      <c r="Y672">
        <v>0.35780000000000001</v>
      </c>
      <c r="Z672">
        <v>5</v>
      </c>
      <c r="AA672" t="s">
        <v>131</v>
      </c>
      <c r="AB672" t="s">
        <v>47</v>
      </c>
      <c r="AE672" s="2">
        <v>1314.01</v>
      </c>
      <c r="AF672">
        <v>1.1167</v>
      </c>
      <c r="AG672" t="s">
        <v>49</v>
      </c>
      <c r="AH672" s="23">
        <f>SUM(Amazon_Data_Set[[#This Row],[Gross Sales]]-Amazon_Data_Set[[#This Row],[Discount Amount]])</f>
        <v>1467.32</v>
      </c>
    </row>
    <row r="673" spans="1:34">
      <c r="A673" t="s">
        <v>1806</v>
      </c>
      <c r="B673" s="1">
        <v>46235</v>
      </c>
      <c r="C673" t="str">
        <f>TEXT(Amazon_Data_Set[[#This Row],[Order Date]],"mmm")</f>
        <v>Aug</v>
      </c>
      <c r="D673" t="s">
        <v>714</v>
      </c>
      <c r="E673" t="s">
        <v>109</v>
      </c>
      <c r="F673" t="s">
        <v>110</v>
      </c>
      <c r="G673" t="s">
        <v>111</v>
      </c>
      <c r="H673" t="s">
        <v>55</v>
      </c>
      <c r="I673" t="s">
        <v>56</v>
      </c>
      <c r="J673" t="s">
        <v>448</v>
      </c>
      <c r="K673" t="s">
        <v>170</v>
      </c>
      <c r="L673" t="s">
        <v>1807</v>
      </c>
      <c r="M673" t="s">
        <v>106</v>
      </c>
      <c r="N673" t="s">
        <v>124</v>
      </c>
      <c r="O673" t="s">
        <v>45</v>
      </c>
      <c r="P673">
        <v>4</v>
      </c>
      <c r="Q673">
        <v>3569.1</v>
      </c>
      <c r="R673" s="19">
        <v>0.15</v>
      </c>
      <c r="S673" s="21">
        <v>2141.46</v>
      </c>
      <c r="T673">
        <v>14276.4</v>
      </c>
      <c r="U673" s="2">
        <v>12134.94</v>
      </c>
      <c r="V673">
        <v>231.74</v>
      </c>
      <c r="W673">
        <v>7417.08</v>
      </c>
      <c r="X673" s="2">
        <v>4486.12</v>
      </c>
      <c r="Y673">
        <v>0.36969999999999997</v>
      </c>
      <c r="Z673">
        <v>4</v>
      </c>
      <c r="AA673" t="s">
        <v>46</v>
      </c>
      <c r="AB673" t="s">
        <v>47</v>
      </c>
      <c r="AD673">
        <v>3</v>
      </c>
      <c r="AE673" s="2">
        <v>11429.98</v>
      </c>
      <c r="AF673">
        <v>1.0617000000000001</v>
      </c>
      <c r="AG673" t="s">
        <v>49</v>
      </c>
      <c r="AH673" s="23">
        <f>SUM(Amazon_Data_Set[[#This Row],[Gross Sales]]-Amazon_Data_Set[[#This Row],[Discount Amount]])</f>
        <v>12134.939999999999</v>
      </c>
    </row>
    <row r="674" spans="1:34">
      <c r="A674" t="s">
        <v>1808</v>
      </c>
      <c r="B674" s="1">
        <v>46317</v>
      </c>
      <c r="C674" t="str">
        <f>TEXT(Amazon_Data_Set[[#This Row],[Order Date]],"mmm")</f>
        <v>Oct</v>
      </c>
      <c r="D674" t="s">
        <v>951</v>
      </c>
      <c r="E674" t="s">
        <v>228</v>
      </c>
      <c r="F674" t="s">
        <v>229</v>
      </c>
      <c r="G674" t="s">
        <v>37</v>
      </c>
      <c r="H674" t="s">
        <v>90</v>
      </c>
      <c r="I674" t="s">
        <v>91</v>
      </c>
      <c r="J674" t="s">
        <v>313</v>
      </c>
      <c r="K674" t="s">
        <v>314</v>
      </c>
      <c r="L674" t="s">
        <v>1809</v>
      </c>
      <c r="M674" t="s">
        <v>43</v>
      </c>
      <c r="N674" t="s">
        <v>124</v>
      </c>
      <c r="O674" t="s">
        <v>45</v>
      </c>
      <c r="P674">
        <v>4</v>
      </c>
      <c r="Q674">
        <v>949.26</v>
      </c>
      <c r="R674" s="19">
        <v>0.15</v>
      </c>
      <c r="S674" s="21">
        <v>569.55999999999995</v>
      </c>
      <c r="T674">
        <v>3797.04</v>
      </c>
      <c r="U674" s="2">
        <v>3227.48</v>
      </c>
      <c r="V674">
        <v>187</v>
      </c>
      <c r="W674">
        <v>2271.77</v>
      </c>
      <c r="X674" s="2">
        <v>768.71</v>
      </c>
      <c r="Y674">
        <v>0.2382</v>
      </c>
      <c r="Z674">
        <v>2</v>
      </c>
      <c r="AA674" t="s">
        <v>46</v>
      </c>
      <c r="AB674" t="s">
        <v>47</v>
      </c>
      <c r="AD674">
        <v>4</v>
      </c>
      <c r="AE674" s="2">
        <v>3777.1</v>
      </c>
      <c r="AF674">
        <v>0.85450000000000004</v>
      </c>
      <c r="AG674" t="s">
        <v>347</v>
      </c>
      <c r="AH674" s="23">
        <f>SUM(Amazon_Data_Set[[#This Row],[Gross Sales]]-Amazon_Data_Set[[#This Row],[Discount Amount]])</f>
        <v>3227.48</v>
      </c>
    </row>
    <row r="675" spans="1:34">
      <c r="A675" t="s">
        <v>1810</v>
      </c>
      <c r="B675" s="1">
        <v>46143</v>
      </c>
      <c r="C675" t="str">
        <f>TEXT(Amazon_Data_Set[[#This Row],[Order Date]],"mmm")</f>
        <v>May</v>
      </c>
      <c r="D675" t="s">
        <v>1811</v>
      </c>
      <c r="E675" t="s">
        <v>35</v>
      </c>
      <c r="F675" t="s">
        <v>36</v>
      </c>
      <c r="G675" t="s">
        <v>37</v>
      </c>
      <c r="H675" t="s">
        <v>83</v>
      </c>
      <c r="I675" t="s">
        <v>84</v>
      </c>
      <c r="J675" t="s">
        <v>277</v>
      </c>
      <c r="K675" t="s">
        <v>86</v>
      </c>
      <c r="L675" t="s">
        <v>1812</v>
      </c>
      <c r="M675" t="s">
        <v>106</v>
      </c>
      <c r="N675" t="s">
        <v>44</v>
      </c>
      <c r="O675" t="s">
        <v>45</v>
      </c>
      <c r="P675">
        <v>2</v>
      </c>
      <c r="Q675">
        <v>2465.25</v>
      </c>
      <c r="R675" s="19">
        <v>0.2</v>
      </c>
      <c r="S675" s="21">
        <v>986.1</v>
      </c>
      <c r="T675">
        <v>4930.5</v>
      </c>
      <c r="U675" s="2">
        <v>3944.4</v>
      </c>
      <c r="V675">
        <v>190.82</v>
      </c>
      <c r="W675">
        <v>2630.67</v>
      </c>
      <c r="X675" s="2">
        <v>1122.9100000000001</v>
      </c>
      <c r="Y675">
        <v>0.28470000000000001</v>
      </c>
      <c r="Z675">
        <v>2</v>
      </c>
      <c r="AA675" t="s">
        <v>46</v>
      </c>
      <c r="AB675" t="s">
        <v>47</v>
      </c>
      <c r="AD675">
        <v>4</v>
      </c>
      <c r="AE675" s="2">
        <v>4202.8</v>
      </c>
      <c r="AF675">
        <v>0.9385</v>
      </c>
      <c r="AG675" t="s">
        <v>49</v>
      </c>
      <c r="AH675" s="23">
        <f>SUM(Amazon_Data_Set[[#This Row],[Gross Sales]]-Amazon_Data_Set[[#This Row],[Discount Amount]])</f>
        <v>3944.4</v>
      </c>
    </row>
    <row r="676" spans="1:34">
      <c r="A676" t="s">
        <v>1813</v>
      </c>
      <c r="B676" s="1">
        <v>46162</v>
      </c>
      <c r="C676" t="str">
        <f>TEXT(Amazon_Data_Set[[#This Row],[Order Date]],"mmm")</f>
        <v>May</v>
      </c>
      <c r="D676" t="s">
        <v>1281</v>
      </c>
      <c r="E676" t="s">
        <v>194</v>
      </c>
      <c r="F676" t="s">
        <v>195</v>
      </c>
      <c r="G676" t="s">
        <v>111</v>
      </c>
      <c r="H676" t="s">
        <v>83</v>
      </c>
      <c r="I676" t="s">
        <v>188</v>
      </c>
      <c r="J676" t="s">
        <v>690</v>
      </c>
      <c r="K676" t="s">
        <v>691</v>
      </c>
      <c r="L676" t="s">
        <v>1814</v>
      </c>
      <c r="M676" t="s">
        <v>106</v>
      </c>
      <c r="N676" t="s">
        <v>60</v>
      </c>
      <c r="O676" t="s">
        <v>96</v>
      </c>
      <c r="P676">
        <v>5</v>
      </c>
      <c r="Q676">
        <v>2264.2600000000002</v>
      </c>
      <c r="R676" s="19">
        <v>0</v>
      </c>
      <c r="S676" s="21">
        <v>0</v>
      </c>
      <c r="T676">
        <v>11321.3</v>
      </c>
      <c r="U676" s="2">
        <v>11321.3</v>
      </c>
      <c r="V676">
        <v>62.45</v>
      </c>
      <c r="W676">
        <v>8430.6200000000008</v>
      </c>
      <c r="X676" s="2">
        <v>2828.23</v>
      </c>
      <c r="Y676">
        <v>0.24979999999999999</v>
      </c>
      <c r="Z676">
        <v>0</v>
      </c>
      <c r="AA676" t="s">
        <v>97</v>
      </c>
      <c r="AB676" t="s">
        <v>47</v>
      </c>
      <c r="AE676" s="2">
        <v>13752.67</v>
      </c>
      <c r="AF676">
        <v>0.82320000000000004</v>
      </c>
      <c r="AG676" t="s">
        <v>49</v>
      </c>
      <c r="AH676" s="23">
        <f>SUM(Amazon_Data_Set[[#This Row],[Gross Sales]]-Amazon_Data_Set[[#This Row],[Discount Amount]])</f>
        <v>11321.3</v>
      </c>
    </row>
    <row r="677" spans="1:34">
      <c r="A677" t="s">
        <v>1815</v>
      </c>
      <c r="B677" s="1">
        <v>46146</v>
      </c>
      <c r="C677" t="str">
        <f>TEXT(Amazon_Data_Set[[#This Row],[Order Date]],"mmm")</f>
        <v>May</v>
      </c>
      <c r="D677" t="s">
        <v>856</v>
      </c>
      <c r="E677" t="s">
        <v>194</v>
      </c>
      <c r="F677" t="s">
        <v>195</v>
      </c>
      <c r="G677" t="s">
        <v>111</v>
      </c>
      <c r="H677" t="s">
        <v>38</v>
      </c>
      <c r="I677" t="s">
        <v>39</v>
      </c>
      <c r="J677" t="s">
        <v>155</v>
      </c>
      <c r="K677" t="s">
        <v>156</v>
      </c>
      <c r="L677" t="s">
        <v>1816</v>
      </c>
      <c r="M677" t="s">
        <v>106</v>
      </c>
      <c r="N677" t="s">
        <v>77</v>
      </c>
      <c r="O677" t="s">
        <v>45</v>
      </c>
      <c r="P677">
        <v>4</v>
      </c>
      <c r="Q677">
        <v>3140.41</v>
      </c>
      <c r="R677" s="19">
        <v>0.2</v>
      </c>
      <c r="S677" s="21">
        <v>2512.33</v>
      </c>
      <c r="T677">
        <v>12561.64</v>
      </c>
      <c r="U677" s="2">
        <v>10049.31</v>
      </c>
      <c r="V677">
        <v>94.36</v>
      </c>
      <c r="W677">
        <v>6649.27</v>
      </c>
      <c r="X677" s="2">
        <v>3305.68</v>
      </c>
      <c r="Y677">
        <v>0.32890000000000003</v>
      </c>
      <c r="Z677">
        <v>7</v>
      </c>
      <c r="AA677" t="s">
        <v>61</v>
      </c>
      <c r="AB677" t="s">
        <v>47</v>
      </c>
      <c r="AD677">
        <v>4</v>
      </c>
      <c r="AE677" s="2">
        <v>10540.42</v>
      </c>
      <c r="AF677">
        <v>0.95340000000000003</v>
      </c>
      <c r="AG677" t="s">
        <v>49</v>
      </c>
      <c r="AH677" s="23">
        <f>SUM(Amazon_Data_Set[[#This Row],[Gross Sales]]-Amazon_Data_Set[[#This Row],[Discount Amount]])</f>
        <v>10049.31</v>
      </c>
    </row>
    <row r="678" spans="1:34">
      <c r="A678" t="s">
        <v>1817</v>
      </c>
      <c r="B678" s="1">
        <v>46341</v>
      </c>
      <c r="C678" t="str">
        <f>TEXT(Amazon_Data_Set[[#This Row],[Order Date]],"mmm")</f>
        <v>Nov</v>
      </c>
      <c r="D678" t="s">
        <v>479</v>
      </c>
      <c r="E678" t="s">
        <v>235</v>
      </c>
      <c r="F678" t="s">
        <v>236</v>
      </c>
      <c r="G678" t="s">
        <v>82</v>
      </c>
      <c r="H678" t="s">
        <v>142</v>
      </c>
      <c r="I678" t="s">
        <v>143</v>
      </c>
      <c r="J678" t="s">
        <v>144</v>
      </c>
      <c r="K678" t="s">
        <v>145</v>
      </c>
      <c r="L678" t="s">
        <v>1818</v>
      </c>
      <c r="M678" t="s">
        <v>106</v>
      </c>
      <c r="N678" t="s">
        <v>124</v>
      </c>
      <c r="O678" t="s">
        <v>45</v>
      </c>
      <c r="P678">
        <v>5</v>
      </c>
      <c r="Q678">
        <v>4547.88</v>
      </c>
      <c r="R678" s="19">
        <v>0.15</v>
      </c>
      <c r="S678" s="21">
        <v>3410.91</v>
      </c>
      <c r="T678">
        <v>22739.4</v>
      </c>
      <c r="U678" s="2">
        <v>19328.490000000002</v>
      </c>
      <c r="V678">
        <v>127.58</v>
      </c>
      <c r="W678">
        <v>13232.32</v>
      </c>
      <c r="X678" s="2">
        <v>5968.59</v>
      </c>
      <c r="Y678">
        <v>0.30880000000000002</v>
      </c>
      <c r="Z678">
        <v>6</v>
      </c>
      <c r="AA678" t="s">
        <v>61</v>
      </c>
      <c r="AB678" t="s">
        <v>47</v>
      </c>
      <c r="AD678">
        <v>4</v>
      </c>
      <c r="AE678" s="2">
        <v>19896.009999999998</v>
      </c>
      <c r="AF678">
        <v>0.97150000000000003</v>
      </c>
      <c r="AG678" t="s">
        <v>49</v>
      </c>
      <c r="AH678" s="23">
        <f>SUM(Amazon_Data_Set[[#This Row],[Gross Sales]]-Amazon_Data_Set[[#This Row],[Discount Amount]])</f>
        <v>19328.490000000002</v>
      </c>
    </row>
    <row r="679" spans="1:34">
      <c r="A679" t="s">
        <v>1819</v>
      </c>
      <c r="B679" s="1">
        <v>46276</v>
      </c>
      <c r="C679" t="str">
        <f>TEXT(Amazon_Data_Set[[#This Row],[Order Date]],"mmm")</f>
        <v>Sep</v>
      </c>
      <c r="D679" t="s">
        <v>1361</v>
      </c>
      <c r="E679" t="s">
        <v>80</v>
      </c>
      <c r="F679" t="s">
        <v>81</v>
      </c>
      <c r="G679" t="s">
        <v>82</v>
      </c>
      <c r="H679" t="s">
        <v>55</v>
      </c>
      <c r="I679" t="s">
        <v>56</v>
      </c>
      <c r="J679" t="s">
        <v>582</v>
      </c>
      <c r="K679" t="s">
        <v>583</v>
      </c>
      <c r="L679" t="s">
        <v>1820</v>
      </c>
      <c r="M679" t="s">
        <v>43</v>
      </c>
      <c r="N679" t="s">
        <v>60</v>
      </c>
      <c r="O679" t="s">
        <v>45</v>
      </c>
      <c r="P679">
        <v>2</v>
      </c>
      <c r="Q679">
        <v>60013.34</v>
      </c>
      <c r="R679" s="19">
        <v>0</v>
      </c>
      <c r="S679" s="21">
        <v>0</v>
      </c>
      <c r="T679">
        <v>120026.68</v>
      </c>
      <c r="U679" s="2">
        <v>120026.68</v>
      </c>
      <c r="V679">
        <v>142.59</v>
      </c>
      <c r="W679">
        <v>70845.34</v>
      </c>
      <c r="X679" s="2">
        <v>49038.75</v>
      </c>
      <c r="Y679">
        <v>0.40860000000000002</v>
      </c>
      <c r="Z679">
        <v>7</v>
      </c>
      <c r="AA679" t="s">
        <v>61</v>
      </c>
      <c r="AB679" t="s">
        <v>47</v>
      </c>
      <c r="AD679">
        <v>5</v>
      </c>
      <c r="AE679" s="2">
        <v>105284.14</v>
      </c>
      <c r="AF679">
        <v>1.1399999999999999</v>
      </c>
      <c r="AG679" t="s">
        <v>49</v>
      </c>
      <c r="AH679" s="23">
        <f>SUM(Amazon_Data_Set[[#This Row],[Gross Sales]]-Amazon_Data_Set[[#This Row],[Discount Amount]])</f>
        <v>120026.68</v>
      </c>
    </row>
    <row r="680" spans="1:34">
      <c r="A680" t="s">
        <v>1821</v>
      </c>
      <c r="B680" s="1">
        <v>46244</v>
      </c>
      <c r="C680" t="str">
        <f>TEXT(Amazon_Data_Set[[#This Row],[Order Date]],"mmm")</f>
        <v>Aug</v>
      </c>
      <c r="D680" t="s">
        <v>322</v>
      </c>
      <c r="E680" t="s">
        <v>235</v>
      </c>
      <c r="F680" t="s">
        <v>236</v>
      </c>
      <c r="G680" t="s">
        <v>82</v>
      </c>
      <c r="H680" t="s">
        <v>55</v>
      </c>
      <c r="I680" t="s">
        <v>56</v>
      </c>
      <c r="J680" t="s">
        <v>366</v>
      </c>
      <c r="K680" t="s">
        <v>367</v>
      </c>
      <c r="L680" t="s">
        <v>1822</v>
      </c>
      <c r="M680" t="s">
        <v>106</v>
      </c>
      <c r="N680" t="s">
        <v>44</v>
      </c>
      <c r="O680" t="s">
        <v>45</v>
      </c>
      <c r="P680">
        <v>1</v>
      </c>
      <c r="Q680">
        <v>41329.47</v>
      </c>
      <c r="R680" s="19">
        <v>0.2</v>
      </c>
      <c r="S680" s="21">
        <v>8265.89</v>
      </c>
      <c r="T680">
        <v>41329.47</v>
      </c>
      <c r="U680" s="2">
        <v>33063.58</v>
      </c>
      <c r="V680">
        <v>46.46</v>
      </c>
      <c r="W680">
        <v>23941.37</v>
      </c>
      <c r="X680" s="2">
        <v>9075.75</v>
      </c>
      <c r="Y680">
        <v>0.27450000000000002</v>
      </c>
      <c r="Z680">
        <v>8</v>
      </c>
      <c r="AA680" t="s">
        <v>61</v>
      </c>
      <c r="AB680" t="s">
        <v>47</v>
      </c>
      <c r="AD680">
        <v>5</v>
      </c>
      <c r="AE680" s="2">
        <v>33163.519999999997</v>
      </c>
      <c r="AF680">
        <v>0.997</v>
      </c>
      <c r="AG680" t="s">
        <v>49</v>
      </c>
      <c r="AH680" s="23">
        <f>SUM(Amazon_Data_Set[[#This Row],[Gross Sales]]-Amazon_Data_Set[[#This Row],[Discount Amount]])</f>
        <v>33063.58</v>
      </c>
    </row>
    <row r="681" spans="1:34">
      <c r="A681" t="s">
        <v>1823</v>
      </c>
      <c r="B681" s="1">
        <v>46279</v>
      </c>
      <c r="C681" t="str">
        <f>TEXT(Amazon_Data_Set[[#This Row],[Order Date]],"mmm")</f>
        <v>Sep</v>
      </c>
      <c r="D681" t="s">
        <v>914</v>
      </c>
      <c r="E681" t="s">
        <v>80</v>
      </c>
      <c r="F681" t="s">
        <v>81</v>
      </c>
      <c r="G681" t="s">
        <v>82</v>
      </c>
      <c r="H681" t="s">
        <v>142</v>
      </c>
      <c r="I681" t="s">
        <v>143</v>
      </c>
      <c r="J681" t="s">
        <v>144</v>
      </c>
      <c r="K681" t="s">
        <v>145</v>
      </c>
      <c r="L681" t="s">
        <v>1824</v>
      </c>
      <c r="M681" t="s">
        <v>106</v>
      </c>
      <c r="N681" t="s">
        <v>60</v>
      </c>
      <c r="O681" t="s">
        <v>45</v>
      </c>
      <c r="P681">
        <v>4</v>
      </c>
      <c r="Q681">
        <v>747.61</v>
      </c>
      <c r="R681" s="19">
        <v>0.15</v>
      </c>
      <c r="S681" s="21">
        <v>448.57</v>
      </c>
      <c r="T681">
        <v>2990.44</v>
      </c>
      <c r="U681" s="2">
        <v>2541.87</v>
      </c>
      <c r="V681">
        <v>89.98</v>
      </c>
      <c r="W681">
        <v>1833.77</v>
      </c>
      <c r="X681" s="2">
        <v>618.12</v>
      </c>
      <c r="Y681">
        <v>0.2432</v>
      </c>
      <c r="Z681">
        <v>2</v>
      </c>
      <c r="AA681" t="s">
        <v>46</v>
      </c>
      <c r="AB681" t="s">
        <v>47</v>
      </c>
      <c r="AD681">
        <v>4</v>
      </c>
      <c r="AE681" s="2">
        <v>2944.57</v>
      </c>
      <c r="AF681">
        <v>0.86319999999999997</v>
      </c>
      <c r="AG681" t="s">
        <v>49</v>
      </c>
      <c r="AH681" s="23">
        <f>SUM(Amazon_Data_Set[[#This Row],[Gross Sales]]-Amazon_Data_Set[[#This Row],[Discount Amount]])</f>
        <v>2541.87</v>
      </c>
    </row>
    <row r="682" spans="1:34">
      <c r="A682" t="s">
        <v>1825</v>
      </c>
      <c r="B682" s="1">
        <v>46224</v>
      </c>
      <c r="C682" t="str">
        <f>TEXT(Amazon_Data_Set[[#This Row],[Order Date]],"mmm")</f>
        <v>Jul</v>
      </c>
      <c r="D682" t="s">
        <v>1826</v>
      </c>
      <c r="E682" t="s">
        <v>109</v>
      </c>
      <c r="F682" t="s">
        <v>110</v>
      </c>
      <c r="G682" t="s">
        <v>111</v>
      </c>
      <c r="H682" t="s">
        <v>142</v>
      </c>
      <c r="I682" t="s">
        <v>209</v>
      </c>
      <c r="J682" t="s">
        <v>210</v>
      </c>
      <c r="K682" t="s">
        <v>201</v>
      </c>
      <c r="L682" t="s">
        <v>1827</v>
      </c>
      <c r="M682" t="s">
        <v>106</v>
      </c>
      <c r="N682" t="s">
        <v>77</v>
      </c>
      <c r="O682" t="s">
        <v>45</v>
      </c>
      <c r="P682">
        <v>2</v>
      </c>
      <c r="Q682">
        <v>737.81</v>
      </c>
      <c r="R682" s="19">
        <v>0.25</v>
      </c>
      <c r="S682" s="21">
        <v>368.9</v>
      </c>
      <c r="T682">
        <v>1475.62</v>
      </c>
      <c r="U682" s="2">
        <v>1106.72</v>
      </c>
      <c r="V682">
        <v>73.58</v>
      </c>
      <c r="W682">
        <v>779.73</v>
      </c>
      <c r="X682" s="2">
        <v>253.41</v>
      </c>
      <c r="Y682">
        <v>0.22900000000000001</v>
      </c>
      <c r="Z682">
        <v>2</v>
      </c>
      <c r="AA682" t="s">
        <v>46</v>
      </c>
      <c r="AB682" t="s">
        <v>47</v>
      </c>
      <c r="AD682">
        <v>4</v>
      </c>
      <c r="AE682" s="2">
        <v>1258.33</v>
      </c>
      <c r="AF682">
        <v>0.87949999999999995</v>
      </c>
      <c r="AG682" t="s">
        <v>49</v>
      </c>
      <c r="AH682" s="23">
        <f>SUM(Amazon_Data_Set[[#This Row],[Gross Sales]]-Amazon_Data_Set[[#This Row],[Discount Amount]])</f>
        <v>1106.7199999999998</v>
      </c>
    </row>
    <row r="683" spans="1:34">
      <c r="A683" t="s">
        <v>1828</v>
      </c>
      <c r="B683" s="1">
        <v>46254</v>
      </c>
      <c r="C683" t="str">
        <f>TEXT(Amazon_Data_Set[[#This Row],[Order Date]],"mmm")</f>
        <v>Aug</v>
      </c>
      <c r="D683" t="s">
        <v>263</v>
      </c>
      <c r="E683" t="s">
        <v>100</v>
      </c>
      <c r="F683" t="s">
        <v>179</v>
      </c>
      <c r="G683" t="s">
        <v>54</v>
      </c>
      <c r="H683" t="s">
        <v>55</v>
      </c>
      <c r="I683" t="s">
        <v>73</v>
      </c>
      <c r="J683" t="s">
        <v>230</v>
      </c>
      <c r="K683" t="s">
        <v>231</v>
      </c>
      <c r="L683" t="s">
        <v>1829</v>
      </c>
      <c r="M683" t="s">
        <v>106</v>
      </c>
      <c r="N683" t="s">
        <v>70</v>
      </c>
      <c r="O683" t="s">
        <v>45</v>
      </c>
      <c r="P683">
        <v>2</v>
      </c>
      <c r="Q683">
        <v>34338.839999999997</v>
      </c>
      <c r="R683" s="19">
        <v>0.3</v>
      </c>
      <c r="S683" s="21">
        <v>20603.3</v>
      </c>
      <c r="T683">
        <v>68677.679999999993</v>
      </c>
      <c r="U683" s="2">
        <v>48074.38</v>
      </c>
      <c r="V683">
        <v>247.99</v>
      </c>
      <c r="W683">
        <v>29774.53</v>
      </c>
      <c r="X683" s="2">
        <v>18051.86</v>
      </c>
      <c r="Y683">
        <v>0.3755</v>
      </c>
      <c r="Z683">
        <v>8</v>
      </c>
      <c r="AA683" t="s">
        <v>61</v>
      </c>
      <c r="AB683" t="s">
        <v>47</v>
      </c>
      <c r="AD683">
        <v>5</v>
      </c>
      <c r="AE683" s="2">
        <v>56986.25</v>
      </c>
      <c r="AF683">
        <v>0.84360000000000002</v>
      </c>
      <c r="AG683" t="s">
        <v>49</v>
      </c>
      <c r="AH683" s="23">
        <f>SUM(Amazon_Data_Set[[#This Row],[Gross Sales]]-Amazon_Data_Set[[#This Row],[Discount Amount]])</f>
        <v>48074.37999999999</v>
      </c>
    </row>
    <row r="684" spans="1:34">
      <c r="A684" t="s">
        <v>1830</v>
      </c>
      <c r="B684" s="1">
        <v>46368</v>
      </c>
      <c r="C684" t="str">
        <f>TEXT(Amazon_Data_Set[[#This Row],[Order Date]],"mmm")</f>
        <v>Dec</v>
      </c>
      <c r="D684" t="s">
        <v>1754</v>
      </c>
      <c r="E684" t="s">
        <v>140</v>
      </c>
      <c r="F684" t="s">
        <v>141</v>
      </c>
      <c r="G684" t="s">
        <v>54</v>
      </c>
      <c r="H684" t="s">
        <v>142</v>
      </c>
      <c r="I684" t="s">
        <v>214</v>
      </c>
      <c r="J684" t="s">
        <v>215</v>
      </c>
      <c r="K684" t="s">
        <v>216</v>
      </c>
      <c r="L684" t="s">
        <v>1831</v>
      </c>
      <c r="M684" t="s">
        <v>106</v>
      </c>
      <c r="N684" t="s">
        <v>124</v>
      </c>
      <c r="O684" t="s">
        <v>130</v>
      </c>
      <c r="P684">
        <v>1</v>
      </c>
      <c r="Q684">
        <v>8109.28</v>
      </c>
      <c r="R684" s="19">
        <v>0</v>
      </c>
      <c r="S684" s="21">
        <v>0</v>
      </c>
      <c r="T684">
        <v>8109.28</v>
      </c>
      <c r="U684" s="2">
        <v>8109.28</v>
      </c>
      <c r="V684">
        <v>214.68</v>
      </c>
      <c r="W684">
        <v>5059.79</v>
      </c>
      <c r="X684" s="2">
        <v>2834.81</v>
      </c>
      <c r="Y684">
        <v>0.34960000000000002</v>
      </c>
      <c r="Z684">
        <v>2</v>
      </c>
      <c r="AA684" t="s">
        <v>131</v>
      </c>
      <c r="AB684" t="s">
        <v>47</v>
      </c>
      <c r="AE684" s="2">
        <v>8616.32</v>
      </c>
      <c r="AF684">
        <v>0.94120000000000004</v>
      </c>
      <c r="AG684" t="s">
        <v>49</v>
      </c>
      <c r="AH684" s="23">
        <f>SUM(Amazon_Data_Set[[#This Row],[Gross Sales]]-Amazon_Data_Set[[#This Row],[Discount Amount]])</f>
        <v>8109.28</v>
      </c>
    </row>
    <row r="685" spans="1:34">
      <c r="A685" t="s">
        <v>1832</v>
      </c>
      <c r="B685" s="1">
        <v>46100</v>
      </c>
      <c r="C685" t="str">
        <f>TEXT(Amazon_Data_Set[[#This Row],[Order Date]],"mmm")</f>
        <v>Mar</v>
      </c>
      <c r="D685" t="s">
        <v>285</v>
      </c>
      <c r="E685" t="s">
        <v>109</v>
      </c>
      <c r="F685" t="s">
        <v>110</v>
      </c>
      <c r="G685" t="s">
        <v>111</v>
      </c>
      <c r="H685" t="s">
        <v>142</v>
      </c>
      <c r="I685" t="s">
        <v>143</v>
      </c>
      <c r="J685" t="s">
        <v>200</v>
      </c>
      <c r="K685" t="s">
        <v>201</v>
      </c>
      <c r="L685" t="s">
        <v>1833</v>
      </c>
      <c r="M685" t="s">
        <v>43</v>
      </c>
      <c r="N685" t="s">
        <v>95</v>
      </c>
      <c r="O685" t="s">
        <v>130</v>
      </c>
      <c r="P685">
        <v>5</v>
      </c>
      <c r="Q685">
        <v>2569.25</v>
      </c>
      <c r="R685" s="19">
        <v>0.25</v>
      </c>
      <c r="S685" s="21">
        <v>3211.56</v>
      </c>
      <c r="T685">
        <v>12846.25</v>
      </c>
      <c r="U685" s="2">
        <v>9634.69</v>
      </c>
      <c r="V685">
        <v>91.55</v>
      </c>
      <c r="W685">
        <v>6974.71</v>
      </c>
      <c r="X685" s="2">
        <v>2568.4299999999998</v>
      </c>
      <c r="Y685">
        <v>0.2666</v>
      </c>
      <c r="Z685">
        <v>5</v>
      </c>
      <c r="AA685" t="s">
        <v>131</v>
      </c>
      <c r="AB685" t="s">
        <v>47</v>
      </c>
      <c r="AE685" s="2">
        <v>9843.16</v>
      </c>
      <c r="AF685">
        <v>0.9788</v>
      </c>
      <c r="AG685" t="s">
        <v>49</v>
      </c>
      <c r="AH685" s="23">
        <f>SUM(Amazon_Data_Set[[#This Row],[Gross Sales]]-Amazon_Data_Set[[#This Row],[Discount Amount]])</f>
        <v>9634.69</v>
      </c>
    </row>
    <row r="686" spans="1:34">
      <c r="A686" t="s">
        <v>1834</v>
      </c>
      <c r="B686" s="1">
        <v>46363</v>
      </c>
      <c r="C686" t="str">
        <f>TEXT(Amazon_Data_Set[[#This Row],[Order Date]],"mmm")</f>
        <v>Dec</v>
      </c>
      <c r="D686" t="s">
        <v>1835</v>
      </c>
      <c r="E686" t="s">
        <v>194</v>
      </c>
      <c r="F686" t="s">
        <v>195</v>
      </c>
      <c r="G686" t="s">
        <v>111</v>
      </c>
      <c r="H686" t="s">
        <v>142</v>
      </c>
      <c r="I686" t="s">
        <v>214</v>
      </c>
      <c r="J686" t="s">
        <v>308</v>
      </c>
      <c r="K686" t="s">
        <v>309</v>
      </c>
      <c r="L686" t="s">
        <v>1836</v>
      </c>
      <c r="M686" t="s">
        <v>43</v>
      </c>
      <c r="N686" t="s">
        <v>60</v>
      </c>
      <c r="O686" t="s">
        <v>45</v>
      </c>
      <c r="P686">
        <v>3</v>
      </c>
      <c r="Q686">
        <v>4083.73</v>
      </c>
      <c r="R686" s="19">
        <v>0</v>
      </c>
      <c r="S686" s="21">
        <v>0</v>
      </c>
      <c r="T686">
        <v>12251.19</v>
      </c>
      <c r="U686" s="2">
        <v>12251.19</v>
      </c>
      <c r="V686">
        <v>12.51</v>
      </c>
      <c r="W686">
        <v>9088.1200000000008</v>
      </c>
      <c r="X686" s="2">
        <v>3150.56</v>
      </c>
      <c r="Y686">
        <v>0.25719999999999998</v>
      </c>
      <c r="Z686">
        <v>7</v>
      </c>
      <c r="AA686" t="s">
        <v>61</v>
      </c>
      <c r="AB686" t="s">
        <v>47</v>
      </c>
      <c r="AD686">
        <v>4</v>
      </c>
      <c r="AE686" s="2">
        <v>12174.75</v>
      </c>
      <c r="AF686">
        <v>1.0063</v>
      </c>
      <c r="AG686" t="s">
        <v>49</v>
      </c>
      <c r="AH686" s="23">
        <f>SUM(Amazon_Data_Set[[#This Row],[Gross Sales]]-Amazon_Data_Set[[#This Row],[Discount Amount]])</f>
        <v>12251.19</v>
      </c>
    </row>
    <row r="687" spans="1:34">
      <c r="A687" t="s">
        <v>1837</v>
      </c>
      <c r="B687" s="1">
        <v>46073</v>
      </c>
      <c r="C687" t="str">
        <f>TEXT(Amazon_Data_Set[[#This Row],[Order Date]],"mmm")</f>
        <v>Feb</v>
      </c>
      <c r="D687" t="s">
        <v>1048</v>
      </c>
      <c r="E687" t="s">
        <v>118</v>
      </c>
      <c r="F687" t="s">
        <v>119</v>
      </c>
      <c r="G687" t="s">
        <v>82</v>
      </c>
      <c r="H687" t="s">
        <v>55</v>
      </c>
      <c r="I687" t="s">
        <v>120</v>
      </c>
      <c r="J687" t="s">
        <v>121</v>
      </c>
      <c r="K687" t="s">
        <v>122</v>
      </c>
      <c r="L687" t="s">
        <v>1838</v>
      </c>
      <c r="M687" t="s">
        <v>106</v>
      </c>
      <c r="N687" t="s">
        <v>70</v>
      </c>
      <c r="O687" t="s">
        <v>45</v>
      </c>
      <c r="P687">
        <v>3</v>
      </c>
      <c r="Q687">
        <v>11972.13</v>
      </c>
      <c r="R687" s="19">
        <v>0.15</v>
      </c>
      <c r="S687" s="21">
        <v>5387.46</v>
      </c>
      <c r="T687">
        <v>35916.39</v>
      </c>
      <c r="U687" s="2">
        <v>30528.93</v>
      </c>
      <c r="V687">
        <v>112.2</v>
      </c>
      <c r="W687">
        <v>16056.33</v>
      </c>
      <c r="X687" s="2">
        <v>14360.4</v>
      </c>
      <c r="Y687">
        <v>0.47039999999999998</v>
      </c>
      <c r="Z687">
        <v>6</v>
      </c>
      <c r="AA687" t="s">
        <v>61</v>
      </c>
      <c r="AB687" t="s">
        <v>47</v>
      </c>
      <c r="AD687">
        <v>4</v>
      </c>
      <c r="AE687" s="2">
        <v>34773.85</v>
      </c>
      <c r="AF687">
        <v>0.87790000000000001</v>
      </c>
      <c r="AG687" t="s">
        <v>49</v>
      </c>
      <c r="AH687" s="23">
        <f>SUM(Amazon_Data_Set[[#This Row],[Gross Sales]]-Amazon_Data_Set[[#This Row],[Discount Amount]])</f>
        <v>30528.93</v>
      </c>
    </row>
    <row r="688" spans="1:34">
      <c r="A688" t="s">
        <v>1839</v>
      </c>
      <c r="B688" s="1">
        <v>46375</v>
      </c>
      <c r="C688" t="str">
        <f>TEXT(Amazon_Data_Set[[#This Row],[Order Date]],"mmm")</f>
        <v>Dec</v>
      </c>
      <c r="D688" t="s">
        <v>706</v>
      </c>
      <c r="E688" t="s">
        <v>64</v>
      </c>
      <c r="F688" t="s">
        <v>65</v>
      </c>
      <c r="G688" t="s">
        <v>54</v>
      </c>
      <c r="H688" t="s">
        <v>90</v>
      </c>
      <c r="I688" t="s">
        <v>112</v>
      </c>
      <c r="J688" t="s">
        <v>113</v>
      </c>
      <c r="K688" t="s">
        <v>114</v>
      </c>
      <c r="L688" t="s">
        <v>1840</v>
      </c>
      <c r="M688" t="s">
        <v>43</v>
      </c>
      <c r="N688" t="s">
        <v>44</v>
      </c>
      <c r="O688" t="s">
        <v>45</v>
      </c>
      <c r="P688">
        <v>2</v>
      </c>
      <c r="Q688">
        <v>300.23</v>
      </c>
      <c r="R688" s="19">
        <v>0.3</v>
      </c>
      <c r="S688" s="21">
        <v>180.14</v>
      </c>
      <c r="T688">
        <v>600.46</v>
      </c>
      <c r="U688" s="2">
        <v>420.32</v>
      </c>
      <c r="V688">
        <v>191.48</v>
      </c>
      <c r="W688">
        <v>267.91000000000003</v>
      </c>
      <c r="X688" s="2">
        <v>-39.07</v>
      </c>
      <c r="Y688">
        <v>-9.2999999999999999E-2</v>
      </c>
      <c r="Z688">
        <v>1</v>
      </c>
      <c r="AA688" t="s">
        <v>46</v>
      </c>
      <c r="AB688" t="s">
        <v>47</v>
      </c>
      <c r="AD688">
        <v>5</v>
      </c>
      <c r="AE688" s="2">
        <v>489.13</v>
      </c>
      <c r="AF688">
        <v>0.85929999999999995</v>
      </c>
      <c r="AG688" t="s">
        <v>49</v>
      </c>
      <c r="AH688" s="23">
        <f>SUM(Amazon_Data_Set[[#This Row],[Gross Sales]]-Amazon_Data_Set[[#This Row],[Discount Amount]])</f>
        <v>420.32000000000005</v>
      </c>
    </row>
    <row r="689" spans="1:34">
      <c r="A689" t="s">
        <v>1841</v>
      </c>
      <c r="B689" s="1">
        <v>46273</v>
      </c>
      <c r="C689" t="str">
        <f>TEXT(Amazon_Data_Set[[#This Row],[Order Date]],"mmm")</f>
        <v>Sep</v>
      </c>
      <c r="D689" t="s">
        <v>234</v>
      </c>
      <c r="E689" t="s">
        <v>149</v>
      </c>
      <c r="F689" t="s">
        <v>150</v>
      </c>
      <c r="G689" t="s">
        <v>37</v>
      </c>
      <c r="H689" t="s">
        <v>55</v>
      </c>
      <c r="I689" t="s">
        <v>120</v>
      </c>
      <c r="J689" t="s">
        <v>169</v>
      </c>
      <c r="K689" t="s">
        <v>170</v>
      </c>
      <c r="L689" t="s">
        <v>1842</v>
      </c>
      <c r="M689" t="s">
        <v>106</v>
      </c>
      <c r="N689" t="s">
        <v>95</v>
      </c>
      <c r="O689" t="s">
        <v>45</v>
      </c>
      <c r="P689">
        <v>3</v>
      </c>
      <c r="Q689">
        <v>16785.23</v>
      </c>
      <c r="R689" s="19">
        <v>0</v>
      </c>
      <c r="S689" s="21">
        <v>0</v>
      </c>
      <c r="T689">
        <v>50355.69</v>
      </c>
      <c r="U689" s="2">
        <v>50355.69</v>
      </c>
      <c r="V689">
        <v>55.36</v>
      </c>
      <c r="W689">
        <v>27362.68</v>
      </c>
      <c r="X689" s="2">
        <v>22937.65</v>
      </c>
      <c r="Y689">
        <v>0.45550000000000002</v>
      </c>
      <c r="Z689">
        <v>7</v>
      </c>
      <c r="AA689" t="s">
        <v>61</v>
      </c>
      <c r="AB689" t="s">
        <v>47</v>
      </c>
      <c r="AD689">
        <v>5</v>
      </c>
      <c r="AE689" s="2">
        <v>53767.51</v>
      </c>
      <c r="AF689">
        <v>0.9365</v>
      </c>
      <c r="AG689" t="s">
        <v>49</v>
      </c>
      <c r="AH689" s="23">
        <f>SUM(Amazon_Data_Set[[#This Row],[Gross Sales]]-Amazon_Data_Set[[#This Row],[Discount Amount]])</f>
        <v>50355.69</v>
      </c>
    </row>
    <row r="690" spans="1:34">
      <c r="A690" t="s">
        <v>1843</v>
      </c>
      <c r="B690" s="1">
        <v>46070</v>
      </c>
      <c r="C690" t="str">
        <f>TEXT(Amazon_Data_Set[[#This Row],[Order Date]],"mmm")</f>
        <v>Feb</v>
      </c>
      <c r="D690" t="s">
        <v>726</v>
      </c>
      <c r="E690" t="s">
        <v>109</v>
      </c>
      <c r="F690" t="s">
        <v>110</v>
      </c>
      <c r="G690" t="s">
        <v>111</v>
      </c>
      <c r="H690" t="s">
        <v>38</v>
      </c>
      <c r="I690" t="s">
        <v>66</v>
      </c>
      <c r="J690" t="s">
        <v>337</v>
      </c>
      <c r="K690" t="s">
        <v>224</v>
      </c>
      <c r="L690" t="s">
        <v>1844</v>
      </c>
      <c r="M690" t="s">
        <v>43</v>
      </c>
      <c r="N690" t="s">
        <v>124</v>
      </c>
      <c r="O690" t="s">
        <v>45</v>
      </c>
      <c r="P690">
        <v>4</v>
      </c>
      <c r="Q690">
        <v>1187.45</v>
      </c>
      <c r="R690" s="19">
        <v>0.25</v>
      </c>
      <c r="S690" s="21">
        <v>1187.45</v>
      </c>
      <c r="T690">
        <v>4749.8</v>
      </c>
      <c r="U690" s="2">
        <v>3562.35</v>
      </c>
      <c r="V690">
        <v>162.68</v>
      </c>
      <c r="W690">
        <v>1836.57</v>
      </c>
      <c r="X690" s="2">
        <v>1563.1</v>
      </c>
      <c r="Y690">
        <v>0.43880000000000002</v>
      </c>
      <c r="Z690">
        <v>7</v>
      </c>
      <c r="AA690" t="s">
        <v>61</v>
      </c>
      <c r="AB690" t="s">
        <v>47</v>
      </c>
      <c r="AD690">
        <v>4</v>
      </c>
      <c r="AE690" s="2">
        <v>4143.28</v>
      </c>
      <c r="AF690">
        <v>0.85980000000000001</v>
      </c>
      <c r="AG690" t="s">
        <v>49</v>
      </c>
      <c r="AH690" s="23">
        <f>SUM(Amazon_Data_Set[[#This Row],[Gross Sales]]-Amazon_Data_Set[[#This Row],[Discount Amount]])</f>
        <v>3562.3500000000004</v>
      </c>
    </row>
    <row r="691" spans="1:34">
      <c r="A691" t="s">
        <v>1845</v>
      </c>
      <c r="B691" s="1">
        <v>46295</v>
      </c>
      <c r="C691" t="str">
        <f>TEXT(Amazon_Data_Set[[#This Row],[Order Date]],"mmm")</f>
        <v>Sep</v>
      </c>
      <c r="D691" t="s">
        <v>1460</v>
      </c>
      <c r="E691" t="s">
        <v>35</v>
      </c>
      <c r="F691" t="s">
        <v>36</v>
      </c>
      <c r="G691" t="s">
        <v>37</v>
      </c>
      <c r="H691" t="s">
        <v>55</v>
      </c>
      <c r="I691" t="s">
        <v>56</v>
      </c>
      <c r="J691" t="s">
        <v>582</v>
      </c>
      <c r="K691" t="s">
        <v>583</v>
      </c>
      <c r="L691" t="s">
        <v>1846</v>
      </c>
      <c r="M691" t="s">
        <v>106</v>
      </c>
      <c r="N691" t="s">
        <v>95</v>
      </c>
      <c r="O691" t="s">
        <v>45</v>
      </c>
      <c r="P691">
        <v>2</v>
      </c>
      <c r="Q691">
        <v>48764.33</v>
      </c>
      <c r="R691" s="19">
        <v>0.2</v>
      </c>
      <c r="S691" s="21">
        <v>19505.73</v>
      </c>
      <c r="T691">
        <v>97528.66</v>
      </c>
      <c r="U691" s="2">
        <v>78022.929999999993</v>
      </c>
      <c r="V691">
        <v>171.63</v>
      </c>
      <c r="W691">
        <v>58729.17</v>
      </c>
      <c r="X691" s="2">
        <v>19122.13</v>
      </c>
      <c r="Y691">
        <v>0.24510000000000001</v>
      </c>
      <c r="Z691">
        <v>1</v>
      </c>
      <c r="AA691" t="s">
        <v>46</v>
      </c>
      <c r="AB691" t="s">
        <v>47</v>
      </c>
      <c r="AD691">
        <v>4</v>
      </c>
      <c r="AE691" s="2">
        <v>79735.58</v>
      </c>
      <c r="AF691">
        <v>0.97850000000000004</v>
      </c>
      <c r="AG691" t="s">
        <v>49</v>
      </c>
      <c r="AH691" s="23">
        <f>SUM(Amazon_Data_Set[[#This Row],[Gross Sales]]-Amazon_Data_Set[[#This Row],[Discount Amount]])</f>
        <v>78022.930000000008</v>
      </c>
    </row>
    <row r="692" spans="1:34">
      <c r="A692" t="s">
        <v>1847</v>
      </c>
      <c r="B692" s="1">
        <v>46227</v>
      </c>
      <c r="C692" t="str">
        <f>TEXT(Amazon_Data_Set[[#This Row],[Order Date]],"mmm")</f>
        <v>Jul</v>
      </c>
      <c r="D692" t="s">
        <v>242</v>
      </c>
      <c r="E692" t="s">
        <v>109</v>
      </c>
      <c r="F692" t="s">
        <v>154</v>
      </c>
      <c r="G692" t="s">
        <v>111</v>
      </c>
      <c r="H692" t="s">
        <v>38</v>
      </c>
      <c r="I692" t="s">
        <v>39</v>
      </c>
      <c r="J692" t="s">
        <v>155</v>
      </c>
      <c r="K692" t="s">
        <v>156</v>
      </c>
      <c r="L692" t="s">
        <v>1848</v>
      </c>
      <c r="M692" t="s">
        <v>43</v>
      </c>
      <c r="N692" t="s">
        <v>95</v>
      </c>
      <c r="O692" t="s">
        <v>96</v>
      </c>
      <c r="P692">
        <v>3</v>
      </c>
      <c r="Q692">
        <v>641.08000000000004</v>
      </c>
      <c r="R692" s="19">
        <v>0.1</v>
      </c>
      <c r="S692" s="21">
        <v>192.32</v>
      </c>
      <c r="T692">
        <v>1923.24</v>
      </c>
      <c r="U692" s="2">
        <v>1730.92</v>
      </c>
      <c r="V692">
        <v>204.12</v>
      </c>
      <c r="W692">
        <v>1146.26</v>
      </c>
      <c r="X692" s="2">
        <v>380.54</v>
      </c>
      <c r="Y692">
        <v>0.2198</v>
      </c>
      <c r="Z692">
        <v>0</v>
      </c>
      <c r="AA692" t="s">
        <v>97</v>
      </c>
      <c r="AB692" t="s">
        <v>47</v>
      </c>
      <c r="AE692" s="2">
        <v>1719.93</v>
      </c>
      <c r="AF692">
        <v>1.0064</v>
      </c>
      <c r="AG692" t="s">
        <v>49</v>
      </c>
      <c r="AH692" s="23">
        <f>SUM(Amazon_Data_Set[[#This Row],[Gross Sales]]-Amazon_Data_Set[[#This Row],[Discount Amount]])</f>
        <v>1730.92</v>
      </c>
    </row>
    <row r="693" spans="1:34">
      <c r="A693" t="s">
        <v>1849</v>
      </c>
      <c r="B693" s="1">
        <v>46232</v>
      </c>
      <c r="C693" t="str">
        <f>TEXT(Amazon_Data_Set[[#This Row],[Order Date]],"mmm")</f>
        <v>Jul</v>
      </c>
      <c r="D693" t="s">
        <v>1668</v>
      </c>
      <c r="E693" t="s">
        <v>100</v>
      </c>
      <c r="F693" t="s">
        <v>179</v>
      </c>
      <c r="G693" t="s">
        <v>54</v>
      </c>
      <c r="H693" t="s">
        <v>38</v>
      </c>
      <c r="I693" t="s">
        <v>39</v>
      </c>
      <c r="J693" t="s">
        <v>281</v>
      </c>
      <c r="K693" t="s">
        <v>282</v>
      </c>
      <c r="L693" t="s">
        <v>1850</v>
      </c>
      <c r="M693" t="s">
        <v>43</v>
      </c>
      <c r="N693" t="s">
        <v>124</v>
      </c>
      <c r="O693" t="s">
        <v>45</v>
      </c>
      <c r="P693">
        <v>4</v>
      </c>
      <c r="Q693">
        <v>714.64</v>
      </c>
      <c r="R693" s="19">
        <v>0.3</v>
      </c>
      <c r="S693" s="21">
        <v>857.57</v>
      </c>
      <c r="T693">
        <v>2858.56</v>
      </c>
      <c r="U693" s="2">
        <v>2000.99</v>
      </c>
      <c r="V693">
        <v>20.010000000000002</v>
      </c>
      <c r="W693">
        <v>1512.94</v>
      </c>
      <c r="X693" s="2">
        <v>468.04</v>
      </c>
      <c r="Y693">
        <v>0.2339</v>
      </c>
      <c r="Z693">
        <v>3</v>
      </c>
      <c r="AA693" t="s">
        <v>46</v>
      </c>
      <c r="AB693" t="s">
        <v>47</v>
      </c>
      <c r="AD693">
        <v>5</v>
      </c>
      <c r="AE693" s="2">
        <v>1843.76</v>
      </c>
      <c r="AF693">
        <v>1.0852999999999999</v>
      </c>
      <c r="AG693" t="s">
        <v>49</v>
      </c>
      <c r="AH693" s="23">
        <f>SUM(Amazon_Data_Set[[#This Row],[Gross Sales]]-Amazon_Data_Set[[#This Row],[Discount Amount]])</f>
        <v>2000.9899999999998</v>
      </c>
    </row>
    <row r="694" spans="1:34">
      <c r="A694" t="s">
        <v>1851</v>
      </c>
      <c r="B694" s="1">
        <v>46063</v>
      </c>
      <c r="C694" t="str">
        <f>TEXT(Amazon_Data_Set[[#This Row],[Order Date]],"mmm")</f>
        <v>Feb</v>
      </c>
      <c r="D694" t="s">
        <v>1057</v>
      </c>
      <c r="E694" t="s">
        <v>174</v>
      </c>
      <c r="F694" t="s">
        <v>175</v>
      </c>
      <c r="G694" t="s">
        <v>82</v>
      </c>
      <c r="H694" t="s">
        <v>38</v>
      </c>
      <c r="I694" t="s">
        <v>39</v>
      </c>
      <c r="J694" t="s">
        <v>155</v>
      </c>
      <c r="K694" t="s">
        <v>156</v>
      </c>
      <c r="L694" t="s">
        <v>1852</v>
      </c>
      <c r="M694" t="s">
        <v>106</v>
      </c>
      <c r="N694" t="s">
        <v>95</v>
      </c>
      <c r="O694" t="s">
        <v>96</v>
      </c>
      <c r="P694">
        <v>1</v>
      </c>
      <c r="Q694">
        <v>4768.63</v>
      </c>
      <c r="R694" s="19">
        <v>0.05</v>
      </c>
      <c r="S694" s="21">
        <v>238.43</v>
      </c>
      <c r="T694">
        <v>4768.63</v>
      </c>
      <c r="U694" s="2">
        <v>4530.2</v>
      </c>
      <c r="V694">
        <v>90.82</v>
      </c>
      <c r="W694">
        <v>3389.89</v>
      </c>
      <c r="X694" s="2">
        <v>1049.49</v>
      </c>
      <c r="Y694">
        <v>0.23169999999999999</v>
      </c>
      <c r="Z694">
        <v>0</v>
      </c>
      <c r="AA694" t="s">
        <v>97</v>
      </c>
      <c r="AB694" t="s">
        <v>47</v>
      </c>
      <c r="AE694" s="2">
        <v>4698.79</v>
      </c>
      <c r="AF694">
        <v>0.96409999999999996</v>
      </c>
      <c r="AG694" t="s">
        <v>49</v>
      </c>
      <c r="AH694" s="23">
        <f>SUM(Amazon_Data_Set[[#This Row],[Gross Sales]]-Amazon_Data_Set[[#This Row],[Discount Amount]])</f>
        <v>4530.2</v>
      </c>
    </row>
    <row r="695" spans="1:34">
      <c r="A695" t="s">
        <v>1853</v>
      </c>
      <c r="B695" s="1">
        <v>46200</v>
      </c>
      <c r="C695" t="str">
        <f>TEXT(Amazon_Data_Set[[#This Row],[Order Date]],"mmm")</f>
        <v>Jun</v>
      </c>
      <c r="D695" t="s">
        <v>914</v>
      </c>
      <c r="E695" t="s">
        <v>100</v>
      </c>
      <c r="F695" t="s">
        <v>101</v>
      </c>
      <c r="G695" t="s">
        <v>54</v>
      </c>
      <c r="H695" t="s">
        <v>90</v>
      </c>
      <c r="I695" t="s">
        <v>91</v>
      </c>
      <c r="J695" t="s">
        <v>92</v>
      </c>
      <c r="K695" t="s">
        <v>93</v>
      </c>
      <c r="L695" t="s">
        <v>1854</v>
      </c>
      <c r="M695" t="s">
        <v>43</v>
      </c>
      <c r="N695" t="s">
        <v>77</v>
      </c>
      <c r="O695" t="s">
        <v>45</v>
      </c>
      <c r="P695">
        <v>2</v>
      </c>
      <c r="Q695">
        <v>93.17</v>
      </c>
      <c r="R695" s="19">
        <v>0.05</v>
      </c>
      <c r="S695" s="21">
        <v>9.32</v>
      </c>
      <c r="T695">
        <v>186.34</v>
      </c>
      <c r="U695" s="2">
        <v>177.02</v>
      </c>
      <c r="V695">
        <v>70.010000000000005</v>
      </c>
      <c r="W695">
        <v>130.04</v>
      </c>
      <c r="X695" s="2">
        <v>-23.03</v>
      </c>
      <c r="Y695">
        <v>-0.13009999999999999</v>
      </c>
      <c r="Z695">
        <v>6</v>
      </c>
      <c r="AA695" t="s">
        <v>61</v>
      </c>
      <c r="AB695" t="s">
        <v>47</v>
      </c>
      <c r="AD695">
        <v>4</v>
      </c>
      <c r="AE695" s="2">
        <v>162.4</v>
      </c>
      <c r="AF695">
        <v>1.0900000000000001</v>
      </c>
      <c r="AG695" t="s">
        <v>49</v>
      </c>
      <c r="AH695" s="23">
        <f>SUM(Amazon_Data_Set[[#This Row],[Gross Sales]]-Amazon_Data_Set[[#This Row],[Discount Amount]])</f>
        <v>177.02</v>
      </c>
    </row>
    <row r="696" spans="1:34">
      <c r="A696" t="s">
        <v>1855</v>
      </c>
      <c r="B696" s="1">
        <v>46139</v>
      </c>
      <c r="C696" t="str">
        <f>TEXT(Amazon_Data_Set[[#This Row],[Order Date]],"mmm")</f>
        <v>Apr</v>
      </c>
      <c r="D696" t="s">
        <v>1804</v>
      </c>
      <c r="E696" t="s">
        <v>100</v>
      </c>
      <c r="F696" t="s">
        <v>101</v>
      </c>
      <c r="G696" t="s">
        <v>54</v>
      </c>
      <c r="H696" t="s">
        <v>83</v>
      </c>
      <c r="I696" t="s">
        <v>84</v>
      </c>
      <c r="J696" t="s">
        <v>277</v>
      </c>
      <c r="K696" t="s">
        <v>86</v>
      </c>
      <c r="L696" t="s">
        <v>1856</v>
      </c>
      <c r="M696" t="s">
        <v>106</v>
      </c>
      <c r="N696" t="s">
        <v>95</v>
      </c>
      <c r="O696" t="s">
        <v>130</v>
      </c>
      <c r="P696">
        <v>3</v>
      </c>
      <c r="Q696">
        <v>1693.86</v>
      </c>
      <c r="R696" s="19">
        <v>0</v>
      </c>
      <c r="S696" s="21">
        <v>0</v>
      </c>
      <c r="T696">
        <v>5081.58</v>
      </c>
      <c r="U696" s="2">
        <v>5081.58</v>
      </c>
      <c r="V696">
        <v>70.790000000000006</v>
      </c>
      <c r="W696">
        <v>3261.76</v>
      </c>
      <c r="X696" s="2">
        <v>1749.03</v>
      </c>
      <c r="Y696">
        <v>0.34420000000000001</v>
      </c>
      <c r="Z696">
        <v>4</v>
      </c>
      <c r="AA696" t="s">
        <v>131</v>
      </c>
      <c r="AB696" t="s">
        <v>47</v>
      </c>
      <c r="AE696" s="2">
        <v>4740.05</v>
      </c>
      <c r="AF696">
        <v>1.0721000000000001</v>
      </c>
      <c r="AG696" t="s">
        <v>49</v>
      </c>
      <c r="AH696" s="23">
        <f>SUM(Amazon_Data_Set[[#This Row],[Gross Sales]]-Amazon_Data_Set[[#This Row],[Discount Amount]])</f>
        <v>5081.58</v>
      </c>
    </row>
    <row r="697" spans="1:34">
      <c r="A697" t="s">
        <v>1857</v>
      </c>
      <c r="B697" s="1">
        <v>46273</v>
      </c>
      <c r="C697" t="str">
        <f>TEXT(Amazon_Data_Set[[#This Row],[Order Date]],"mmm")</f>
        <v>Sep</v>
      </c>
      <c r="D697" t="s">
        <v>372</v>
      </c>
      <c r="E697" t="s">
        <v>35</v>
      </c>
      <c r="F697" t="s">
        <v>36</v>
      </c>
      <c r="G697" t="s">
        <v>37</v>
      </c>
      <c r="H697" t="s">
        <v>55</v>
      </c>
      <c r="I697" t="s">
        <v>120</v>
      </c>
      <c r="J697" t="s">
        <v>344</v>
      </c>
      <c r="K697" t="s">
        <v>345</v>
      </c>
      <c r="L697" t="s">
        <v>1858</v>
      </c>
      <c r="M697" t="s">
        <v>43</v>
      </c>
      <c r="N697" t="s">
        <v>95</v>
      </c>
      <c r="O697" t="s">
        <v>45</v>
      </c>
      <c r="P697">
        <v>5</v>
      </c>
      <c r="Q697">
        <v>62951.16</v>
      </c>
      <c r="R697" s="19">
        <v>0.3</v>
      </c>
      <c r="S697" s="21">
        <v>94426.74</v>
      </c>
      <c r="T697">
        <v>314755.8</v>
      </c>
      <c r="U697" s="2">
        <v>220329.06</v>
      </c>
      <c r="V697">
        <v>210.41</v>
      </c>
      <c r="W697">
        <v>124861.45</v>
      </c>
      <c r="X697" s="2">
        <v>95257.2</v>
      </c>
      <c r="Y697">
        <v>0.43230000000000002</v>
      </c>
      <c r="Z697">
        <v>5</v>
      </c>
      <c r="AA697" t="s">
        <v>61</v>
      </c>
      <c r="AB697" t="s">
        <v>48</v>
      </c>
      <c r="AC697" t="s">
        <v>320</v>
      </c>
      <c r="AD697">
        <v>4</v>
      </c>
      <c r="AE697" s="2">
        <v>248388.53</v>
      </c>
      <c r="AF697">
        <v>0.88700000000000001</v>
      </c>
      <c r="AG697" t="s">
        <v>49</v>
      </c>
      <c r="AH697" s="23">
        <f>SUM(Amazon_Data_Set[[#This Row],[Gross Sales]]-Amazon_Data_Set[[#This Row],[Discount Amount]])</f>
        <v>220329.06</v>
      </c>
    </row>
    <row r="698" spans="1:34">
      <c r="A698" t="s">
        <v>1859</v>
      </c>
      <c r="B698" s="1">
        <v>46109</v>
      </c>
      <c r="C698" t="str">
        <f>TEXT(Amazon_Data_Set[[#This Row],[Order Date]],"mmm")</f>
        <v>Mar</v>
      </c>
      <c r="D698" t="s">
        <v>1045</v>
      </c>
      <c r="E698" t="s">
        <v>109</v>
      </c>
      <c r="F698" t="s">
        <v>154</v>
      </c>
      <c r="G698" t="s">
        <v>111</v>
      </c>
      <c r="H698" t="s">
        <v>142</v>
      </c>
      <c r="I698" t="s">
        <v>143</v>
      </c>
      <c r="J698" t="s">
        <v>183</v>
      </c>
      <c r="K698" t="s">
        <v>184</v>
      </c>
      <c r="L698" t="s">
        <v>1860</v>
      </c>
      <c r="M698" t="s">
        <v>106</v>
      </c>
      <c r="N698" t="s">
        <v>124</v>
      </c>
      <c r="O698" t="s">
        <v>45</v>
      </c>
      <c r="P698">
        <v>3</v>
      </c>
      <c r="Q698">
        <v>4698.8900000000003</v>
      </c>
      <c r="R698" s="19">
        <v>0.1</v>
      </c>
      <c r="S698" s="21">
        <v>1409.67</v>
      </c>
      <c r="T698">
        <v>14096.67</v>
      </c>
      <c r="U698" s="2">
        <v>12687</v>
      </c>
      <c r="V698">
        <v>109.82</v>
      </c>
      <c r="W698">
        <v>7738.57</v>
      </c>
      <c r="X698" s="2">
        <v>4838.6099999999997</v>
      </c>
      <c r="Y698">
        <v>0.38140000000000002</v>
      </c>
      <c r="Z698">
        <v>3</v>
      </c>
      <c r="AA698" t="s">
        <v>46</v>
      </c>
      <c r="AB698" t="s">
        <v>47</v>
      </c>
      <c r="AD698">
        <v>5</v>
      </c>
      <c r="AE698" s="2">
        <v>15300.59</v>
      </c>
      <c r="AF698">
        <v>0.82920000000000005</v>
      </c>
      <c r="AG698" t="s">
        <v>49</v>
      </c>
      <c r="AH698" s="23">
        <f>SUM(Amazon_Data_Set[[#This Row],[Gross Sales]]-Amazon_Data_Set[[#This Row],[Discount Amount]])</f>
        <v>12687</v>
      </c>
    </row>
    <row r="699" spans="1:34">
      <c r="A699" t="s">
        <v>1861</v>
      </c>
      <c r="B699" s="1">
        <v>46362</v>
      </c>
      <c r="C699" t="str">
        <f>TEXT(Amazon_Data_Set[[#This Row],[Order Date]],"mmm")</f>
        <v>Dec</v>
      </c>
      <c r="D699" t="s">
        <v>304</v>
      </c>
      <c r="E699" t="s">
        <v>80</v>
      </c>
      <c r="F699" t="s">
        <v>81</v>
      </c>
      <c r="G699" t="s">
        <v>82</v>
      </c>
      <c r="H699" t="s">
        <v>38</v>
      </c>
      <c r="I699" t="s">
        <v>39</v>
      </c>
      <c r="J699" t="s">
        <v>281</v>
      </c>
      <c r="K699" t="s">
        <v>282</v>
      </c>
      <c r="L699" t="s">
        <v>1862</v>
      </c>
      <c r="M699" t="s">
        <v>43</v>
      </c>
      <c r="N699" t="s">
        <v>124</v>
      </c>
      <c r="O699" t="s">
        <v>45</v>
      </c>
      <c r="P699">
        <v>5</v>
      </c>
      <c r="Q699">
        <v>3055.84</v>
      </c>
      <c r="R699" s="19">
        <v>0.25</v>
      </c>
      <c r="S699" s="21">
        <v>3819.8</v>
      </c>
      <c r="T699">
        <v>15279.2</v>
      </c>
      <c r="U699" s="2">
        <v>11459.4</v>
      </c>
      <c r="V699">
        <v>204.29</v>
      </c>
      <c r="W699">
        <v>5776.62</v>
      </c>
      <c r="X699" s="2">
        <v>5478.49</v>
      </c>
      <c r="Y699">
        <v>0.47810000000000002</v>
      </c>
      <c r="Z699">
        <v>8</v>
      </c>
      <c r="AA699" t="s">
        <v>61</v>
      </c>
      <c r="AB699" t="s">
        <v>47</v>
      </c>
      <c r="AD699">
        <v>5</v>
      </c>
      <c r="AE699" s="2">
        <v>10881.02</v>
      </c>
      <c r="AF699">
        <v>1.0531999999999999</v>
      </c>
      <c r="AG699" t="s">
        <v>49</v>
      </c>
      <c r="AH699" s="23">
        <f>SUM(Amazon_Data_Set[[#This Row],[Gross Sales]]-Amazon_Data_Set[[#This Row],[Discount Amount]])</f>
        <v>11459.400000000001</v>
      </c>
    </row>
    <row r="700" spans="1:34">
      <c r="A700" t="s">
        <v>1863</v>
      </c>
      <c r="B700" s="1">
        <v>46026</v>
      </c>
      <c r="C700" t="str">
        <f>TEXT(Amazon_Data_Set[[#This Row],[Order Date]],"mmm")</f>
        <v>Jan</v>
      </c>
      <c r="D700" t="s">
        <v>1864</v>
      </c>
      <c r="E700" t="s">
        <v>174</v>
      </c>
      <c r="F700" t="s">
        <v>175</v>
      </c>
      <c r="G700" t="s">
        <v>82</v>
      </c>
      <c r="H700" t="s">
        <v>90</v>
      </c>
      <c r="I700" t="s">
        <v>112</v>
      </c>
      <c r="J700" t="s">
        <v>134</v>
      </c>
      <c r="K700" t="s">
        <v>135</v>
      </c>
      <c r="L700" t="s">
        <v>1865</v>
      </c>
      <c r="M700" t="s">
        <v>43</v>
      </c>
      <c r="N700" t="s">
        <v>77</v>
      </c>
      <c r="O700" t="s">
        <v>96</v>
      </c>
      <c r="P700">
        <v>2</v>
      </c>
      <c r="Q700">
        <v>153.54</v>
      </c>
      <c r="R700" s="19">
        <v>0.05</v>
      </c>
      <c r="S700" s="21">
        <v>15.35</v>
      </c>
      <c r="T700">
        <v>307.08</v>
      </c>
      <c r="U700" s="2">
        <v>291.73</v>
      </c>
      <c r="V700">
        <v>125.01</v>
      </c>
      <c r="W700">
        <v>153.85</v>
      </c>
      <c r="X700" s="2">
        <v>12.87</v>
      </c>
      <c r="Y700">
        <v>4.41E-2</v>
      </c>
      <c r="Z700">
        <v>0</v>
      </c>
      <c r="AA700" t="s">
        <v>97</v>
      </c>
      <c r="AB700" t="s">
        <v>47</v>
      </c>
      <c r="AE700" s="2">
        <v>340.61</v>
      </c>
      <c r="AF700">
        <v>0.85650000000000004</v>
      </c>
      <c r="AG700" t="s">
        <v>49</v>
      </c>
      <c r="AH700" s="23">
        <f>SUM(Amazon_Data_Set[[#This Row],[Gross Sales]]-Amazon_Data_Set[[#This Row],[Discount Amount]])</f>
        <v>291.72999999999996</v>
      </c>
    </row>
    <row r="701" spans="1:34">
      <c r="A701" t="s">
        <v>1866</v>
      </c>
      <c r="B701" s="1">
        <v>46302</v>
      </c>
      <c r="C701" t="str">
        <f>TEXT(Amazon_Data_Set[[#This Row],[Order Date]],"mmm")</f>
        <v>Oct</v>
      </c>
      <c r="D701" t="s">
        <v>732</v>
      </c>
      <c r="E701" t="s">
        <v>228</v>
      </c>
      <c r="F701" t="s">
        <v>229</v>
      </c>
      <c r="G701" t="s">
        <v>37</v>
      </c>
      <c r="H701" t="s">
        <v>83</v>
      </c>
      <c r="I701" t="s">
        <v>102</v>
      </c>
      <c r="J701" t="s">
        <v>373</v>
      </c>
      <c r="K701" t="s">
        <v>374</v>
      </c>
      <c r="L701" t="s">
        <v>1867</v>
      </c>
      <c r="M701" t="s">
        <v>43</v>
      </c>
      <c r="N701" t="s">
        <v>95</v>
      </c>
      <c r="O701" t="s">
        <v>45</v>
      </c>
      <c r="P701">
        <v>2</v>
      </c>
      <c r="Q701">
        <v>2307.48</v>
      </c>
      <c r="R701" s="19">
        <v>0.25</v>
      </c>
      <c r="S701" s="21">
        <v>1153.74</v>
      </c>
      <c r="T701">
        <v>4614.96</v>
      </c>
      <c r="U701" s="2">
        <v>3461.22</v>
      </c>
      <c r="V701">
        <v>14.07</v>
      </c>
      <c r="W701">
        <v>2133.59</v>
      </c>
      <c r="X701" s="2">
        <v>1313.56</v>
      </c>
      <c r="Y701">
        <v>0.3795</v>
      </c>
      <c r="Z701">
        <v>1</v>
      </c>
      <c r="AA701" t="s">
        <v>46</v>
      </c>
      <c r="AB701" t="s">
        <v>48</v>
      </c>
      <c r="AC701" t="s">
        <v>158</v>
      </c>
      <c r="AD701">
        <v>4</v>
      </c>
      <c r="AE701" s="2">
        <v>4302.42</v>
      </c>
      <c r="AF701">
        <v>0.80449999999999999</v>
      </c>
      <c r="AG701" t="s">
        <v>49</v>
      </c>
      <c r="AH701" s="23">
        <f>SUM(Amazon_Data_Set[[#This Row],[Gross Sales]]-Amazon_Data_Set[[#This Row],[Discount Amount]])</f>
        <v>3461.2200000000003</v>
      </c>
    </row>
    <row r="702" spans="1:34">
      <c r="A702" t="s">
        <v>1868</v>
      </c>
      <c r="B702" s="1">
        <v>46030</v>
      </c>
      <c r="C702" t="str">
        <f>TEXT(Amazon_Data_Set[[#This Row],[Order Date]],"mmm")</f>
        <v>Jan</v>
      </c>
      <c r="D702" t="s">
        <v>1869</v>
      </c>
      <c r="E702" t="s">
        <v>64</v>
      </c>
      <c r="F702" t="s">
        <v>65</v>
      </c>
      <c r="G702" t="s">
        <v>54</v>
      </c>
      <c r="H702" t="s">
        <v>90</v>
      </c>
      <c r="I702" t="s">
        <v>112</v>
      </c>
      <c r="J702" t="s">
        <v>113</v>
      </c>
      <c r="K702" t="s">
        <v>114</v>
      </c>
      <c r="L702" t="s">
        <v>1870</v>
      </c>
      <c r="M702" t="s">
        <v>43</v>
      </c>
      <c r="N702" t="s">
        <v>95</v>
      </c>
      <c r="O702" t="s">
        <v>45</v>
      </c>
      <c r="P702">
        <v>4</v>
      </c>
      <c r="Q702">
        <v>88.61</v>
      </c>
      <c r="R702" s="19">
        <v>0.1</v>
      </c>
      <c r="S702" s="21">
        <v>35.44</v>
      </c>
      <c r="T702">
        <v>354.44</v>
      </c>
      <c r="U702" s="2">
        <v>319</v>
      </c>
      <c r="V702">
        <v>211.94</v>
      </c>
      <c r="W702">
        <v>195.37</v>
      </c>
      <c r="X702" s="2">
        <v>-88.31</v>
      </c>
      <c r="Y702">
        <v>-0.27679999999999999</v>
      </c>
      <c r="Z702">
        <v>5</v>
      </c>
      <c r="AA702" t="s">
        <v>61</v>
      </c>
      <c r="AB702" t="s">
        <v>47</v>
      </c>
      <c r="AD702">
        <v>4</v>
      </c>
      <c r="AE702" s="2">
        <v>367.8</v>
      </c>
      <c r="AF702">
        <v>0.86729999999999996</v>
      </c>
      <c r="AG702" t="s">
        <v>49</v>
      </c>
      <c r="AH702" s="23">
        <f>SUM(Amazon_Data_Set[[#This Row],[Gross Sales]]-Amazon_Data_Set[[#This Row],[Discount Amount]])</f>
        <v>319</v>
      </c>
    </row>
    <row r="703" spans="1:34">
      <c r="A703" t="s">
        <v>1871</v>
      </c>
      <c r="B703" s="1">
        <v>46133</v>
      </c>
      <c r="C703" t="str">
        <f>TEXT(Amazon_Data_Set[[#This Row],[Order Date]],"mmm")</f>
        <v>Apr</v>
      </c>
      <c r="D703" t="s">
        <v>873</v>
      </c>
      <c r="E703" t="s">
        <v>64</v>
      </c>
      <c r="F703" t="s">
        <v>65</v>
      </c>
      <c r="G703" t="s">
        <v>54</v>
      </c>
      <c r="H703" t="s">
        <v>55</v>
      </c>
      <c r="I703" t="s">
        <v>120</v>
      </c>
      <c r="J703" t="s">
        <v>121</v>
      </c>
      <c r="K703" t="s">
        <v>122</v>
      </c>
      <c r="L703" t="s">
        <v>1872</v>
      </c>
      <c r="M703" t="s">
        <v>43</v>
      </c>
      <c r="N703" t="s">
        <v>95</v>
      </c>
      <c r="O703" t="s">
        <v>45</v>
      </c>
      <c r="P703">
        <v>3</v>
      </c>
      <c r="Q703">
        <v>11370.35</v>
      </c>
      <c r="R703" s="19">
        <v>0.25</v>
      </c>
      <c r="S703" s="21">
        <v>8527.76</v>
      </c>
      <c r="T703">
        <v>34111.050000000003</v>
      </c>
      <c r="U703" s="2">
        <v>25583.29</v>
      </c>
      <c r="V703">
        <v>182.45</v>
      </c>
      <c r="W703">
        <v>15516.27</v>
      </c>
      <c r="X703" s="2">
        <v>9884.57</v>
      </c>
      <c r="Y703">
        <v>0.38640000000000002</v>
      </c>
      <c r="Z703">
        <v>6</v>
      </c>
      <c r="AA703" t="s">
        <v>61</v>
      </c>
      <c r="AB703" t="s">
        <v>47</v>
      </c>
      <c r="AD703">
        <v>4</v>
      </c>
      <c r="AE703" s="2">
        <v>25406.67</v>
      </c>
      <c r="AF703">
        <v>1.0069999999999999</v>
      </c>
      <c r="AG703" t="s">
        <v>49</v>
      </c>
      <c r="AH703" s="23">
        <f>SUM(Amazon_Data_Set[[#This Row],[Gross Sales]]-Amazon_Data_Set[[#This Row],[Discount Amount]])</f>
        <v>25583.29</v>
      </c>
    </row>
    <row r="704" spans="1:34">
      <c r="A704" t="s">
        <v>1873</v>
      </c>
      <c r="B704" s="1">
        <v>46285</v>
      </c>
      <c r="C704" t="str">
        <f>TEXT(Amazon_Data_Set[[#This Row],[Order Date]],"mmm")</f>
        <v>Sep</v>
      </c>
      <c r="D704" t="s">
        <v>285</v>
      </c>
      <c r="E704" t="s">
        <v>109</v>
      </c>
      <c r="F704" t="s">
        <v>110</v>
      </c>
      <c r="G704" t="s">
        <v>111</v>
      </c>
      <c r="H704" t="s">
        <v>38</v>
      </c>
      <c r="I704" t="s">
        <v>66</v>
      </c>
      <c r="J704" t="s">
        <v>318</v>
      </c>
      <c r="K704" t="s">
        <v>282</v>
      </c>
      <c r="L704" t="s">
        <v>1874</v>
      </c>
      <c r="M704" t="s">
        <v>43</v>
      </c>
      <c r="N704" t="s">
        <v>70</v>
      </c>
      <c r="O704" t="s">
        <v>130</v>
      </c>
      <c r="P704">
        <v>5</v>
      </c>
      <c r="Q704">
        <v>1062.43</v>
      </c>
      <c r="R704" s="19">
        <v>0.25</v>
      </c>
      <c r="S704" s="21">
        <v>1328.04</v>
      </c>
      <c r="T704">
        <v>5312.15</v>
      </c>
      <c r="U704" s="2">
        <v>3984.11</v>
      </c>
      <c r="V704">
        <v>49.19</v>
      </c>
      <c r="W704">
        <v>2252.31</v>
      </c>
      <c r="X704" s="2">
        <v>1682.61</v>
      </c>
      <c r="Y704">
        <v>0.42230000000000001</v>
      </c>
      <c r="Z704">
        <v>4</v>
      </c>
      <c r="AA704" t="s">
        <v>131</v>
      </c>
      <c r="AB704" t="s">
        <v>47</v>
      </c>
      <c r="AE704" s="2">
        <v>4930.1400000000003</v>
      </c>
      <c r="AF704">
        <v>0.80810000000000004</v>
      </c>
      <c r="AG704" t="s">
        <v>49</v>
      </c>
      <c r="AH704" s="23">
        <f>SUM(Amazon_Data_Set[[#This Row],[Gross Sales]]-Amazon_Data_Set[[#This Row],[Discount Amount]])</f>
        <v>3984.1099999999997</v>
      </c>
    </row>
    <row r="705" spans="1:34">
      <c r="A705" t="s">
        <v>1875</v>
      </c>
      <c r="B705" s="1">
        <v>46375</v>
      </c>
      <c r="C705" t="str">
        <f>TEXT(Amazon_Data_Set[[#This Row],[Order Date]],"mmm")</f>
        <v>Dec</v>
      </c>
      <c r="D705" t="s">
        <v>654</v>
      </c>
      <c r="E705" t="s">
        <v>174</v>
      </c>
      <c r="F705" t="s">
        <v>175</v>
      </c>
      <c r="G705" t="s">
        <v>82</v>
      </c>
      <c r="H705" t="s">
        <v>90</v>
      </c>
      <c r="I705" t="s">
        <v>252</v>
      </c>
      <c r="J705" t="s">
        <v>528</v>
      </c>
      <c r="K705" t="s">
        <v>529</v>
      </c>
      <c r="L705" t="s">
        <v>1876</v>
      </c>
      <c r="M705" t="s">
        <v>106</v>
      </c>
      <c r="N705" t="s">
        <v>70</v>
      </c>
      <c r="O705" t="s">
        <v>130</v>
      </c>
      <c r="P705">
        <v>5</v>
      </c>
      <c r="Q705">
        <v>265.93</v>
      </c>
      <c r="R705" s="19">
        <v>0.25</v>
      </c>
      <c r="S705" s="21">
        <v>332.41</v>
      </c>
      <c r="T705">
        <v>1329.65</v>
      </c>
      <c r="U705" s="2">
        <v>997.24</v>
      </c>
      <c r="V705">
        <v>140.49</v>
      </c>
      <c r="W705">
        <v>766.89</v>
      </c>
      <c r="X705" s="2">
        <v>89.86</v>
      </c>
      <c r="Y705">
        <v>9.01E-2</v>
      </c>
      <c r="Z705">
        <v>3</v>
      </c>
      <c r="AA705" t="s">
        <v>131</v>
      </c>
      <c r="AB705" t="s">
        <v>47</v>
      </c>
      <c r="AE705" s="2">
        <v>975.93</v>
      </c>
      <c r="AF705">
        <v>1.0218</v>
      </c>
      <c r="AG705" t="s">
        <v>347</v>
      </c>
      <c r="AH705" s="23">
        <f>SUM(Amazon_Data_Set[[#This Row],[Gross Sales]]-Amazon_Data_Set[[#This Row],[Discount Amount]])</f>
        <v>997.24</v>
      </c>
    </row>
    <row r="706" spans="1:34">
      <c r="A706" t="s">
        <v>1877</v>
      </c>
      <c r="B706" s="1">
        <v>46186</v>
      </c>
      <c r="C706" t="str">
        <f>TEXT(Amazon_Data_Set[[#This Row],[Order Date]],"mmm")</f>
        <v>Jun</v>
      </c>
      <c r="D706" t="s">
        <v>133</v>
      </c>
      <c r="E706" t="s">
        <v>52</v>
      </c>
      <c r="F706" t="s">
        <v>53</v>
      </c>
      <c r="G706" t="s">
        <v>54</v>
      </c>
      <c r="H706" t="s">
        <v>55</v>
      </c>
      <c r="I706" t="s">
        <v>73</v>
      </c>
      <c r="J706" t="s">
        <v>230</v>
      </c>
      <c r="K706" t="s">
        <v>231</v>
      </c>
      <c r="L706" t="s">
        <v>1878</v>
      </c>
      <c r="M706" t="s">
        <v>106</v>
      </c>
      <c r="N706" t="s">
        <v>95</v>
      </c>
      <c r="O706" t="s">
        <v>45</v>
      </c>
      <c r="P706">
        <v>2</v>
      </c>
      <c r="Q706">
        <v>29618.7</v>
      </c>
      <c r="R706" s="19">
        <v>0.1</v>
      </c>
      <c r="S706" s="21">
        <v>5923.74</v>
      </c>
      <c r="T706">
        <v>59237.4</v>
      </c>
      <c r="U706" s="2">
        <v>53313.66</v>
      </c>
      <c r="V706">
        <v>43.01</v>
      </c>
      <c r="W706">
        <v>32218.3</v>
      </c>
      <c r="X706" s="2">
        <v>21052.35</v>
      </c>
      <c r="Y706">
        <v>0.39489999999999997</v>
      </c>
      <c r="Z706">
        <v>7</v>
      </c>
      <c r="AA706" t="s">
        <v>61</v>
      </c>
      <c r="AB706" t="s">
        <v>47</v>
      </c>
      <c r="AD706">
        <v>5</v>
      </c>
      <c r="AE706" s="2">
        <v>59454.97</v>
      </c>
      <c r="AF706">
        <v>0.89670000000000005</v>
      </c>
      <c r="AG706" t="s">
        <v>49</v>
      </c>
      <c r="AH706" s="23">
        <f>SUM(Amazon_Data_Set[[#This Row],[Gross Sales]]-Amazon_Data_Set[[#This Row],[Discount Amount]])</f>
        <v>53313.66</v>
      </c>
    </row>
    <row r="707" spans="1:34">
      <c r="A707" t="s">
        <v>1879</v>
      </c>
      <c r="B707" s="1">
        <v>46133</v>
      </c>
      <c r="C707" t="str">
        <f>TEXT(Amazon_Data_Set[[#This Row],[Order Date]],"mmm")</f>
        <v>Apr</v>
      </c>
      <c r="D707" t="s">
        <v>898</v>
      </c>
      <c r="E707" t="s">
        <v>167</v>
      </c>
      <c r="F707" t="s">
        <v>168</v>
      </c>
      <c r="G707" t="s">
        <v>111</v>
      </c>
      <c r="H707" t="s">
        <v>142</v>
      </c>
      <c r="I707" t="s">
        <v>209</v>
      </c>
      <c r="J707" t="s">
        <v>210</v>
      </c>
      <c r="K707" t="s">
        <v>201</v>
      </c>
      <c r="L707" t="s">
        <v>1880</v>
      </c>
      <c r="M707" t="s">
        <v>106</v>
      </c>
      <c r="N707" t="s">
        <v>60</v>
      </c>
      <c r="O707" t="s">
        <v>45</v>
      </c>
      <c r="P707">
        <v>1</v>
      </c>
      <c r="Q707">
        <v>2058.62</v>
      </c>
      <c r="R707" s="19">
        <v>0.25</v>
      </c>
      <c r="S707" s="21">
        <v>514.65</v>
      </c>
      <c r="T707">
        <v>2058.62</v>
      </c>
      <c r="U707" s="2">
        <v>1543.97</v>
      </c>
      <c r="V707">
        <v>249.42</v>
      </c>
      <c r="W707">
        <v>799.98</v>
      </c>
      <c r="X707" s="2">
        <v>494.57</v>
      </c>
      <c r="Y707">
        <v>0.32029999999999997</v>
      </c>
      <c r="Z707">
        <v>3</v>
      </c>
      <c r="AA707" t="s">
        <v>46</v>
      </c>
      <c r="AB707" t="s">
        <v>48</v>
      </c>
      <c r="AC707" t="s">
        <v>203</v>
      </c>
      <c r="AD707">
        <v>4</v>
      </c>
      <c r="AE707" s="2">
        <v>1865.27</v>
      </c>
      <c r="AF707">
        <v>0.82769999999999999</v>
      </c>
      <c r="AG707" t="s">
        <v>49</v>
      </c>
      <c r="AH707" s="23">
        <f>SUM(Amazon_Data_Set[[#This Row],[Gross Sales]]-Amazon_Data_Set[[#This Row],[Discount Amount]])</f>
        <v>1543.9699999999998</v>
      </c>
    </row>
    <row r="708" spans="1:34">
      <c r="A708" t="s">
        <v>1881</v>
      </c>
      <c r="B708" s="1">
        <v>46202</v>
      </c>
      <c r="C708" t="str">
        <f>TEXT(Amazon_Data_Set[[#This Row],[Order Date]],"mmm")</f>
        <v>Jun</v>
      </c>
      <c r="D708" t="s">
        <v>99</v>
      </c>
      <c r="E708" t="s">
        <v>100</v>
      </c>
      <c r="F708" t="s">
        <v>101</v>
      </c>
      <c r="G708" t="s">
        <v>54</v>
      </c>
      <c r="H708" t="s">
        <v>38</v>
      </c>
      <c r="I708" t="s">
        <v>66</v>
      </c>
      <c r="J708" t="s">
        <v>67</v>
      </c>
      <c r="K708" t="s">
        <v>68</v>
      </c>
      <c r="L708" t="s">
        <v>1882</v>
      </c>
      <c r="M708" t="s">
        <v>106</v>
      </c>
      <c r="N708" t="s">
        <v>77</v>
      </c>
      <c r="O708" t="s">
        <v>45</v>
      </c>
      <c r="P708">
        <v>1</v>
      </c>
      <c r="Q708">
        <v>4097.8900000000003</v>
      </c>
      <c r="R708" s="19">
        <v>0.15</v>
      </c>
      <c r="S708" s="21">
        <v>614.67999999999995</v>
      </c>
      <c r="T708">
        <v>4097.8900000000003</v>
      </c>
      <c r="U708" s="2">
        <v>3483.21</v>
      </c>
      <c r="V708">
        <v>42.88</v>
      </c>
      <c r="W708">
        <v>2054.19</v>
      </c>
      <c r="X708" s="2">
        <v>1386.14</v>
      </c>
      <c r="Y708">
        <v>0.39789999999999998</v>
      </c>
      <c r="Z708">
        <v>5</v>
      </c>
      <c r="AA708" t="s">
        <v>61</v>
      </c>
      <c r="AB708" t="s">
        <v>47</v>
      </c>
      <c r="AD708">
        <v>5</v>
      </c>
      <c r="AE708" s="2">
        <v>3752.51</v>
      </c>
      <c r="AF708">
        <v>0.92820000000000003</v>
      </c>
      <c r="AG708" t="s">
        <v>49</v>
      </c>
      <c r="AH708" s="23">
        <f>SUM(Amazon_Data_Set[[#This Row],[Gross Sales]]-Amazon_Data_Set[[#This Row],[Discount Amount]])</f>
        <v>3483.2100000000005</v>
      </c>
    </row>
    <row r="709" spans="1:34">
      <c r="A709" t="s">
        <v>1883</v>
      </c>
      <c r="B709" s="1">
        <v>46287</v>
      </c>
      <c r="C709" t="str">
        <f>TEXT(Amazon_Data_Set[[#This Row],[Order Date]],"mmm")</f>
        <v>Sep</v>
      </c>
      <c r="D709" t="s">
        <v>748</v>
      </c>
      <c r="E709" t="s">
        <v>275</v>
      </c>
      <c r="F709" t="s">
        <v>276</v>
      </c>
      <c r="G709" t="s">
        <v>37</v>
      </c>
      <c r="H709" t="s">
        <v>142</v>
      </c>
      <c r="I709" t="s">
        <v>143</v>
      </c>
      <c r="J709" t="s">
        <v>144</v>
      </c>
      <c r="K709" t="s">
        <v>145</v>
      </c>
      <c r="L709" t="s">
        <v>1884</v>
      </c>
      <c r="M709" t="s">
        <v>106</v>
      </c>
      <c r="N709" t="s">
        <v>77</v>
      </c>
      <c r="O709" t="s">
        <v>130</v>
      </c>
      <c r="P709">
        <v>3</v>
      </c>
      <c r="Q709">
        <v>255.12</v>
      </c>
      <c r="R709" s="19">
        <v>0</v>
      </c>
      <c r="S709" s="21">
        <v>0</v>
      </c>
      <c r="T709">
        <v>765.36</v>
      </c>
      <c r="U709" s="2">
        <v>765.36</v>
      </c>
      <c r="V709">
        <v>3.02</v>
      </c>
      <c r="W709">
        <v>418.36</v>
      </c>
      <c r="X709" s="2">
        <v>343.98</v>
      </c>
      <c r="Y709">
        <v>0.44940000000000002</v>
      </c>
      <c r="Z709">
        <v>3</v>
      </c>
      <c r="AA709" t="s">
        <v>131</v>
      </c>
      <c r="AB709" t="s">
        <v>47</v>
      </c>
      <c r="AE709" s="2">
        <v>912.24</v>
      </c>
      <c r="AF709">
        <v>0.83899999999999997</v>
      </c>
      <c r="AG709" t="s">
        <v>49</v>
      </c>
      <c r="AH709" s="23">
        <f>SUM(Amazon_Data_Set[[#This Row],[Gross Sales]]-Amazon_Data_Set[[#This Row],[Discount Amount]])</f>
        <v>765.36</v>
      </c>
    </row>
    <row r="710" spans="1:34">
      <c r="A710" t="s">
        <v>1885</v>
      </c>
      <c r="B710" s="1">
        <v>46224</v>
      </c>
      <c r="C710" t="str">
        <f>TEXT(Amazon_Data_Set[[#This Row],[Order Date]],"mmm")</f>
        <v>Jul</v>
      </c>
      <c r="D710" t="s">
        <v>1886</v>
      </c>
      <c r="E710" t="s">
        <v>228</v>
      </c>
      <c r="F710" t="s">
        <v>229</v>
      </c>
      <c r="G710" t="s">
        <v>37</v>
      </c>
      <c r="H710" t="s">
        <v>55</v>
      </c>
      <c r="I710" t="s">
        <v>73</v>
      </c>
      <c r="J710" t="s">
        <v>74</v>
      </c>
      <c r="K710" t="s">
        <v>75</v>
      </c>
      <c r="L710" t="s">
        <v>1887</v>
      </c>
      <c r="M710" t="s">
        <v>43</v>
      </c>
      <c r="N710" t="s">
        <v>70</v>
      </c>
      <c r="O710" t="s">
        <v>45</v>
      </c>
      <c r="P710">
        <v>2</v>
      </c>
      <c r="Q710">
        <v>777.95</v>
      </c>
      <c r="R710" s="19">
        <v>0</v>
      </c>
      <c r="S710" s="21">
        <v>0</v>
      </c>
      <c r="T710">
        <v>1555.9</v>
      </c>
      <c r="U710" s="2">
        <v>1555.9</v>
      </c>
      <c r="V710">
        <v>191.29</v>
      </c>
      <c r="W710">
        <v>1004.5</v>
      </c>
      <c r="X710" s="2">
        <v>360.11</v>
      </c>
      <c r="Y710">
        <v>0.23139999999999999</v>
      </c>
      <c r="Z710">
        <v>1</v>
      </c>
      <c r="AA710" t="s">
        <v>46</v>
      </c>
      <c r="AB710" t="s">
        <v>47</v>
      </c>
      <c r="AD710">
        <v>3</v>
      </c>
      <c r="AE710" s="2">
        <v>1799.56</v>
      </c>
      <c r="AF710">
        <v>0.86460000000000004</v>
      </c>
      <c r="AG710" t="s">
        <v>347</v>
      </c>
      <c r="AH710" s="23">
        <f>SUM(Amazon_Data_Set[[#This Row],[Gross Sales]]-Amazon_Data_Set[[#This Row],[Discount Amount]])</f>
        <v>1555.9</v>
      </c>
    </row>
    <row r="711" spans="1:34">
      <c r="A711" t="s">
        <v>1888</v>
      </c>
      <c r="B711" s="1">
        <v>46086</v>
      </c>
      <c r="C711" t="str">
        <f>TEXT(Amazon_Data_Set[[#This Row],[Order Date]],"mmm")</f>
        <v>Mar</v>
      </c>
      <c r="D711" t="s">
        <v>1626</v>
      </c>
      <c r="E711" t="s">
        <v>64</v>
      </c>
      <c r="F711" t="s">
        <v>65</v>
      </c>
      <c r="G711" t="s">
        <v>54</v>
      </c>
      <c r="H711" t="s">
        <v>55</v>
      </c>
      <c r="I711" t="s">
        <v>56</v>
      </c>
      <c r="J711" t="s">
        <v>582</v>
      </c>
      <c r="K711" t="s">
        <v>583</v>
      </c>
      <c r="L711" t="s">
        <v>1889</v>
      </c>
      <c r="M711" t="s">
        <v>43</v>
      </c>
      <c r="N711" t="s">
        <v>124</v>
      </c>
      <c r="O711" t="s">
        <v>45</v>
      </c>
      <c r="P711">
        <v>5</v>
      </c>
      <c r="Q711">
        <v>21547.62</v>
      </c>
      <c r="R711" s="19">
        <v>0</v>
      </c>
      <c r="S711" s="21">
        <v>0</v>
      </c>
      <c r="T711">
        <v>107738.1</v>
      </c>
      <c r="U711" s="2">
        <v>107738.1</v>
      </c>
      <c r="V711">
        <v>218.42</v>
      </c>
      <c r="W711">
        <v>79642.929999999993</v>
      </c>
      <c r="X711" s="2">
        <v>27876.75</v>
      </c>
      <c r="Y711">
        <v>0.25869999999999999</v>
      </c>
      <c r="Z711">
        <v>8</v>
      </c>
      <c r="AA711" t="s">
        <v>61</v>
      </c>
      <c r="AB711" t="s">
        <v>47</v>
      </c>
      <c r="AD711">
        <v>4</v>
      </c>
      <c r="AE711" s="2">
        <v>116229.49</v>
      </c>
      <c r="AF711">
        <v>0.92689999999999995</v>
      </c>
      <c r="AG711" t="s">
        <v>49</v>
      </c>
      <c r="AH711" s="23">
        <f>SUM(Amazon_Data_Set[[#This Row],[Gross Sales]]-Amazon_Data_Set[[#This Row],[Discount Amount]])</f>
        <v>107738.1</v>
      </c>
    </row>
    <row r="712" spans="1:34">
      <c r="A712" t="s">
        <v>1890</v>
      </c>
      <c r="B712" s="1">
        <v>46259</v>
      </c>
      <c r="C712" t="str">
        <f>TEXT(Amazon_Data_Set[[#This Row],[Order Date]],"mmm")</f>
        <v>Aug</v>
      </c>
      <c r="D712" t="s">
        <v>1139</v>
      </c>
      <c r="E712" t="s">
        <v>109</v>
      </c>
      <c r="F712" t="s">
        <v>110</v>
      </c>
      <c r="G712" t="s">
        <v>111</v>
      </c>
      <c r="H712" t="s">
        <v>142</v>
      </c>
      <c r="I712" t="s">
        <v>143</v>
      </c>
      <c r="J712" t="s">
        <v>200</v>
      </c>
      <c r="K712" t="s">
        <v>201</v>
      </c>
      <c r="L712" t="s">
        <v>1891</v>
      </c>
      <c r="M712" t="s">
        <v>106</v>
      </c>
      <c r="N712" t="s">
        <v>70</v>
      </c>
      <c r="O712" t="s">
        <v>130</v>
      </c>
      <c r="P712">
        <v>2</v>
      </c>
      <c r="Q712">
        <v>259.27</v>
      </c>
      <c r="R712" s="19">
        <v>0.25</v>
      </c>
      <c r="S712" s="21">
        <v>129.63</v>
      </c>
      <c r="T712">
        <v>518.54</v>
      </c>
      <c r="U712" s="2">
        <v>388.91</v>
      </c>
      <c r="V712">
        <v>137.03</v>
      </c>
      <c r="W712">
        <v>244.07</v>
      </c>
      <c r="X712" s="2">
        <v>7.81</v>
      </c>
      <c r="Y712">
        <v>2.01E-2</v>
      </c>
      <c r="Z712">
        <v>8</v>
      </c>
      <c r="AA712" t="s">
        <v>131</v>
      </c>
      <c r="AB712" t="s">
        <v>47</v>
      </c>
      <c r="AE712" s="2">
        <v>354.08</v>
      </c>
      <c r="AF712">
        <v>1.0984</v>
      </c>
      <c r="AG712" t="s">
        <v>49</v>
      </c>
      <c r="AH712" s="23">
        <f>SUM(Amazon_Data_Set[[#This Row],[Gross Sales]]-Amazon_Data_Set[[#This Row],[Discount Amount]])</f>
        <v>388.90999999999997</v>
      </c>
    </row>
    <row r="713" spans="1:34">
      <c r="A713" t="s">
        <v>1892</v>
      </c>
      <c r="B713" s="1">
        <v>46310</v>
      </c>
      <c r="C713" t="str">
        <f>TEXT(Amazon_Data_Set[[#This Row],[Order Date]],"mmm")</f>
        <v>Oct</v>
      </c>
      <c r="D713" t="s">
        <v>1281</v>
      </c>
      <c r="E713" t="s">
        <v>109</v>
      </c>
      <c r="F713" t="s">
        <v>110</v>
      </c>
      <c r="G713" t="s">
        <v>111</v>
      </c>
      <c r="H713" t="s">
        <v>142</v>
      </c>
      <c r="I713" t="s">
        <v>143</v>
      </c>
      <c r="J713" t="s">
        <v>183</v>
      </c>
      <c r="K713" t="s">
        <v>184</v>
      </c>
      <c r="L713" t="s">
        <v>1893</v>
      </c>
      <c r="M713" t="s">
        <v>106</v>
      </c>
      <c r="N713" t="s">
        <v>124</v>
      </c>
      <c r="O713" t="s">
        <v>45</v>
      </c>
      <c r="P713">
        <v>2</v>
      </c>
      <c r="Q713">
        <v>11136.13</v>
      </c>
      <c r="R713" s="19">
        <v>0.3</v>
      </c>
      <c r="S713" s="21">
        <v>6681.68</v>
      </c>
      <c r="T713">
        <v>22272.26</v>
      </c>
      <c r="U713" s="2">
        <v>15590.58</v>
      </c>
      <c r="V713">
        <v>18.93</v>
      </c>
      <c r="W713">
        <v>10132.120000000001</v>
      </c>
      <c r="X713" s="2">
        <v>5439.53</v>
      </c>
      <c r="Y713">
        <v>0.34889999999999999</v>
      </c>
      <c r="Z713">
        <v>5</v>
      </c>
      <c r="AA713" t="s">
        <v>61</v>
      </c>
      <c r="AB713" t="s">
        <v>47</v>
      </c>
      <c r="AD713">
        <v>3</v>
      </c>
      <c r="AE713" s="2">
        <v>17294.25</v>
      </c>
      <c r="AF713">
        <v>0.90149999999999997</v>
      </c>
      <c r="AG713" t="s">
        <v>49</v>
      </c>
      <c r="AH713" s="23">
        <f>SUM(Amazon_Data_Set[[#This Row],[Gross Sales]]-Amazon_Data_Set[[#This Row],[Discount Amount]])</f>
        <v>15590.579999999998</v>
      </c>
    </row>
    <row r="714" spans="1:34">
      <c r="A714" t="s">
        <v>1894</v>
      </c>
      <c r="B714" s="1">
        <v>46136</v>
      </c>
      <c r="C714" t="str">
        <f>TEXT(Amazon_Data_Set[[#This Row],[Order Date]],"mmm")</f>
        <v>Apr</v>
      </c>
      <c r="D714" t="s">
        <v>1864</v>
      </c>
      <c r="E714" t="s">
        <v>35</v>
      </c>
      <c r="F714" t="s">
        <v>36</v>
      </c>
      <c r="G714" t="s">
        <v>37</v>
      </c>
      <c r="H714" t="s">
        <v>83</v>
      </c>
      <c r="I714" t="s">
        <v>102</v>
      </c>
      <c r="J714" t="s">
        <v>103</v>
      </c>
      <c r="K714" t="s">
        <v>104</v>
      </c>
      <c r="L714" t="s">
        <v>1895</v>
      </c>
      <c r="M714" t="s">
        <v>106</v>
      </c>
      <c r="N714" t="s">
        <v>70</v>
      </c>
      <c r="O714" t="s">
        <v>130</v>
      </c>
      <c r="P714">
        <v>2</v>
      </c>
      <c r="Q714">
        <v>1057.51</v>
      </c>
      <c r="R714" s="19">
        <v>0.3</v>
      </c>
      <c r="S714" s="21">
        <v>634.51</v>
      </c>
      <c r="T714">
        <v>2115.02</v>
      </c>
      <c r="U714" s="2">
        <v>1480.51</v>
      </c>
      <c r="V714">
        <v>198.94</v>
      </c>
      <c r="W714">
        <v>792.54</v>
      </c>
      <c r="X714" s="2">
        <v>489.03</v>
      </c>
      <c r="Y714">
        <v>0.33029999999999998</v>
      </c>
      <c r="Z714">
        <v>8</v>
      </c>
      <c r="AA714" t="s">
        <v>131</v>
      </c>
      <c r="AB714" t="s">
        <v>47</v>
      </c>
      <c r="AE714" s="2">
        <v>1588.07</v>
      </c>
      <c r="AF714">
        <v>0.93230000000000002</v>
      </c>
      <c r="AG714" t="s">
        <v>49</v>
      </c>
      <c r="AH714" s="23">
        <f>SUM(Amazon_Data_Set[[#This Row],[Gross Sales]]-Amazon_Data_Set[[#This Row],[Discount Amount]])</f>
        <v>1480.51</v>
      </c>
    </row>
    <row r="715" spans="1:34">
      <c r="A715" t="s">
        <v>1896</v>
      </c>
      <c r="B715" s="1">
        <v>46335</v>
      </c>
      <c r="C715" t="str">
        <f>TEXT(Amazon_Data_Set[[#This Row],[Order Date]],"mmm")</f>
        <v>Nov</v>
      </c>
      <c r="D715" t="s">
        <v>993</v>
      </c>
      <c r="E715" t="s">
        <v>194</v>
      </c>
      <c r="F715" t="s">
        <v>195</v>
      </c>
      <c r="G715" t="s">
        <v>111</v>
      </c>
      <c r="H715" t="s">
        <v>55</v>
      </c>
      <c r="I715" t="s">
        <v>56</v>
      </c>
      <c r="J715" t="s">
        <v>366</v>
      </c>
      <c r="K715" t="s">
        <v>367</v>
      </c>
      <c r="L715" t="s">
        <v>1897</v>
      </c>
      <c r="M715" t="s">
        <v>43</v>
      </c>
      <c r="N715" t="s">
        <v>70</v>
      </c>
      <c r="O715" t="s">
        <v>45</v>
      </c>
      <c r="P715">
        <v>5</v>
      </c>
      <c r="Q715">
        <v>43640.3</v>
      </c>
      <c r="R715" s="19">
        <v>0</v>
      </c>
      <c r="S715" s="21">
        <v>0</v>
      </c>
      <c r="T715">
        <v>218201.5</v>
      </c>
      <c r="U715" s="2">
        <v>218201.5</v>
      </c>
      <c r="V715">
        <v>206.01</v>
      </c>
      <c r="W715">
        <v>166113.98000000001</v>
      </c>
      <c r="X715" s="2">
        <v>51881.51</v>
      </c>
      <c r="Y715">
        <v>0.23780000000000001</v>
      </c>
      <c r="Z715">
        <v>4</v>
      </c>
      <c r="AA715" t="s">
        <v>46</v>
      </c>
      <c r="AB715" t="s">
        <v>47</v>
      </c>
      <c r="AD715">
        <v>3</v>
      </c>
      <c r="AE715" s="2">
        <v>242160.57</v>
      </c>
      <c r="AF715">
        <v>0.90110000000000001</v>
      </c>
      <c r="AG715" t="s">
        <v>347</v>
      </c>
      <c r="AH715" s="23">
        <f>SUM(Amazon_Data_Set[[#This Row],[Gross Sales]]-Amazon_Data_Set[[#This Row],[Discount Amount]])</f>
        <v>218201.5</v>
      </c>
    </row>
    <row r="716" spans="1:34">
      <c r="A716" t="s">
        <v>1898</v>
      </c>
      <c r="B716" s="1">
        <v>46129</v>
      </c>
      <c r="C716" t="str">
        <f>TEXT(Amazon_Data_Set[[#This Row],[Order Date]],"mmm")</f>
        <v>Apr</v>
      </c>
      <c r="D716" t="s">
        <v>951</v>
      </c>
      <c r="E716" t="s">
        <v>35</v>
      </c>
      <c r="F716" t="s">
        <v>36</v>
      </c>
      <c r="G716" t="s">
        <v>37</v>
      </c>
      <c r="H716" t="s">
        <v>55</v>
      </c>
      <c r="I716" t="s">
        <v>73</v>
      </c>
      <c r="J716" t="s">
        <v>230</v>
      </c>
      <c r="K716" t="s">
        <v>231</v>
      </c>
      <c r="L716" t="s">
        <v>1899</v>
      </c>
      <c r="M716" t="s">
        <v>43</v>
      </c>
      <c r="N716" t="s">
        <v>124</v>
      </c>
      <c r="O716" t="s">
        <v>45</v>
      </c>
      <c r="P716">
        <v>5</v>
      </c>
      <c r="Q716">
        <v>18349.64</v>
      </c>
      <c r="R716" s="19">
        <v>0.05</v>
      </c>
      <c r="S716" s="21">
        <v>4587.41</v>
      </c>
      <c r="T716">
        <v>91748.2</v>
      </c>
      <c r="U716" s="2">
        <v>87160.79</v>
      </c>
      <c r="V716">
        <v>145.13</v>
      </c>
      <c r="W716">
        <v>61610.3</v>
      </c>
      <c r="X716" s="2">
        <v>25405.360000000001</v>
      </c>
      <c r="Y716">
        <v>0.29149999999999998</v>
      </c>
      <c r="Z716">
        <v>2</v>
      </c>
      <c r="AA716" t="s">
        <v>46</v>
      </c>
      <c r="AB716" t="s">
        <v>47</v>
      </c>
      <c r="AD716">
        <v>4</v>
      </c>
      <c r="AE716" s="2">
        <v>93380.64</v>
      </c>
      <c r="AF716">
        <v>0.93340000000000001</v>
      </c>
      <c r="AG716" t="s">
        <v>49</v>
      </c>
      <c r="AH716" s="23">
        <f>SUM(Amazon_Data_Set[[#This Row],[Gross Sales]]-Amazon_Data_Set[[#This Row],[Discount Amount]])</f>
        <v>87160.79</v>
      </c>
    </row>
    <row r="717" spans="1:34">
      <c r="A717" t="s">
        <v>1900</v>
      </c>
      <c r="B717" s="1">
        <v>46121</v>
      </c>
      <c r="C717" t="str">
        <f>TEXT(Amazon_Data_Set[[#This Row],[Order Date]],"mmm")</f>
        <v>Apr</v>
      </c>
      <c r="D717" t="s">
        <v>471</v>
      </c>
      <c r="E717" t="s">
        <v>228</v>
      </c>
      <c r="F717" t="s">
        <v>229</v>
      </c>
      <c r="G717" t="s">
        <v>37</v>
      </c>
      <c r="H717" t="s">
        <v>142</v>
      </c>
      <c r="I717" t="s">
        <v>214</v>
      </c>
      <c r="J717" t="s">
        <v>215</v>
      </c>
      <c r="K717" t="s">
        <v>216</v>
      </c>
      <c r="L717" t="s">
        <v>1901</v>
      </c>
      <c r="M717" t="s">
        <v>106</v>
      </c>
      <c r="N717" t="s">
        <v>77</v>
      </c>
      <c r="O717" t="s">
        <v>45</v>
      </c>
      <c r="P717">
        <v>3</v>
      </c>
      <c r="Q717">
        <v>4168.3599999999997</v>
      </c>
      <c r="R717" s="19">
        <v>0</v>
      </c>
      <c r="S717" s="21">
        <v>0</v>
      </c>
      <c r="T717">
        <v>12505.08</v>
      </c>
      <c r="U717" s="2">
        <v>12505.08</v>
      </c>
      <c r="V717">
        <v>161.81</v>
      </c>
      <c r="W717">
        <v>8009.66</v>
      </c>
      <c r="X717" s="2">
        <v>4333.6099999999997</v>
      </c>
      <c r="Y717">
        <v>0.34649999999999997</v>
      </c>
      <c r="Z717">
        <v>8</v>
      </c>
      <c r="AA717" t="s">
        <v>61</v>
      </c>
      <c r="AB717" t="s">
        <v>47</v>
      </c>
      <c r="AD717">
        <v>4</v>
      </c>
      <c r="AE717" s="2">
        <v>14496.3</v>
      </c>
      <c r="AF717">
        <v>0.86260000000000003</v>
      </c>
      <c r="AG717" t="s">
        <v>49</v>
      </c>
      <c r="AH717" s="23">
        <f>SUM(Amazon_Data_Set[[#This Row],[Gross Sales]]-Amazon_Data_Set[[#This Row],[Discount Amount]])</f>
        <v>12505.08</v>
      </c>
    </row>
    <row r="718" spans="1:34">
      <c r="A718" t="s">
        <v>1902</v>
      </c>
      <c r="B718" s="1">
        <v>46377</v>
      </c>
      <c r="C718" t="str">
        <f>TEXT(Amazon_Data_Set[[#This Row],[Order Date]],"mmm")</f>
        <v>Dec</v>
      </c>
      <c r="D718" t="s">
        <v>544</v>
      </c>
      <c r="E718" t="s">
        <v>275</v>
      </c>
      <c r="F718" t="s">
        <v>276</v>
      </c>
      <c r="G718" t="s">
        <v>37</v>
      </c>
      <c r="H718" t="s">
        <v>83</v>
      </c>
      <c r="I718" t="s">
        <v>84</v>
      </c>
      <c r="J718" t="s">
        <v>332</v>
      </c>
      <c r="K718" t="s">
        <v>333</v>
      </c>
      <c r="L718" t="s">
        <v>1903</v>
      </c>
      <c r="M718" t="s">
        <v>106</v>
      </c>
      <c r="N718" t="s">
        <v>44</v>
      </c>
      <c r="O718" t="s">
        <v>45</v>
      </c>
      <c r="P718">
        <v>2</v>
      </c>
      <c r="Q718">
        <v>2136.33</v>
      </c>
      <c r="R718" s="19">
        <v>0.15</v>
      </c>
      <c r="S718" s="21">
        <v>640.9</v>
      </c>
      <c r="T718">
        <v>4272.66</v>
      </c>
      <c r="U718" s="2">
        <v>3631.76</v>
      </c>
      <c r="V718">
        <v>191.36</v>
      </c>
      <c r="W718">
        <v>1919.2</v>
      </c>
      <c r="X718" s="2">
        <v>1521.2</v>
      </c>
      <c r="Y718">
        <v>0.41889999999999999</v>
      </c>
      <c r="Z718">
        <v>7</v>
      </c>
      <c r="AA718" t="s">
        <v>61</v>
      </c>
      <c r="AB718" t="s">
        <v>47</v>
      </c>
      <c r="AD718">
        <v>5</v>
      </c>
      <c r="AE718" s="2">
        <v>3944.31</v>
      </c>
      <c r="AF718">
        <v>0.92079999999999995</v>
      </c>
      <c r="AG718" t="s">
        <v>347</v>
      </c>
      <c r="AH718" s="23">
        <f>SUM(Amazon_Data_Set[[#This Row],[Gross Sales]]-Amazon_Data_Set[[#This Row],[Discount Amount]])</f>
        <v>3631.7599999999998</v>
      </c>
    </row>
    <row r="719" spans="1:34">
      <c r="A719" t="s">
        <v>1904</v>
      </c>
      <c r="B719" s="1">
        <v>46100</v>
      </c>
      <c r="C719" t="str">
        <f>TEXT(Amazon_Data_Set[[#This Row],[Order Date]],"mmm")</f>
        <v>Mar</v>
      </c>
      <c r="D719" t="s">
        <v>553</v>
      </c>
      <c r="E719" t="s">
        <v>235</v>
      </c>
      <c r="F719" t="s">
        <v>236</v>
      </c>
      <c r="G719" t="s">
        <v>82</v>
      </c>
      <c r="H719" t="s">
        <v>38</v>
      </c>
      <c r="I719" t="s">
        <v>39</v>
      </c>
      <c r="J719" t="s">
        <v>40</v>
      </c>
      <c r="K719" t="s">
        <v>41</v>
      </c>
      <c r="L719" t="s">
        <v>1905</v>
      </c>
      <c r="M719" t="s">
        <v>43</v>
      </c>
      <c r="N719" t="s">
        <v>124</v>
      </c>
      <c r="O719" t="s">
        <v>45</v>
      </c>
      <c r="P719">
        <v>5</v>
      </c>
      <c r="Q719">
        <v>3013.09</v>
      </c>
      <c r="R719" s="19">
        <v>0</v>
      </c>
      <c r="S719" s="21">
        <v>0</v>
      </c>
      <c r="T719">
        <v>15065.45</v>
      </c>
      <c r="U719" s="2">
        <v>15065.45</v>
      </c>
      <c r="V719">
        <v>27.36</v>
      </c>
      <c r="W719">
        <v>10962.06</v>
      </c>
      <c r="X719" s="2">
        <v>4076.03</v>
      </c>
      <c r="Y719">
        <v>0.27060000000000001</v>
      </c>
      <c r="Z719">
        <v>5</v>
      </c>
      <c r="AA719" t="s">
        <v>61</v>
      </c>
      <c r="AB719" t="s">
        <v>48</v>
      </c>
      <c r="AC719" t="s">
        <v>158</v>
      </c>
      <c r="AD719">
        <v>5</v>
      </c>
      <c r="AE719" s="2">
        <v>13046.04</v>
      </c>
      <c r="AF719">
        <v>1.1548</v>
      </c>
      <c r="AG719" t="s">
        <v>49</v>
      </c>
      <c r="AH719" s="23">
        <f>SUM(Amazon_Data_Set[[#This Row],[Gross Sales]]-Amazon_Data_Set[[#This Row],[Discount Amount]])</f>
        <v>15065.45</v>
      </c>
    </row>
    <row r="720" spans="1:34">
      <c r="A720" t="s">
        <v>1906</v>
      </c>
      <c r="B720" s="1">
        <v>46255</v>
      </c>
      <c r="C720" t="str">
        <f>TEXT(Amazon_Data_Set[[#This Row],[Order Date]],"mmm")</f>
        <v>Aug</v>
      </c>
      <c r="D720" t="s">
        <v>1022</v>
      </c>
      <c r="E720" t="s">
        <v>118</v>
      </c>
      <c r="F720" t="s">
        <v>119</v>
      </c>
      <c r="G720" t="s">
        <v>82</v>
      </c>
      <c r="H720" t="s">
        <v>83</v>
      </c>
      <c r="I720" t="s">
        <v>188</v>
      </c>
      <c r="J720" t="s">
        <v>475</v>
      </c>
      <c r="K720" t="s">
        <v>476</v>
      </c>
      <c r="L720" t="s">
        <v>1907</v>
      </c>
      <c r="M720" t="s">
        <v>106</v>
      </c>
      <c r="N720" t="s">
        <v>44</v>
      </c>
      <c r="O720" t="s">
        <v>130</v>
      </c>
      <c r="P720">
        <v>1</v>
      </c>
      <c r="Q720">
        <v>2001.35</v>
      </c>
      <c r="R720" s="19">
        <v>0.25</v>
      </c>
      <c r="S720" s="21">
        <v>500.34</v>
      </c>
      <c r="T720">
        <v>2001.35</v>
      </c>
      <c r="U720" s="2">
        <v>1501.01</v>
      </c>
      <c r="V720">
        <v>215.93</v>
      </c>
      <c r="W720">
        <v>804.79</v>
      </c>
      <c r="X720" s="2">
        <v>480.29</v>
      </c>
      <c r="Y720">
        <v>0.32</v>
      </c>
      <c r="Z720">
        <v>6</v>
      </c>
      <c r="AA720" t="s">
        <v>131</v>
      </c>
      <c r="AB720" t="s">
        <v>47</v>
      </c>
      <c r="AE720" s="2">
        <v>1762.02</v>
      </c>
      <c r="AF720">
        <v>0.85189999999999999</v>
      </c>
      <c r="AG720" t="s">
        <v>49</v>
      </c>
      <c r="AH720" s="23">
        <f>SUM(Amazon_Data_Set[[#This Row],[Gross Sales]]-Amazon_Data_Set[[#This Row],[Discount Amount]])</f>
        <v>1501.01</v>
      </c>
    </row>
    <row r="721" spans="1:34">
      <c r="A721" t="s">
        <v>1908</v>
      </c>
      <c r="B721" s="1">
        <v>46317</v>
      </c>
      <c r="C721" t="str">
        <f>TEXT(Amazon_Data_Set[[#This Row],[Order Date]],"mmm")</f>
        <v>Oct</v>
      </c>
      <c r="D721" t="s">
        <v>837</v>
      </c>
      <c r="E721" t="s">
        <v>174</v>
      </c>
      <c r="F721" t="s">
        <v>175</v>
      </c>
      <c r="G721" t="s">
        <v>82</v>
      </c>
      <c r="H721" t="s">
        <v>83</v>
      </c>
      <c r="I721" t="s">
        <v>84</v>
      </c>
      <c r="J721" t="s">
        <v>332</v>
      </c>
      <c r="K721" t="s">
        <v>333</v>
      </c>
      <c r="L721" t="s">
        <v>1909</v>
      </c>
      <c r="M721" t="s">
        <v>106</v>
      </c>
      <c r="N721" t="s">
        <v>77</v>
      </c>
      <c r="O721" t="s">
        <v>45</v>
      </c>
      <c r="P721">
        <v>4</v>
      </c>
      <c r="Q721">
        <v>933.56</v>
      </c>
      <c r="R721" s="19">
        <v>0.25</v>
      </c>
      <c r="S721" s="21">
        <v>933.56</v>
      </c>
      <c r="T721">
        <v>3734.24</v>
      </c>
      <c r="U721" s="2">
        <v>2800.68</v>
      </c>
      <c r="V721">
        <v>169.88</v>
      </c>
      <c r="W721">
        <v>1930.41</v>
      </c>
      <c r="X721" s="2">
        <v>700.39</v>
      </c>
      <c r="Y721">
        <v>0.25009999999999999</v>
      </c>
      <c r="Z721">
        <v>8</v>
      </c>
      <c r="AA721" t="s">
        <v>61</v>
      </c>
      <c r="AB721" t="s">
        <v>47</v>
      </c>
      <c r="AD721">
        <v>5</v>
      </c>
      <c r="AE721" s="2">
        <v>2496.5300000000002</v>
      </c>
      <c r="AF721">
        <v>1.1217999999999999</v>
      </c>
      <c r="AG721" t="s">
        <v>49</v>
      </c>
      <c r="AH721" s="23">
        <f>SUM(Amazon_Data_Set[[#This Row],[Gross Sales]]-Amazon_Data_Set[[#This Row],[Discount Amount]])</f>
        <v>2800.68</v>
      </c>
    </row>
    <row r="722" spans="1:34">
      <c r="A722" t="s">
        <v>1910</v>
      </c>
      <c r="B722" s="1">
        <v>46155</v>
      </c>
      <c r="C722" t="str">
        <f>TEXT(Amazon_Data_Set[[#This Row],[Order Date]],"mmm")</f>
        <v>May</v>
      </c>
      <c r="D722" t="s">
        <v>824</v>
      </c>
      <c r="E722" t="s">
        <v>35</v>
      </c>
      <c r="F722" t="s">
        <v>36</v>
      </c>
      <c r="G722" t="s">
        <v>37</v>
      </c>
      <c r="H722" t="s">
        <v>55</v>
      </c>
      <c r="I722" t="s">
        <v>73</v>
      </c>
      <c r="J722" t="s">
        <v>247</v>
      </c>
      <c r="K722" t="s">
        <v>248</v>
      </c>
      <c r="L722" t="s">
        <v>1911</v>
      </c>
      <c r="M722" t="s">
        <v>106</v>
      </c>
      <c r="N722" t="s">
        <v>95</v>
      </c>
      <c r="O722" t="s">
        <v>45</v>
      </c>
      <c r="P722">
        <v>4</v>
      </c>
      <c r="Q722">
        <v>10104.67</v>
      </c>
      <c r="R722" s="19">
        <v>0</v>
      </c>
      <c r="S722" s="21">
        <v>0</v>
      </c>
      <c r="T722">
        <v>40418.68</v>
      </c>
      <c r="U722" s="2">
        <v>40418.68</v>
      </c>
      <c r="V722">
        <v>229.8</v>
      </c>
      <c r="W722">
        <v>21189.48</v>
      </c>
      <c r="X722" s="2">
        <v>18999.400000000001</v>
      </c>
      <c r="Y722">
        <v>0.47010000000000002</v>
      </c>
      <c r="Z722">
        <v>1</v>
      </c>
      <c r="AA722" t="s">
        <v>46</v>
      </c>
      <c r="AB722" t="s">
        <v>47</v>
      </c>
      <c r="AD722">
        <v>4</v>
      </c>
      <c r="AE722" s="2">
        <v>49491.74</v>
      </c>
      <c r="AF722">
        <v>0.81669999999999998</v>
      </c>
      <c r="AG722" t="s">
        <v>49</v>
      </c>
      <c r="AH722" s="23">
        <f>SUM(Amazon_Data_Set[[#This Row],[Gross Sales]]-Amazon_Data_Set[[#This Row],[Discount Amount]])</f>
        <v>40418.68</v>
      </c>
    </row>
    <row r="723" spans="1:34">
      <c r="A723" t="s">
        <v>1912</v>
      </c>
      <c r="B723" s="1">
        <v>46100</v>
      </c>
      <c r="C723" t="str">
        <f>TEXT(Amazon_Data_Set[[#This Row],[Order Date]],"mmm")</f>
        <v>Mar</v>
      </c>
      <c r="D723" t="s">
        <v>669</v>
      </c>
      <c r="E723" t="s">
        <v>275</v>
      </c>
      <c r="F723" t="s">
        <v>276</v>
      </c>
      <c r="G723" t="s">
        <v>37</v>
      </c>
      <c r="H723" t="s">
        <v>90</v>
      </c>
      <c r="I723" t="s">
        <v>91</v>
      </c>
      <c r="J723" t="s">
        <v>92</v>
      </c>
      <c r="K723" t="s">
        <v>93</v>
      </c>
      <c r="L723" t="s">
        <v>1913</v>
      </c>
      <c r="M723" t="s">
        <v>106</v>
      </c>
      <c r="N723" t="s">
        <v>44</v>
      </c>
      <c r="O723" t="s">
        <v>45</v>
      </c>
      <c r="P723">
        <v>5</v>
      </c>
      <c r="Q723">
        <v>676.34</v>
      </c>
      <c r="R723" s="19">
        <v>0.15</v>
      </c>
      <c r="S723" s="21">
        <v>507.25</v>
      </c>
      <c r="T723">
        <v>3381.7</v>
      </c>
      <c r="U723" s="2">
        <v>2874.45</v>
      </c>
      <c r="V723">
        <v>165.77</v>
      </c>
      <c r="W723">
        <v>1393.49</v>
      </c>
      <c r="X723" s="2">
        <v>1315.19</v>
      </c>
      <c r="Y723">
        <v>0.45750000000000002</v>
      </c>
      <c r="Z723">
        <v>3</v>
      </c>
      <c r="AA723" t="s">
        <v>46</v>
      </c>
      <c r="AB723" t="s">
        <v>47</v>
      </c>
      <c r="AD723">
        <v>4</v>
      </c>
      <c r="AE723" s="2">
        <v>2505.35</v>
      </c>
      <c r="AF723">
        <v>1.1473</v>
      </c>
      <c r="AG723" t="s">
        <v>49</v>
      </c>
      <c r="AH723" s="23">
        <f>SUM(Amazon_Data_Set[[#This Row],[Gross Sales]]-Amazon_Data_Set[[#This Row],[Discount Amount]])</f>
        <v>2874.45</v>
      </c>
    </row>
    <row r="724" spans="1:34">
      <c r="A724" t="s">
        <v>1914</v>
      </c>
      <c r="B724" s="1">
        <v>46145</v>
      </c>
      <c r="C724" t="str">
        <f>TEXT(Amazon_Data_Set[[#This Row],[Order Date]],"mmm")</f>
        <v>May</v>
      </c>
      <c r="D724" t="s">
        <v>735</v>
      </c>
      <c r="E724" t="s">
        <v>174</v>
      </c>
      <c r="F724" t="s">
        <v>175</v>
      </c>
      <c r="G724" t="s">
        <v>82</v>
      </c>
      <c r="H724" t="s">
        <v>142</v>
      </c>
      <c r="I724" t="s">
        <v>214</v>
      </c>
      <c r="J724" t="s">
        <v>215</v>
      </c>
      <c r="K724" t="s">
        <v>216</v>
      </c>
      <c r="L724" t="s">
        <v>1915</v>
      </c>
      <c r="M724" t="s">
        <v>43</v>
      </c>
      <c r="N724" t="s">
        <v>44</v>
      </c>
      <c r="O724" t="s">
        <v>45</v>
      </c>
      <c r="P724">
        <v>4</v>
      </c>
      <c r="Q724">
        <v>7080.92</v>
      </c>
      <c r="R724" s="19">
        <v>0.2</v>
      </c>
      <c r="S724" s="21">
        <v>5664.74</v>
      </c>
      <c r="T724">
        <v>28323.68</v>
      </c>
      <c r="U724" s="2">
        <v>22658.94</v>
      </c>
      <c r="V724">
        <v>117.6</v>
      </c>
      <c r="W724">
        <v>11632.6</v>
      </c>
      <c r="X724" s="2">
        <v>10908.74</v>
      </c>
      <c r="Y724">
        <v>0.48139999999999999</v>
      </c>
      <c r="Z724">
        <v>4</v>
      </c>
      <c r="AA724" t="s">
        <v>46</v>
      </c>
      <c r="AB724" t="s">
        <v>47</v>
      </c>
      <c r="AD724">
        <v>4</v>
      </c>
      <c r="AE724" s="2">
        <v>23709.08</v>
      </c>
      <c r="AF724">
        <v>0.95569999999999999</v>
      </c>
      <c r="AG724" t="s">
        <v>49</v>
      </c>
      <c r="AH724" s="23">
        <f>SUM(Amazon_Data_Set[[#This Row],[Gross Sales]]-Amazon_Data_Set[[#This Row],[Discount Amount]])</f>
        <v>22658.940000000002</v>
      </c>
    </row>
    <row r="725" spans="1:34">
      <c r="A725" t="s">
        <v>1916</v>
      </c>
      <c r="B725" s="1">
        <v>46077</v>
      </c>
      <c r="C725" t="str">
        <f>TEXT(Amazon_Data_Set[[#This Row],[Order Date]],"mmm")</f>
        <v>Feb</v>
      </c>
      <c r="D725" t="s">
        <v>987</v>
      </c>
      <c r="E725" t="s">
        <v>109</v>
      </c>
      <c r="F725" t="s">
        <v>110</v>
      </c>
      <c r="G725" t="s">
        <v>111</v>
      </c>
      <c r="H725" t="s">
        <v>142</v>
      </c>
      <c r="I725" t="s">
        <v>209</v>
      </c>
      <c r="J725" t="s">
        <v>243</v>
      </c>
      <c r="K725" t="s">
        <v>145</v>
      </c>
      <c r="L725" t="s">
        <v>1917</v>
      </c>
      <c r="M725" t="s">
        <v>43</v>
      </c>
      <c r="N725" t="s">
        <v>77</v>
      </c>
      <c r="O725" t="s">
        <v>130</v>
      </c>
      <c r="P725">
        <v>2</v>
      </c>
      <c r="Q725">
        <v>4094.71</v>
      </c>
      <c r="R725" s="19">
        <v>0.3</v>
      </c>
      <c r="S725" s="21">
        <v>2456.83</v>
      </c>
      <c r="T725">
        <v>8189.42</v>
      </c>
      <c r="U725" s="2">
        <v>5732.59</v>
      </c>
      <c r="V725">
        <v>9.0500000000000007</v>
      </c>
      <c r="W725">
        <v>3186.41</v>
      </c>
      <c r="X725" s="2">
        <v>2537.13</v>
      </c>
      <c r="Y725">
        <v>0.44259999999999999</v>
      </c>
      <c r="Z725">
        <v>2</v>
      </c>
      <c r="AA725" t="s">
        <v>131</v>
      </c>
      <c r="AB725" t="s">
        <v>47</v>
      </c>
      <c r="AE725" s="2">
        <v>5121.32</v>
      </c>
      <c r="AF725">
        <v>1.1194</v>
      </c>
      <c r="AG725" t="s">
        <v>49</v>
      </c>
      <c r="AH725" s="23">
        <f>SUM(Amazon_Data_Set[[#This Row],[Gross Sales]]-Amazon_Data_Set[[#This Row],[Discount Amount]])</f>
        <v>5732.59</v>
      </c>
    </row>
    <row r="726" spans="1:34">
      <c r="A726" t="s">
        <v>1918</v>
      </c>
      <c r="B726" s="1">
        <v>46272</v>
      </c>
      <c r="C726" t="str">
        <f>TEXT(Amazon_Data_Set[[#This Row],[Order Date]],"mmm")</f>
        <v>Sep</v>
      </c>
      <c r="D726" t="s">
        <v>946</v>
      </c>
      <c r="E726" t="s">
        <v>235</v>
      </c>
      <c r="F726" t="s">
        <v>236</v>
      </c>
      <c r="G726" t="s">
        <v>82</v>
      </c>
      <c r="H726" t="s">
        <v>142</v>
      </c>
      <c r="I726" t="s">
        <v>214</v>
      </c>
      <c r="J726" t="s">
        <v>350</v>
      </c>
      <c r="K726" t="s">
        <v>351</v>
      </c>
      <c r="L726" t="s">
        <v>1919</v>
      </c>
      <c r="M726" t="s">
        <v>106</v>
      </c>
      <c r="N726" t="s">
        <v>70</v>
      </c>
      <c r="O726" t="s">
        <v>45</v>
      </c>
      <c r="P726">
        <v>2</v>
      </c>
      <c r="Q726">
        <v>3927.92</v>
      </c>
      <c r="R726" s="19">
        <v>0</v>
      </c>
      <c r="S726" s="21">
        <v>0</v>
      </c>
      <c r="T726">
        <v>7855.84</v>
      </c>
      <c r="U726" s="2">
        <v>7855.84</v>
      </c>
      <c r="V726">
        <v>193.31</v>
      </c>
      <c r="W726">
        <v>4927.87</v>
      </c>
      <c r="X726" s="2">
        <v>2734.66</v>
      </c>
      <c r="Y726">
        <v>0.34810000000000002</v>
      </c>
      <c r="Z726">
        <v>2</v>
      </c>
      <c r="AA726" t="s">
        <v>46</v>
      </c>
      <c r="AB726" t="s">
        <v>47</v>
      </c>
      <c r="AD726">
        <v>5</v>
      </c>
      <c r="AE726" s="2">
        <v>8231.65</v>
      </c>
      <c r="AF726">
        <v>0.95430000000000004</v>
      </c>
      <c r="AG726" t="s">
        <v>49</v>
      </c>
      <c r="AH726" s="23">
        <f>SUM(Amazon_Data_Set[[#This Row],[Gross Sales]]-Amazon_Data_Set[[#This Row],[Discount Amount]])</f>
        <v>7855.84</v>
      </c>
    </row>
    <row r="727" spans="1:34">
      <c r="A727" t="s">
        <v>1920</v>
      </c>
      <c r="B727" s="1">
        <v>46023</v>
      </c>
      <c r="C727" t="str">
        <f>TEXT(Amazon_Data_Set[[#This Row],[Order Date]],"mmm")</f>
        <v>Jan</v>
      </c>
      <c r="D727" t="s">
        <v>139</v>
      </c>
      <c r="E727" t="s">
        <v>52</v>
      </c>
      <c r="F727" t="s">
        <v>53</v>
      </c>
      <c r="G727" t="s">
        <v>54</v>
      </c>
      <c r="H727" t="s">
        <v>90</v>
      </c>
      <c r="I727" t="s">
        <v>112</v>
      </c>
      <c r="J727" t="s">
        <v>292</v>
      </c>
      <c r="K727" t="s">
        <v>293</v>
      </c>
      <c r="L727" t="s">
        <v>1921</v>
      </c>
      <c r="M727" t="s">
        <v>106</v>
      </c>
      <c r="N727" t="s">
        <v>70</v>
      </c>
      <c r="O727" t="s">
        <v>45</v>
      </c>
      <c r="P727">
        <v>5</v>
      </c>
      <c r="Q727">
        <v>1492.8</v>
      </c>
      <c r="R727" s="19">
        <v>0.1</v>
      </c>
      <c r="S727" s="21">
        <v>746.4</v>
      </c>
      <c r="T727">
        <v>7464</v>
      </c>
      <c r="U727" s="2">
        <v>6717.6</v>
      </c>
      <c r="V727">
        <v>77.17</v>
      </c>
      <c r="W727">
        <v>4505.59</v>
      </c>
      <c r="X727" s="2">
        <v>2134.84</v>
      </c>
      <c r="Y727">
        <v>0.31780000000000003</v>
      </c>
      <c r="Z727">
        <v>2</v>
      </c>
      <c r="AA727" t="s">
        <v>46</v>
      </c>
      <c r="AB727" t="s">
        <v>47</v>
      </c>
      <c r="AD727">
        <v>5</v>
      </c>
      <c r="AE727" s="2">
        <v>8344.56</v>
      </c>
      <c r="AF727">
        <v>0.80500000000000005</v>
      </c>
      <c r="AG727" t="s">
        <v>49</v>
      </c>
      <c r="AH727" s="23">
        <f>SUM(Amazon_Data_Set[[#This Row],[Gross Sales]]-Amazon_Data_Set[[#This Row],[Discount Amount]])</f>
        <v>6717.6</v>
      </c>
    </row>
    <row r="728" spans="1:34">
      <c r="A728" t="s">
        <v>1922</v>
      </c>
      <c r="B728" s="1">
        <v>46095</v>
      </c>
      <c r="C728" t="str">
        <f>TEXT(Amazon_Data_Set[[#This Row],[Order Date]],"mmm")</f>
        <v>Mar</v>
      </c>
      <c r="D728" t="s">
        <v>1147</v>
      </c>
      <c r="E728" t="s">
        <v>109</v>
      </c>
      <c r="F728" t="s">
        <v>110</v>
      </c>
      <c r="G728" t="s">
        <v>111</v>
      </c>
      <c r="H728" t="s">
        <v>55</v>
      </c>
      <c r="I728" t="s">
        <v>120</v>
      </c>
      <c r="J728" t="s">
        <v>127</v>
      </c>
      <c r="K728" t="s">
        <v>128</v>
      </c>
      <c r="L728" t="s">
        <v>1923</v>
      </c>
      <c r="M728" t="s">
        <v>43</v>
      </c>
      <c r="N728" t="s">
        <v>77</v>
      </c>
      <c r="O728" t="s">
        <v>45</v>
      </c>
      <c r="P728">
        <v>2</v>
      </c>
      <c r="Q728">
        <v>38150.86</v>
      </c>
      <c r="R728" s="19">
        <v>0.1</v>
      </c>
      <c r="S728" s="21">
        <v>7630.17</v>
      </c>
      <c r="T728">
        <v>76301.72</v>
      </c>
      <c r="U728" s="2">
        <v>68671.55</v>
      </c>
      <c r="V728">
        <v>147.94</v>
      </c>
      <c r="W728">
        <v>52808.05</v>
      </c>
      <c r="X728" s="2">
        <v>15715.56</v>
      </c>
      <c r="Y728">
        <v>0.22889999999999999</v>
      </c>
      <c r="Z728">
        <v>2</v>
      </c>
      <c r="AA728" t="s">
        <v>46</v>
      </c>
      <c r="AB728" t="s">
        <v>47</v>
      </c>
      <c r="AD728">
        <v>4</v>
      </c>
      <c r="AE728" s="2">
        <v>59763.82</v>
      </c>
      <c r="AF728">
        <v>1.149</v>
      </c>
      <c r="AG728" t="s">
        <v>49</v>
      </c>
      <c r="AH728" s="23">
        <f>SUM(Amazon_Data_Set[[#This Row],[Gross Sales]]-Amazon_Data_Set[[#This Row],[Discount Amount]])</f>
        <v>68671.55</v>
      </c>
    </row>
    <row r="729" spans="1:34">
      <c r="A729" t="s">
        <v>1924</v>
      </c>
      <c r="B729" s="1">
        <v>46384</v>
      </c>
      <c r="C729" t="str">
        <f>TEXT(Amazon_Data_Set[[#This Row],[Order Date]],"mmm")</f>
        <v>Dec</v>
      </c>
      <c r="D729" t="s">
        <v>651</v>
      </c>
      <c r="E729" t="s">
        <v>275</v>
      </c>
      <c r="F729" t="s">
        <v>276</v>
      </c>
      <c r="G729" t="s">
        <v>37</v>
      </c>
      <c r="H729" t="s">
        <v>55</v>
      </c>
      <c r="I729" t="s">
        <v>56</v>
      </c>
      <c r="J729" t="s">
        <v>366</v>
      </c>
      <c r="K729" t="s">
        <v>367</v>
      </c>
      <c r="L729" t="s">
        <v>1925</v>
      </c>
      <c r="M729" t="s">
        <v>106</v>
      </c>
      <c r="N729" t="s">
        <v>124</v>
      </c>
      <c r="O729" t="s">
        <v>45</v>
      </c>
      <c r="P729">
        <v>3</v>
      </c>
      <c r="Q729">
        <v>3845.67</v>
      </c>
      <c r="R729" s="19">
        <v>0.05</v>
      </c>
      <c r="S729" s="21">
        <v>576.85</v>
      </c>
      <c r="T729">
        <v>11537.01</v>
      </c>
      <c r="U729" s="2">
        <v>10960.16</v>
      </c>
      <c r="V729">
        <v>52.86</v>
      </c>
      <c r="W729">
        <v>8144.37</v>
      </c>
      <c r="X729" s="2">
        <v>2762.93</v>
      </c>
      <c r="Y729">
        <v>0.25209999999999999</v>
      </c>
      <c r="Z729">
        <v>6</v>
      </c>
      <c r="AA729" t="s">
        <v>61</v>
      </c>
      <c r="AB729" t="s">
        <v>47</v>
      </c>
      <c r="AD729">
        <v>4</v>
      </c>
      <c r="AE729" s="2">
        <v>11757.42</v>
      </c>
      <c r="AF729">
        <v>0.93220000000000003</v>
      </c>
      <c r="AG729" t="s">
        <v>49</v>
      </c>
      <c r="AH729" s="23">
        <f>SUM(Amazon_Data_Set[[#This Row],[Gross Sales]]-Amazon_Data_Set[[#This Row],[Discount Amount]])</f>
        <v>10960.16</v>
      </c>
    </row>
    <row r="730" spans="1:34">
      <c r="A730" t="s">
        <v>1926</v>
      </c>
      <c r="B730" s="1">
        <v>46187</v>
      </c>
      <c r="C730" t="str">
        <f>TEXT(Amazon_Data_Set[[#This Row],[Order Date]],"mmm")</f>
        <v>Jun</v>
      </c>
      <c r="D730" t="s">
        <v>126</v>
      </c>
      <c r="E730" t="s">
        <v>275</v>
      </c>
      <c r="F730" t="s">
        <v>276</v>
      </c>
      <c r="G730" t="s">
        <v>37</v>
      </c>
      <c r="H730" t="s">
        <v>38</v>
      </c>
      <c r="I730" t="s">
        <v>39</v>
      </c>
      <c r="J730" t="s">
        <v>281</v>
      </c>
      <c r="K730" t="s">
        <v>282</v>
      </c>
      <c r="L730" t="s">
        <v>1927</v>
      </c>
      <c r="M730" t="s">
        <v>43</v>
      </c>
      <c r="N730" t="s">
        <v>95</v>
      </c>
      <c r="O730" t="s">
        <v>45</v>
      </c>
      <c r="P730">
        <v>3</v>
      </c>
      <c r="Q730">
        <v>4546.34</v>
      </c>
      <c r="R730" s="19">
        <v>0</v>
      </c>
      <c r="S730" s="21">
        <v>0</v>
      </c>
      <c r="T730">
        <v>13639.02</v>
      </c>
      <c r="U730" s="2">
        <v>13639.02</v>
      </c>
      <c r="V730">
        <v>36.07</v>
      </c>
      <c r="W730">
        <v>9635.5499999999993</v>
      </c>
      <c r="X730" s="2">
        <v>3967.4</v>
      </c>
      <c r="Y730">
        <v>0.29089999999999999</v>
      </c>
      <c r="Z730">
        <v>4</v>
      </c>
      <c r="AA730" t="s">
        <v>46</v>
      </c>
      <c r="AB730" t="s">
        <v>47</v>
      </c>
      <c r="AD730">
        <v>4</v>
      </c>
      <c r="AE730" s="2">
        <v>12380.69</v>
      </c>
      <c r="AF730">
        <v>1.1015999999999999</v>
      </c>
      <c r="AG730" t="s">
        <v>49</v>
      </c>
      <c r="AH730" s="23">
        <f>SUM(Amazon_Data_Set[[#This Row],[Gross Sales]]-Amazon_Data_Set[[#This Row],[Discount Amount]])</f>
        <v>13639.02</v>
      </c>
    </row>
    <row r="731" spans="1:34">
      <c r="A731" t="s">
        <v>1928</v>
      </c>
      <c r="B731" s="1">
        <v>46214</v>
      </c>
      <c r="C731" t="str">
        <f>TEXT(Amazon_Data_Set[[#This Row],[Order Date]],"mmm")</f>
        <v>Jul</v>
      </c>
      <c r="D731" t="s">
        <v>908</v>
      </c>
      <c r="E731" t="s">
        <v>140</v>
      </c>
      <c r="F731" t="s">
        <v>141</v>
      </c>
      <c r="G731" t="s">
        <v>54</v>
      </c>
      <c r="H731" t="s">
        <v>38</v>
      </c>
      <c r="I731" t="s">
        <v>66</v>
      </c>
      <c r="J731" t="s">
        <v>67</v>
      </c>
      <c r="K731" t="s">
        <v>68</v>
      </c>
      <c r="L731" t="s">
        <v>1929</v>
      </c>
      <c r="M731" t="s">
        <v>43</v>
      </c>
      <c r="N731" t="s">
        <v>77</v>
      </c>
      <c r="O731" t="s">
        <v>130</v>
      </c>
      <c r="P731">
        <v>5</v>
      </c>
      <c r="Q731">
        <v>4520.91</v>
      </c>
      <c r="R731" s="19">
        <v>0.3</v>
      </c>
      <c r="S731" s="21">
        <v>6781.36</v>
      </c>
      <c r="T731">
        <v>22604.55</v>
      </c>
      <c r="U731" s="2">
        <v>15823.19</v>
      </c>
      <c r="V731">
        <v>195.48</v>
      </c>
      <c r="W731">
        <v>7912.6</v>
      </c>
      <c r="X731" s="2">
        <v>7715.11</v>
      </c>
      <c r="Y731">
        <v>0.48759999999999998</v>
      </c>
      <c r="Z731">
        <v>7</v>
      </c>
      <c r="AA731" t="s">
        <v>131</v>
      </c>
      <c r="AB731" t="s">
        <v>47</v>
      </c>
      <c r="AE731" s="2">
        <v>18390.7</v>
      </c>
      <c r="AF731">
        <v>0.86040000000000005</v>
      </c>
      <c r="AG731" t="s">
        <v>49</v>
      </c>
      <c r="AH731" s="23">
        <f>SUM(Amazon_Data_Set[[#This Row],[Gross Sales]]-Amazon_Data_Set[[#This Row],[Discount Amount]])</f>
        <v>15823.189999999999</v>
      </c>
    </row>
    <row r="732" spans="1:34">
      <c r="A732" t="s">
        <v>1930</v>
      </c>
      <c r="B732" s="1">
        <v>46259</v>
      </c>
      <c r="C732" t="str">
        <f>TEXT(Amazon_Data_Set[[#This Row],[Order Date]],"mmm")</f>
        <v>Aug</v>
      </c>
      <c r="D732" t="s">
        <v>1931</v>
      </c>
      <c r="E732" t="s">
        <v>100</v>
      </c>
      <c r="F732" t="s">
        <v>179</v>
      </c>
      <c r="G732" t="s">
        <v>54</v>
      </c>
      <c r="H732" t="s">
        <v>90</v>
      </c>
      <c r="I732" t="s">
        <v>252</v>
      </c>
      <c r="J732" t="s">
        <v>528</v>
      </c>
      <c r="K732" t="s">
        <v>529</v>
      </c>
      <c r="L732" t="s">
        <v>1932</v>
      </c>
      <c r="M732" t="s">
        <v>43</v>
      </c>
      <c r="N732" t="s">
        <v>60</v>
      </c>
      <c r="O732" t="s">
        <v>45</v>
      </c>
      <c r="P732">
        <v>3</v>
      </c>
      <c r="Q732">
        <v>1641.88</v>
      </c>
      <c r="R732" s="19">
        <v>0</v>
      </c>
      <c r="S732" s="21">
        <v>0</v>
      </c>
      <c r="T732">
        <v>4925.6400000000003</v>
      </c>
      <c r="U732" s="2">
        <v>4925.6400000000003</v>
      </c>
      <c r="V732">
        <v>245.75</v>
      </c>
      <c r="W732">
        <v>3134.25</v>
      </c>
      <c r="X732" s="2">
        <v>1545.64</v>
      </c>
      <c r="Y732">
        <v>0.31380000000000002</v>
      </c>
      <c r="Z732">
        <v>2</v>
      </c>
      <c r="AA732" t="s">
        <v>46</v>
      </c>
      <c r="AB732" t="s">
        <v>47</v>
      </c>
      <c r="AD732">
        <v>3</v>
      </c>
      <c r="AE732" s="2">
        <v>6004.11</v>
      </c>
      <c r="AF732">
        <v>0.82040000000000002</v>
      </c>
      <c r="AG732" t="s">
        <v>347</v>
      </c>
      <c r="AH732" s="23">
        <f>SUM(Amazon_Data_Set[[#This Row],[Gross Sales]]-Amazon_Data_Set[[#This Row],[Discount Amount]])</f>
        <v>4925.6400000000003</v>
      </c>
    </row>
    <row r="733" spans="1:34">
      <c r="A733" t="s">
        <v>1933</v>
      </c>
      <c r="B733" s="1">
        <v>46026</v>
      </c>
      <c r="C733" t="str">
        <f>TEXT(Amazon_Data_Set[[#This Row],[Order Date]],"mmm")</f>
        <v>Jan</v>
      </c>
      <c r="D733" t="s">
        <v>178</v>
      </c>
      <c r="E733" t="s">
        <v>35</v>
      </c>
      <c r="F733" t="s">
        <v>36</v>
      </c>
      <c r="G733" t="s">
        <v>37</v>
      </c>
      <c r="H733" t="s">
        <v>55</v>
      </c>
      <c r="I733" t="s">
        <v>56</v>
      </c>
      <c r="J733" t="s">
        <v>448</v>
      </c>
      <c r="K733" t="s">
        <v>170</v>
      </c>
      <c r="L733" t="s">
        <v>1934</v>
      </c>
      <c r="M733" t="s">
        <v>43</v>
      </c>
      <c r="N733" t="s">
        <v>124</v>
      </c>
      <c r="O733" t="s">
        <v>130</v>
      </c>
      <c r="P733">
        <v>3</v>
      </c>
      <c r="Q733">
        <v>6834.14</v>
      </c>
      <c r="R733" s="19">
        <v>0.05</v>
      </c>
      <c r="S733" s="21">
        <v>1025.1199999999999</v>
      </c>
      <c r="T733">
        <v>20502.419999999998</v>
      </c>
      <c r="U733" s="2">
        <v>19477.3</v>
      </c>
      <c r="V733">
        <v>30.88</v>
      </c>
      <c r="W733">
        <v>12278.94</v>
      </c>
      <c r="X733" s="2">
        <v>7167.48</v>
      </c>
      <c r="Y733">
        <v>0.36799999999999999</v>
      </c>
      <c r="Z733">
        <v>4</v>
      </c>
      <c r="AA733" t="s">
        <v>131</v>
      </c>
      <c r="AB733" t="s">
        <v>47</v>
      </c>
      <c r="AE733" s="2">
        <v>21462.39</v>
      </c>
      <c r="AF733">
        <v>0.90749999999999997</v>
      </c>
      <c r="AG733" t="s">
        <v>49</v>
      </c>
      <c r="AH733" s="23">
        <f>SUM(Amazon_Data_Set[[#This Row],[Gross Sales]]-Amazon_Data_Set[[#This Row],[Discount Amount]])</f>
        <v>19477.3</v>
      </c>
    </row>
    <row r="734" spans="1:34">
      <c r="A734" t="s">
        <v>1935</v>
      </c>
      <c r="B734" s="1">
        <v>46271</v>
      </c>
      <c r="C734" t="str">
        <f>TEXT(Amazon_Data_Set[[#This Row],[Order Date]],"mmm")</f>
        <v>Sep</v>
      </c>
      <c r="D734" t="s">
        <v>1601</v>
      </c>
      <c r="E734" t="s">
        <v>109</v>
      </c>
      <c r="F734" t="s">
        <v>110</v>
      </c>
      <c r="G734" t="s">
        <v>111</v>
      </c>
      <c r="H734" t="s">
        <v>55</v>
      </c>
      <c r="I734" t="s">
        <v>73</v>
      </c>
      <c r="J734" t="s">
        <v>74</v>
      </c>
      <c r="K734" t="s">
        <v>75</v>
      </c>
      <c r="L734" t="s">
        <v>1936</v>
      </c>
      <c r="M734" t="s">
        <v>106</v>
      </c>
      <c r="N734" t="s">
        <v>124</v>
      </c>
      <c r="O734" t="s">
        <v>96</v>
      </c>
      <c r="P734">
        <v>2</v>
      </c>
      <c r="Q734">
        <v>42179.08</v>
      </c>
      <c r="R734" s="19">
        <v>0.05</v>
      </c>
      <c r="S734" s="21">
        <v>4217.91</v>
      </c>
      <c r="T734">
        <v>84358.16</v>
      </c>
      <c r="U734" s="2">
        <v>80140.25</v>
      </c>
      <c r="V734">
        <v>166.22</v>
      </c>
      <c r="W734">
        <v>50740.36</v>
      </c>
      <c r="X734" s="2">
        <v>29233.67</v>
      </c>
      <c r="Y734">
        <v>0.36480000000000001</v>
      </c>
      <c r="Z734">
        <v>0</v>
      </c>
      <c r="AA734" t="s">
        <v>97</v>
      </c>
      <c r="AB734" t="s">
        <v>47</v>
      </c>
      <c r="AE734" s="2">
        <v>71914.69</v>
      </c>
      <c r="AF734">
        <v>1.1144000000000001</v>
      </c>
      <c r="AG734" t="s">
        <v>49</v>
      </c>
      <c r="AH734" s="23">
        <f>SUM(Amazon_Data_Set[[#This Row],[Gross Sales]]-Amazon_Data_Set[[#This Row],[Discount Amount]])</f>
        <v>80140.25</v>
      </c>
    </row>
    <row r="735" spans="1:34">
      <c r="A735" t="s">
        <v>1937</v>
      </c>
      <c r="B735" s="1">
        <v>46215</v>
      </c>
      <c r="C735" t="str">
        <f>TEXT(Amazon_Data_Set[[#This Row],[Order Date]],"mmm")</f>
        <v>Jul</v>
      </c>
      <c r="D735" t="s">
        <v>193</v>
      </c>
      <c r="E735" t="s">
        <v>149</v>
      </c>
      <c r="F735" t="s">
        <v>150</v>
      </c>
      <c r="G735" t="s">
        <v>37</v>
      </c>
      <c r="H735" t="s">
        <v>38</v>
      </c>
      <c r="I735" t="s">
        <v>39</v>
      </c>
      <c r="J735" t="s">
        <v>281</v>
      </c>
      <c r="K735" t="s">
        <v>282</v>
      </c>
      <c r="L735" t="s">
        <v>1938</v>
      </c>
      <c r="M735" t="s">
        <v>43</v>
      </c>
      <c r="N735" t="s">
        <v>70</v>
      </c>
      <c r="O735" t="s">
        <v>45</v>
      </c>
      <c r="P735">
        <v>3</v>
      </c>
      <c r="Q735">
        <v>1063.8499999999999</v>
      </c>
      <c r="R735" s="19">
        <v>0</v>
      </c>
      <c r="S735" s="21">
        <v>0</v>
      </c>
      <c r="T735">
        <v>3191.55</v>
      </c>
      <c r="U735" s="2">
        <v>3191.55</v>
      </c>
      <c r="V735">
        <v>242.49</v>
      </c>
      <c r="W735">
        <v>1900.55</v>
      </c>
      <c r="X735" s="2">
        <v>1048.51</v>
      </c>
      <c r="Y735">
        <v>0.32850000000000001</v>
      </c>
      <c r="Z735">
        <v>1</v>
      </c>
      <c r="AA735" t="s">
        <v>46</v>
      </c>
      <c r="AB735" t="s">
        <v>47</v>
      </c>
      <c r="AD735">
        <v>5</v>
      </c>
      <c r="AE735" s="2">
        <v>3812.66</v>
      </c>
      <c r="AF735">
        <v>0.83709999999999996</v>
      </c>
      <c r="AG735" t="s">
        <v>49</v>
      </c>
      <c r="AH735" s="23">
        <f>SUM(Amazon_Data_Set[[#This Row],[Gross Sales]]-Amazon_Data_Set[[#This Row],[Discount Amount]])</f>
        <v>3191.55</v>
      </c>
    </row>
    <row r="736" spans="1:34">
      <c r="A736" t="s">
        <v>1939</v>
      </c>
      <c r="B736" s="1">
        <v>46100</v>
      </c>
      <c r="C736" t="str">
        <f>TEXT(Amazon_Data_Set[[#This Row],[Order Date]],"mmm")</f>
        <v>Mar</v>
      </c>
      <c r="D736" t="s">
        <v>518</v>
      </c>
      <c r="E736" t="s">
        <v>174</v>
      </c>
      <c r="F736" t="s">
        <v>175</v>
      </c>
      <c r="G736" t="s">
        <v>82</v>
      </c>
      <c r="H736" t="s">
        <v>83</v>
      </c>
      <c r="I736" t="s">
        <v>188</v>
      </c>
      <c r="J736" t="s">
        <v>475</v>
      </c>
      <c r="K736" t="s">
        <v>476</v>
      </c>
      <c r="L736" t="s">
        <v>1940</v>
      </c>
      <c r="M736" t="s">
        <v>43</v>
      </c>
      <c r="N736" t="s">
        <v>44</v>
      </c>
      <c r="O736" t="s">
        <v>45</v>
      </c>
      <c r="P736">
        <v>5</v>
      </c>
      <c r="Q736">
        <v>1451.62</v>
      </c>
      <c r="R736" s="19">
        <v>0.1</v>
      </c>
      <c r="S736" s="21">
        <v>725.81</v>
      </c>
      <c r="T736">
        <v>7258.1</v>
      </c>
      <c r="U736" s="2">
        <v>6532.29</v>
      </c>
      <c r="V736">
        <v>23.88</v>
      </c>
      <c r="W736">
        <v>5040.34</v>
      </c>
      <c r="X736" s="2">
        <v>1468.07</v>
      </c>
      <c r="Y736">
        <v>0.22470000000000001</v>
      </c>
      <c r="Z736">
        <v>6</v>
      </c>
      <c r="AA736" t="s">
        <v>61</v>
      </c>
      <c r="AB736" t="s">
        <v>47</v>
      </c>
      <c r="AD736">
        <v>5</v>
      </c>
      <c r="AE736" s="2">
        <v>8046.42</v>
      </c>
      <c r="AF736">
        <v>0.81179999999999997</v>
      </c>
      <c r="AG736" t="s">
        <v>49</v>
      </c>
      <c r="AH736" s="23">
        <f>SUM(Amazon_Data_Set[[#This Row],[Gross Sales]]-Amazon_Data_Set[[#This Row],[Discount Amount]])</f>
        <v>6532.2900000000009</v>
      </c>
    </row>
    <row r="737" spans="1:34">
      <c r="A737" t="s">
        <v>1941</v>
      </c>
      <c r="B737" s="1">
        <v>46088</v>
      </c>
      <c r="C737" t="str">
        <f>TEXT(Amazon_Data_Set[[#This Row],[Order Date]],"mmm")</f>
        <v>Mar</v>
      </c>
      <c r="D737" t="s">
        <v>72</v>
      </c>
      <c r="E737" t="s">
        <v>100</v>
      </c>
      <c r="F737" t="s">
        <v>179</v>
      </c>
      <c r="G737" t="s">
        <v>54</v>
      </c>
      <c r="H737" t="s">
        <v>83</v>
      </c>
      <c r="I737" t="s">
        <v>102</v>
      </c>
      <c r="J737" t="s">
        <v>103</v>
      </c>
      <c r="K737" t="s">
        <v>104</v>
      </c>
      <c r="L737" t="s">
        <v>1942</v>
      </c>
      <c r="M737" t="s">
        <v>43</v>
      </c>
      <c r="N737" t="s">
        <v>60</v>
      </c>
      <c r="O737" t="s">
        <v>96</v>
      </c>
      <c r="P737">
        <v>2</v>
      </c>
      <c r="Q737">
        <v>323.66000000000003</v>
      </c>
      <c r="R737" s="19">
        <v>0.25</v>
      </c>
      <c r="S737" s="21">
        <v>161.83000000000001</v>
      </c>
      <c r="T737">
        <v>647.32000000000005</v>
      </c>
      <c r="U737" s="2">
        <v>485.49</v>
      </c>
      <c r="V737">
        <v>150.91999999999999</v>
      </c>
      <c r="W737">
        <v>261.64999999999998</v>
      </c>
      <c r="X737" s="2">
        <v>72.92</v>
      </c>
      <c r="Y737">
        <v>0.1502</v>
      </c>
      <c r="Z737">
        <v>0</v>
      </c>
      <c r="AA737" t="s">
        <v>97</v>
      </c>
      <c r="AB737" t="s">
        <v>47</v>
      </c>
      <c r="AE737" s="2">
        <v>423.93</v>
      </c>
      <c r="AF737">
        <v>1.1452</v>
      </c>
      <c r="AG737" t="s">
        <v>49</v>
      </c>
      <c r="AH737" s="23">
        <f>SUM(Amazon_Data_Set[[#This Row],[Gross Sales]]-Amazon_Data_Set[[#This Row],[Discount Amount]])</f>
        <v>485.49</v>
      </c>
    </row>
    <row r="738" spans="1:34">
      <c r="A738" t="s">
        <v>1943</v>
      </c>
      <c r="B738" s="1">
        <v>46091</v>
      </c>
      <c r="C738" t="str">
        <f>TEXT(Amazon_Data_Set[[#This Row],[Order Date]],"mmm")</f>
        <v>Mar</v>
      </c>
      <c r="D738" t="s">
        <v>72</v>
      </c>
      <c r="E738" t="s">
        <v>100</v>
      </c>
      <c r="F738" t="s">
        <v>179</v>
      </c>
      <c r="G738" t="s">
        <v>54</v>
      </c>
      <c r="H738" t="s">
        <v>55</v>
      </c>
      <c r="I738" t="s">
        <v>56</v>
      </c>
      <c r="J738" t="s">
        <v>366</v>
      </c>
      <c r="K738" t="s">
        <v>367</v>
      </c>
      <c r="L738" t="s">
        <v>1944</v>
      </c>
      <c r="M738" t="s">
        <v>43</v>
      </c>
      <c r="N738" t="s">
        <v>70</v>
      </c>
      <c r="O738" t="s">
        <v>45</v>
      </c>
      <c r="P738">
        <v>4</v>
      </c>
      <c r="Q738">
        <v>14485.67</v>
      </c>
      <c r="R738" s="19">
        <v>0.05</v>
      </c>
      <c r="S738" s="21">
        <v>2897.13</v>
      </c>
      <c r="T738">
        <v>57942.68</v>
      </c>
      <c r="U738" s="2">
        <v>55045.55</v>
      </c>
      <c r="V738">
        <v>195.42</v>
      </c>
      <c r="W738">
        <v>35185.519999999997</v>
      </c>
      <c r="X738" s="2">
        <v>19664.61</v>
      </c>
      <c r="Y738">
        <v>0.35720000000000002</v>
      </c>
      <c r="Z738">
        <v>6</v>
      </c>
      <c r="AA738" t="s">
        <v>61</v>
      </c>
      <c r="AB738" t="s">
        <v>47</v>
      </c>
      <c r="AD738">
        <v>4</v>
      </c>
      <c r="AE738" s="2">
        <v>58124.35</v>
      </c>
      <c r="AF738">
        <v>0.94699999999999995</v>
      </c>
      <c r="AG738" t="s">
        <v>49</v>
      </c>
      <c r="AH738" s="23">
        <f>SUM(Amazon_Data_Set[[#This Row],[Gross Sales]]-Amazon_Data_Set[[#This Row],[Discount Amount]])</f>
        <v>55045.55</v>
      </c>
    </row>
    <row r="739" spans="1:34">
      <c r="A739" t="s">
        <v>1945</v>
      </c>
      <c r="B739" s="1">
        <v>46309</v>
      </c>
      <c r="C739" t="str">
        <f>TEXT(Amazon_Data_Set[[#This Row],[Order Date]],"mmm")</f>
        <v>Oct</v>
      </c>
      <c r="D739" t="s">
        <v>865</v>
      </c>
      <c r="E739" t="s">
        <v>35</v>
      </c>
      <c r="F739" t="s">
        <v>36</v>
      </c>
      <c r="G739" t="s">
        <v>37</v>
      </c>
      <c r="H739" t="s">
        <v>90</v>
      </c>
      <c r="I739" t="s">
        <v>252</v>
      </c>
      <c r="J739" t="s">
        <v>270</v>
      </c>
      <c r="K739" t="s">
        <v>271</v>
      </c>
      <c r="L739" t="s">
        <v>1946</v>
      </c>
      <c r="M739" t="s">
        <v>106</v>
      </c>
      <c r="N739" t="s">
        <v>124</v>
      </c>
      <c r="O739" t="s">
        <v>45</v>
      </c>
      <c r="P739">
        <v>4</v>
      </c>
      <c r="Q739">
        <v>309.82</v>
      </c>
      <c r="R739" s="19">
        <v>0.05</v>
      </c>
      <c r="S739" s="21">
        <v>61.96</v>
      </c>
      <c r="T739">
        <v>1239.28</v>
      </c>
      <c r="U739" s="2">
        <v>1177.32</v>
      </c>
      <c r="V739">
        <v>242.58</v>
      </c>
      <c r="W739">
        <v>648.25</v>
      </c>
      <c r="X739" s="2">
        <v>286.49</v>
      </c>
      <c r="Y739">
        <v>0.24329999999999999</v>
      </c>
      <c r="Z739">
        <v>2</v>
      </c>
      <c r="AA739" t="s">
        <v>46</v>
      </c>
      <c r="AB739" t="s">
        <v>47</v>
      </c>
      <c r="AD739">
        <v>5</v>
      </c>
      <c r="AE739" s="2">
        <v>1307.68</v>
      </c>
      <c r="AF739">
        <v>0.90029999999999999</v>
      </c>
      <c r="AG739" t="s">
        <v>49</v>
      </c>
      <c r="AH739" s="23">
        <f>SUM(Amazon_Data_Set[[#This Row],[Gross Sales]]-Amazon_Data_Set[[#This Row],[Discount Amount]])</f>
        <v>1177.32</v>
      </c>
    </row>
    <row r="740" spans="1:34">
      <c r="A740" t="s">
        <v>1947</v>
      </c>
      <c r="B740" s="1">
        <v>46064</v>
      </c>
      <c r="C740" t="str">
        <f>TEXT(Amazon_Data_Set[[#This Row],[Order Date]],"mmm")</f>
        <v>Feb</v>
      </c>
      <c r="D740" t="s">
        <v>711</v>
      </c>
      <c r="E740" t="s">
        <v>228</v>
      </c>
      <c r="F740" t="s">
        <v>229</v>
      </c>
      <c r="G740" t="s">
        <v>37</v>
      </c>
      <c r="H740" t="s">
        <v>83</v>
      </c>
      <c r="I740" t="s">
        <v>84</v>
      </c>
      <c r="J740" t="s">
        <v>277</v>
      </c>
      <c r="K740" t="s">
        <v>86</v>
      </c>
      <c r="L740" t="s">
        <v>1948</v>
      </c>
      <c r="M740" t="s">
        <v>43</v>
      </c>
      <c r="N740" t="s">
        <v>70</v>
      </c>
      <c r="O740" t="s">
        <v>96</v>
      </c>
      <c r="P740">
        <v>4</v>
      </c>
      <c r="Q740">
        <v>237.56</v>
      </c>
      <c r="R740" s="19">
        <v>0</v>
      </c>
      <c r="S740" s="21">
        <v>0</v>
      </c>
      <c r="T740">
        <v>950.24</v>
      </c>
      <c r="U740" s="2">
        <v>950.24</v>
      </c>
      <c r="V740">
        <v>37.340000000000003</v>
      </c>
      <c r="W740">
        <v>675.92</v>
      </c>
      <c r="X740" s="2">
        <v>236.98</v>
      </c>
      <c r="Y740">
        <v>0.24940000000000001</v>
      </c>
      <c r="Z740">
        <v>0</v>
      </c>
      <c r="AA740" t="s">
        <v>97</v>
      </c>
      <c r="AB740" t="s">
        <v>47</v>
      </c>
      <c r="AE740" s="2">
        <v>1103.6199999999999</v>
      </c>
      <c r="AF740">
        <v>0.86099999999999999</v>
      </c>
      <c r="AG740" t="s">
        <v>49</v>
      </c>
      <c r="AH740" s="23">
        <f>SUM(Amazon_Data_Set[[#This Row],[Gross Sales]]-Amazon_Data_Set[[#This Row],[Discount Amount]])</f>
        <v>950.24</v>
      </c>
    </row>
    <row r="741" spans="1:34">
      <c r="A741" t="s">
        <v>1949</v>
      </c>
      <c r="B741" s="1">
        <v>46362</v>
      </c>
      <c r="C741" t="str">
        <f>TEXT(Amazon_Data_Set[[#This Row],[Order Date]],"mmm")</f>
        <v>Dec</v>
      </c>
      <c r="D741" t="s">
        <v>1144</v>
      </c>
      <c r="E741" t="s">
        <v>235</v>
      </c>
      <c r="F741" t="s">
        <v>236</v>
      </c>
      <c r="G741" t="s">
        <v>82</v>
      </c>
      <c r="H741" t="s">
        <v>83</v>
      </c>
      <c r="I741" t="s">
        <v>102</v>
      </c>
      <c r="J741" t="s">
        <v>373</v>
      </c>
      <c r="K741" t="s">
        <v>374</v>
      </c>
      <c r="L741" t="s">
        <v>1950</v>
      </c>
      <c r="M741" t="s">
        <v>43</v>
      </c>
      <c r="N741" t="s">
        <v>77</v>
      </c>
      <c r="O741" t="s">
        <v>130</v>
      </c>
      <c r="P741">
        <v>2</v>
      </c>
      <c r="Q741">
        <v>1090.07</v>
      </c>
      <c r="R741" s="19">
        <v>0.3</v>
      </c>
      <c r="S741" s="21">
        <v>654.04</v>
      </c>
      <c r="T741">
        <v>2180.14</v>
      </c>
      <c r="U741" s="2">
        <v>1526.1</v>
      </c>
      <c r="V741">
        <v>52.96</v>
      </c>
      <c r="W741">
        <v>794.86</v>
      </c>
      <c r="X741" s="2">
        <v>678.28</v>
      </c>
      <c r="Y741">
        <v>0.44450000000000001</v>
      </c>
      <c r="Z741">
        <v>8</v>
      </c>
      <c r="AA741" t="s">
        <v>131</v>
      </c>
      <c r="AB741" t="s">
        <v>47</v>
      </c>
      <c r="AE741" s="2">
        <v>1885.21</v>
      </c>
      <c r="AF741">
        <v>0.8095</v>
      </c>
      <c r="AG741" t="s">
        <v>49</v>
      </c>
      <c r="AH741" s="23">
        <f>SUM(Amazon_Data_Set[[#This Row],[Gross Sales]]-Amazon_Data_Set[[#This Row],[Discount Amount]])</f>
        <v>1526.1</v>
      </c>
    </row>
    <row r="742" spans="1:34">
      <c r="A742" t="s">
        <v>1951</v>
      </c>
      <c r="B742" s="1">
        <v>46050</v>
      </c>
      <c r="C742" t="str">
        <f>TEXT(Amazon_Data_Set[[#This Row],[Order Date]],"mmm")</f>
        <v>Jan</v>
      </c>
      <c r="D742" t="s">
        <v>357</v>
      </c>
      <c r="E742" t="s">
        <v>149</v>
      </c>
      <c r="F742" t="s">
        <v>150</v>
      </c>
      <c r="G742" t="s">
        <v>37</v>
      </c>
      <c r="H742" t="s">
        <v>38</v>
      </c>
      <c r="I742" t="s">
        <v>66</v>
      </c>
      <c r="J742" t="s">
        <v>337</v>
      </c>
      <c r="K742" t="s">
        <v>224</v>
      </c>
      <c r="L742" t="s">
        <v>1952</v>
      </c>
      <c r="M742" t="s">
        <v>106</v>
      </c>
      <c r="N742" t="s">
        <v>44</v>
      </c>
      <c r="O742" t="s">
        <v>45</v>
      </c>
      <c r="P742">
        <v>2</v>
      </c>
      <c r="Q742">
        <v>368.56</v>
      </c>
      <c r="R742" s="19">
        <v>0.2</v>
      </c>
      <c r="S742" s="21">
        <v>147.41999999999999</v>
      </c>
      <c r="T742">
        <v>737.12</v>
      </c>
      <c r="U742" s="2">
        <v>589.70000000000005</v>
      </c>
      <c r="V742">
        <v>235.12</v>
      </c>
      <c r="W742">
        <v>315.56</v>
      </c>
      <c r="X742" s="2">
        <v>39.020000000000003</v>
      </c>
      <c r="Y742">
        <v>6.6199999999999995E-2</v>
      </c>
      <c r="Z742">
        <v>6</v>
      </c>
      <c r="AA742" t="s">
        <v>61</v>
      </c>
      <c r="AB742" t="s">
        <v>47</v>
      </c>
      <c r="AD742">
        <v>3</v>
      </c>
      <c r="AE742" s="2">
        <v>697.7</v>
      </c>
      <c r="AF742">
        <v>0.84519999999999995</v>
      </c>
      <c r="AG742" t="s">
        <v>347</v>
      </c>
      <c r="AH742" s="23">
        <f>SUM(Amazon_Data_Set[[#This Row],[Gross Sales]]-Amazon_Data_Set[[#This Row],[Discount Amount]])</f>
        <v>589.70000000000005</v>
      </c>
    </row>
    <row r="743" spans="1:34">
      <c r="A743" t="s">
        <v>1953</v>
      </c>
      <c r="B743" s="1">
        <v>46113</v>
      </c>
      <c r="C743" t="str">
        <f>TEXT(Amazon_Data_Set[[#This Row],[Order Date]],"mmm")</f>
        <v>Apr</v>
      </c>
      <c r="D743" t="s">
        <v>372</v>
      </c>
      <c r="E743" t="s">
        <v>64</v>
      </c>
      <c r="F743" t="s">
        <v>65</v>
      </c>
      <c r="G743" t="s">
        <v>54</v>
      </c>
      <c r="H743" t="s">
        <v>38</v>
      </c>
      <c r="I743" t="s">
        <v>39</v>
      </c>
      <c r="J743" t="s">
        <v>40</v>
      </c>
      <c r="K743" t="s">
        <v>41</v>
      </c>
      <c r="L743" t="s">
        <v>1954</v>
      </c>
      <c r="M743" t="s">
        <v>106</v>
      </c>
      <c r="N743" t="s">
        <v>95</v>
      </c>
      <c r="O743" t="s">
        <v>96</v>
      </c>
      <c r="P743">
        <v>5</v>
      </c>
      <c r="Q743">
        <v>4089.77</v>
      </c>
      <c r="R743" s="19">
        <v>0.2</v>
      </c>
      <c r="S743" s="21">
        <v>4089.77</v>
      </c>
      <c r="T743">
        <v>20448.849999999999</v>
      </c>
      <c r="U743" s="2">
        <v>16359.08</v>
      </c>
      <c r="V743">
        <v>51.8</v>
      </c>
      <c r="W743">
        <v>9654.5300000000007</v>
      </c>
      <c r="X743" s="2">
        <v>6652.75</v>
      </c>
      <c r="Y743">
        <v>0.40670000000000001</v>
      </c>
      <c r="Z743">
        <v>0</v>
      </c>
      <c r="AA743" t="s">
        <v>97</v>
      </c>
      <c r="AB743" t="s">
        <v>47</v>
      </c>
      <c r="AE743" s="2">
        <v>15233.17</v>
      </c>
      <c r="AF743">
        <v>1.0739000000000001</v>
      </c>
      <c r="AG743" t="s">
        <v>49</v>
      </c>
      <c r="AH743" s="23">
        <f>SUM(Amazon_Data_Set[[#This Row],[Gross Sales]]-Amazon_Data_Set[[#This Row],[Discount Amount]])</f>
        <v>16359.079999999998</v>
      </c>
    </row>
    <row r="744" spans="1:34">
      <c r="A744" t="s">
        <v>1955</v>
      </c>
      <c r="B744" s="1">
        <v>46189</v>
      </c>
      <c r="C744" t="str">
        <f>TEXT(Amazon_Data_Set[[#This Row],[Order Date]],"mmm")</f>
        <v>Jun</v>
      </c>
      <c r="D744" t="s">
        <v>239</v>
      </c>
      <c r="E744" t="s">
        <v>80</v>
      </c>
      <c r="F744" t="s">
        <v>81</v>
      </c>
      <c r="G744" t="s">
        <v>82</v>
      </c>
      <c r="H744" t="s">
        <v>55</v>
      </c>
      <c r="I744" t="s">
        <v>56</v>
      </c>
      <c r="J744" t="s">
        <v>448</v>
      </c>
      <c r="K744" t="s">
        <v>170</v>
      </c>
      <c r="L744" t="s">
        <v>1956</v>
      </c>
      <c r="M744" t="s">
        <v>43</v>
      </c>
      <c r="N744" t="s">
        <v>77</v>
      </c>
      <c r="O744" t="s">
        <v>96</v>
      </c>
      <c r="P744">
        <v>4</v>
      </c>
      <c r="Q744">
        <v>36486.980000000003</v>
      </c>
      <c r="R744" s="19">
        <v>0.2</v>
      </c>
      <c r="S744" s="21">
        <v>29189.58</v>
      </c>
      <c r="T744">
        <v>145947.92000000001</v>
      </c>
      <c r="U744" s="2">
        <v>116758.34</v>
      </c>
      <c r="V744">
        <v>33.51</v>
      </c>
      <c r="W744">
        <v>83434.59</v>
      </c>
      <c r="X744" s="2">
        <v>33290.239999999998</v>
      </c>
      <c r="Y744">
        <v>0.28510000000000002</v>
      </c>
      <c r="Z744">
        <v>0</v>
      </c>
      <c r="AA744" t="s">
        <v>97</v>
      </c>
      <c r="AB744" t="s">
        <v>47</v>
      </c>
      <c r="AE744" s="2">
        <v>123927.71</v>
      </c>
      <c r="AF744">
        <v>0.94210000000000005</v>
      </c>
      <c r="AG744" t="s">
        <v>49</v>
      </c>
      <c r="AH744" s="23">
        <f>SUM(Amazon_Data_Set[[#This Row],[Gross Sales]]-Amazon_Data_Set[[#This Row],[Discount Amount]])</f>
        <v>116758.34000000001</v>
      </c>
    </row>
    <row r="745" spans="1:34">
      <c r="A745" t="s">
        <v>1957</v>
      </c>
      <c r="B745" s="1">
        <v>46240</v>
      </c>
      <c r="C745" t="str">
        <f>TEXT(Amazon_Data_Set[[#This Row],[Order Date]],"mmm")</f>
        <v>Aug</v>
      </c>
      <c r="D745" t="s">
        <v>635</v>
      </c>
      <c r="E745" t="s">
        <v>275</v>
      </c>
      <c r="F745" t="s">
        <v>276</v>
      </c>
      <c r="G745" t="s">
        <v>37</v>
      </c>
      <c r="H745" t="s">
        <v>38</v>
      </c>
      <c r="I745" t="s">
        <v>39</v>
      </c>
      <c r="J745" t="s">
        <v>281</v>
      </c>
      <c r="K745" t="s">
        <v>282</v>
      </c>
      <c r="L745" t="s">
        <v>1958</v>
      </c>
      <c r="M745" t="s">
        <v>106</v>
      </c>
      <c r="N745" t="s">
        <v>77</v>
      </c>
      <c r="O745" t="s">
        <v>45</v>
      </c>
      <c r="P745">
        <v>3</v>
      </c>
      <c r="Q745">
        <v>391.26</v>
      </c>
      <c r="R745" s="19">
        <v>0.2</v>
      </c>
      <c r="S745" s="21">
        <v>234.76</v>
      </c>
      <c r="T745">
        <v>1173.78</v>
      </c>
      <c r="U745" s="2">
        <v>939.02</v>
      </c>
      <c r="V745">
        <v>184.38</v>
      </c>
      <c r="W745">
        <v>550.14</v>
      </c>
      <c r="X745" s="2">
        <v>204.5</v>
      </c>
      <c r="Y745">
        <v>0.21779999999999999</v>
      </c>
      <c r="Z745">
        <v>5</v>
      </c>
      <c r="AA745" t="s">
        <v>61</v>
      </c>
      <c r="AB745" t="s">
        <v>47</v>
      </c>
      <c r="AD745">
        <v>4</v>
      </c>
      <c r="AE745" s="2">
        <v>1090.53</v>
      </c>
      <c r="AF745">
        <v>0.86109999999999998</v>
      </c>
      <c r="AG745" t="s">
        <v>49</v>
      </c>
      <c r="AH745" s="23">
        <f>SUM(Amazon_Data_Set[[#This Row],[Gross Sales]]-Amazon_Data_Set[[#This Row],[Discount Amount]])</f>
        <v>939.02</v>
      </c>
    </row>
    <row r="746" spans="1:34">
      <c r="A746" t="s">
        <v>1959</v>
      </c>
      <c r="B746" s="1">
        <v>46279</v>
      </c>
      <c r="C746" t="str">
        <f>TEXT(Amazon_Data_Set[[#This Row],[Order Date]],"mmm")</f>
        <v>Sep</v>
      </c>
      <c r="D746" t="s">
        <v>1281</v>
      </c>
      <c r="E746" t="s">
        <v>228</v>
      </c>
      <c r="F746" t="s">
        <v>229</v>
      </c>
      <c r="G746" t="s">
        <v>37</v>
      </c>
      <c r="H746" t="s">
        <v>55</v>
      </c>
      <c r="I746" t="s">
        <v>73</v>
      </c>
      <c r="J746" t="s">
        <v>74</v>
      </c>
      <c r="K746" t="s">
        <v>75</v>
      </c>
      <c r="L746" t="s">
        <v>1960</v>
      </c>
      <c r="M746" t="s">
        <v>43</v>
      </c>
      <c r="N746" t="s">
        <v>124</v>
      </c>
      <c r="O746" t="s">
        <v>130</v>
      </c>
      <c r="P746">
        <v>4</v>
      </c>
      <c r="Q746">
        <v>17528.439999999999</v>
      </c>
      <c r="R746" s="19">
        <v>0.05</v>
      </c>
      <c r="S746" s="21">
        <v>3505.69</v>
      </c>
      <c r="T746">
        <v>70113.759999999995</v>
      </c>
      <c r="U746" s="2">
        <v>66608.070000000007</v>
      </c>
      <c r="V746">
        <v>200.37</v>
      </c>
      <c r="W746">
        <v>37473.74</v>
      </c>
      <c r="X746" s="2">
        <v>28933.96</v>
      </c>
      <c r="Y746">
        <v>0.43440000000000001</v>
      </c>
      <c r="Z746">
        <v>4</v>
      </c>
      <c r="AA746" t="s">
        <v>131</v>
      </c>
      <c r="AB746" t="s">
        <v>47</v>
      </c>
      <c r="AE746" s="2">
        <v>78823.66</v>
      </c>
      <c r="AF746">
        <v>0.84499999999999997</v>
      </c>
      <c r="AG746" t="s">
        <v>49</v>
      </c>
      <c r="AH746" s="23">
        <f>SUM(Amazon_Data_Set[[#This Row],[Gross Sales]]-Amazon_Data_Set[[#This Row],[Discount Amount]])</f>
        <v>66608.069999999992</v>
      </c>
    </row>
    <row r="747" spans="1:34">
      <c r="A747" t="s">
        <v>1961</v>
      </c>
      <c r="B747" s="1">
        <v>46038</v>
      </c>
      <c r="C747" t="str">
        <f>TEXT(Amazon_Data_Set[[#This Row],[Order Date]],"mmm")</f>
        <v>Jan</v>
      </c>
      <c r="D747" t="s">
        <v>442</v>
      </c>
      <c r="E747" t="s">
        <v>174</v>
      </c>
      <c r="F747" t="s">
        <v>175</v>
      </c>
      <c r="G747" t="s">
        <v>82</v>
      </c>
      <c r="H747" t="s">
        <v>83</v>
      </c>
      <c r="I747" t="s">
        <v>102</v>
      </c>
      <c r="J747" t="s">
        <v>259</v>
      </c>
      <c r="K747" t="s">
        <v>260</v>
      </c>
      <c r="L747" t="s">
        <v>1962</v>
      </c>
      <c r="M747" t="s">
        <v>43</v>
      </c>
      <c r="N747" t="s">
        <v>77</v>
      </c>
      <c r="O747" t="s">
        <v>130</v>
      </c>
      <c r="P747">
        <v>1</v>
      </c>
      <c r="Q747">
        <v>1887.94</v>
      </c>
      <c r="R747" s="19">
        <v>0.05</v>
      </c>
      <c r="S747" s="21">
        <v>94.4</v>
      </c>
      <c r="T747">
        <v>1887.94</v>
      </c>
      <c r="U747" s="2">
        <v>1793.54</v>
      </c>
      <c r="V747">
        <v>145.6</v>
      </c>
      <c r="W747">
        <v>1351.17</v>
      </c>
      <c r="X747" s="2">
        <v>296.77</v>
      </c>
      <c r="Y747">
        <v>0.16550000000000001</v>
      </c>
      <c r="Z747">
        <v>6</v>
      </c>
      <c r="AA747" t="s">
        <v>131</v>
      </c>
      <c r="AB747" t="s">
        <v>47</v>
      </c>
      <c r="AE747" s="2">
        <v>1604.72</v>
      </c>
      <c r="AF747">
        <v>1.1176999999999999</v>
      </c>
      <c r="AG747" t="s">
        <v>49</v>
      </c>
      <c r="AH747" s="23">
        <f>SUM(Amazon_Data_Set[[#This Row],[Gross Sales]]-Amazon_Data_Set[[#This Row],[Discount Amount]])</f>
        <v>1793.54</v>
      </c>
    </row>
    <row r="748" spans="1:34">
      <c r="A748" t="s">
        <v>1963</v>
      </c>
      <c r="B748" s="1">
        <v>46369</v>
      </c>
      <c r="C748" t="str">
        <f>TEXT(Amazon_Data_Set[[#This Row],[Order Date]],"mmm")</f>
        <v>Dec</v>
      </c>
      <c r="D748" t="s">
        <v>887</v>
      </c>
      <c r="E748" t="s">
        <v>80</v>
      </c>
      <c r="F748" t="s">
        <v>81</v>
      </c>
      <c r="G748" t="s">
        <v>82</v>
      </c>
      <c r="H748" t="s">
        <v>38</v>
      </c>
      <c r="I748" t="s">
        <v>66</v>
      </c>
      <c r="J748" t="s">
        <v>337</v>
      </c>
      <c r="K748" t="s">
        <v>224</v>
      </c>
      <c r="L748" t="s">
        <v>1964</v>
      </c>
      <c r="M748" t="s">
        <v>106</v>
      </c>
      <c r="N748" t="s">
        <v>70</v>
      </c>
      <c r="O748" t="s">
        <v>45</v>
      </c>
      <c r="P748">
        <v>1</v>
      </c>
      <c r="Q748">
        <v>986.94</v>
      </c>
      <c r="R748" s="19">
        <v>0.05</v>
      </c>
      <c r="S748" s="21">
        <v>49.35</v>
      </c>
      <c r="T748">
        <v>986.94</v>
      </c>
      <c r="U748" s="2">
        <v>937.59</v>
      </c>
      <c r="V748">
        <v>39.93</v>
      </c>
      <c r="W748">
        <v>643.64</v>
      </c>
      <c r="X748" s="2">
        <v>254.02</v>
      </c>
      <c r="Y748">
        <v>0.27089999999999997</v>
      </c>
      <c r="Z748">
        <v>8</v>
      </c>
      <c r="AA748" t="s">
        <v>61</v>
      </c>
      <c r="AB748" t="s">
        <v>47</v>
      </c>
      <c r="AD748">
        <v>3</v>
      </c>
      <c r="AE748" s="2">
        <v>801.68</v>
      </c>
      <c r="AF748">
        <v>1.1695</v>
      </c>
      <c r="AG748" t="s">
        <v>49</v>
      </c>
      <c r="AH748" s="23">
        <f>SUM(Amazon_Data_Set[[#This Row],[Gross Sales]]-Amazon_Data_Set[[#This Row],[Discount Amount]])</f>
        <v>937.59</v>
      </c>
    </row>
    <row r="749" spans="1:34">
      <c r="A749" t="s">
        <v>1965</v>
      </c>
      <c r="B749" s="1">
        <v>46272</v>
      </c>
      <c r="C749" t="str">
        <f>TEXT(Amazon_Data_Set[[#This Row],[Order Date]],"mmm")</f>
        <v>Sep</v>
      </c>
      <c r="D749" t="s">
        <v>834</v>
      </c>
      <c r="E749" t="s">
        <v>35</v>
      </c>
      <c r="F749" t="s">
        <v>36</v>
      </c>
      <c r="G749" t="s">
        <v>37</v>
      </c>
      <c r="H749" t="s">
        <v>142</v>
      </c>
      <c r="I749" t="s">
        <v>209</v>
      </c>
      <c r="J749" t="s">
        <v>511</v>
      </c>
      <c r="K749" t="s">
        <v>512</v>
      </c>
      <c r="L749" t="s">
        <v>1966</v>
      </c>
      <c r="M749" t="s">
        <v>106</v>
      </c>
      <c r="N749" t="s">
        <v>95</v>
      </c>
      <c r="O749" t="s">
        <v>130</v>
      </c>
      <c r="P749">
        <v>1</v>
      </c>
      <c r="Q749">
        <v>5388.43</v>
      </c>
      <c r="R749" s="19">
        <v>0.3</v>
      </c>
      <c r="S749" s="21">
        <v>1616.53</v>
      </c>
      <c r="T749">
        <v>5388.43</v>
      </c>
      <c r="U749" s="2">
        <v>3771.9</v>
      </c>
      <c r="V749">
        <v>177.32</v>
      </c>
      <c r="W749">
        <v>2610.2199999999998</v>
      </c>
      <c r="X749" s="2">
        <v>984.36</v>
      </c>
      <c r="Y749">
        <v>0.26100000000000001</v>
      </c>
      <c r="Z749">
        <v>8</v>
      </c>
      <c r="AA749" t="s">
        <v>131</v>
      </c>
      <c r="AB749" t="s">
        <v>47</v>
      </c>
      <c r="AE749" s="2">
        <v>4673.78</v>
      </c>
      <c r="AF749">
        <v>0.80700000000000005</v>
      </c>
      <c r="AG749" t="s">
        <v>49</v>
      </c>
      <c r="AH749" s="23">
        <f>SUM(Amazon_Data_Set[[#This Row],[Gross Sales]]-Amazon_Data_Set[[#This Row],[Discount Amount]])</f>
        <v>3771.9000000000005</v>
      </c>
    </row>
    <row r="750" spans="1:34">
      <c r="A750" t="s">
        <v>1967</v>
      </c>
      <c r="B750" s="1">
        <v>46212</v>
      </c>
      <c r="C750" t="str">
        <f>TEXT(Amazon_Data_Set[[#This Row],[Order Date]],"mmm")</f>
        <v>Jul</v>
      </c>
      <c r="D750" t="s">
        <v>993</v>
      </c>
      <c r="E750" t="s">
        <v>52</v>
      </c>
      <c r="F750" t="s">
        <v>53</v>
      </c>
      <c r="G750" t="s">
        <v>54</v>
      </c>
      <c r="H750" t="s">
        <v>142</v>
      </c>
      <c r="I750" t="s">
        <v>143</v>
      </c>
      <c r="J750" t="s">
        <v>144</v>
      </c>
      <c r="K750" t="s">
        <v>145</v>
      </c>
      <c r="L750" t="s">
        <v>1968</v>
      </c>
      <c r="M750" t="s">
        <v>106</v>
      </c>
      <c r="N750" t="s">
        <v>44</v>
      </c>
      <c r="O750" t="s">
        <v>130</v>
      </c>
      <c r="P750">
        <v>2</v>
      </c>
      <c r="Q750">
        <v>5638.04</v>
      </c>
      <c r="R750" s="19">
        <v>0.1</v>
      </c>
      <c r="S750" s="21">
        <v>1127.6099999999999</v>
      </c>
      <c r="T750">
        <v>11276.08</v>
      </c>
      <c r="U750" s="2">
        <v>10148.469999999999</v>
      </c>
      <c r="V750">
        <v>147.78</v>
      </c>
      <c r="W750">
        <v>6332</v>
      </c>
      <c r="X750" s="2">
        <v>3668.69</v>
      </c>
      <c r="Y750">
        <v>0.36149999999999999</v>
      </c>
      <c r="Z750">
        <v>2</v>
      </c>
      <c r="AA750" t="s">
        <v>131</v>
      </c>
      <c r="AB750" t="s">
        <v>47</v>
      </c>
      <c r="AE750" s="2">
        <v>10593.17</v>
      </c>
      <c r="AF750">
        <v>0.95799999999999996</v>
      </c>
      <c r="AG750" t="s">
        <v>49</v>
      </c>
      <c r="AH750" s="23">
        <f>SUM(Amazon_Data_Set[[#This Row],[Gross Sales]]-Amazon_Data_Set[[#This Row],[Discount Amount]])</f>
        <v>10148.469999999999</v>
      </c>
    </row>
    <row r="751" spans="1:34">
      <c r="A751" t="s">
        <v>1969</v>
      </c>
      <c r="B751" s="1">
        <v>46163</v>
      </c>
      <c r="C751" t="str">
        <f>TEXT(Amazon_Data_Set[[#This Row],[Order Date]],"mmm")</f>
        <v>May</v>
      </c>
      <c r="D751" t="s">
        <v>474</v>
      </c>
      <c r="E751" t="s">
        <v>235</v>
      </c>
      <c r="F751" t="s">
        <v>236</v>
      </c>
      <c r="G751" t="s">
        <v>82</v>
      </c>
      <c r="H751" t="s">
        <v>142</v>
      </c>
      <c r="I751" t="s">
        <v>214</v>
      </c>
      <c r="J751" t="s">
        <v>215</v>
      </c>
      <c r="K751" t="s">
        <v>216</v>
      </c>
      <c r="L751" t="s">
        <v>1970</v>
      </c>
      <c r="M751" t="s">
        <v>106</v>
      </c>
      <c r="N751" t="s">
        <v>77</v>
      </c>
      <c r="O751" t="s">
        <v>45</v>
      </c>
      <c r="P751">
        <v>2</v>
      </c>
      <c r="Q751">
        <v>5800.78</v>
      </c>
      <c r="R751" s="19">
        <v>0</v>
      </c>
      <c r="S751" s="21">
        <v>0</v>
      </c>
      <c r="T751">
        <v>11601.56</v>
      </c>
      <c r="U751" s="2">
        <v>11601.56</v>
      </c>
      <c r="V751">
        <v>220.1</v>
      </c>
      <c r="W751">
        <v>7130.61</v>
      </c>
      <c r="X751" s="2">
        <v>4250.8500000000004</v>
      </c>
      <c r="Y751">
        <v>0.3664</v>
      </c>
      <c r="Z751">
        <v>1</v>
      </c>
      <c r="AA751" t="s">
        <v>46</v>
      </c>
      <c r="AB751" t="s">
        <v>47</v>
      </c>
      <c r="AD751">
        <v>4</v>
      </c>
      <c r="AE751" s="2">
        <v>10990.54</v>
      </c>
      <c r="AF751">
        <v>1.0556000000000001</v>
      </c>
      <c r="AG751" t="s">
        <v>49</v>
      </c>
      <c r="AH751" s="23">
        <f>SUM(Amazon_Data_Set[[#This Row],[Gross Sales]]-Amazon_Data_Set[[#This Row],[Discount Amount]])</f>
        <v>11601.56</v>
      </c>
    </row>
    <row r="752" spans="1:34">
      <c r="A752" t="s">
        <v>1971</v>
      </c>
      <c r="B752" s="1">
        <v>46050</v>
      </c>
      <c r="C752" t="str">
        <f>TEXT(Amazon_Data_Set[[#This Row],[Order Date]],"mmm")</f>
        <v>Jan</v>
      </c>
      <c r="D752" t="s">
        <v>462</v>
      </c>
      <c r="E752" t="s">
        <v>275</v>
      </c>
      <c r="F752" t="s">
        <v>276</v>
      </c>
      <c r="G752" t="s">
        <v>37</v>
      </c>
      <c r="H752" t="s">
        <v>90</v>
      </c>
      <c r="I752" t="s">
        <v>252</v>
      </c>
      <c r="J752" t="s">
        <v>270</v>
      </c>
      <c r="K752" t="s">
        <v>271</v>
      </c>
      <c r="L752" t="s">
        <v>1972</v>
      </c>
      <c r="M752" t="s">
        <v>43</v>
      </c>
      <c r="N752" t="s">
        <v>60</v>
      </c>
      <c r="O752" t="s">
        <v>96</v>
      </c>
      <c r="P752">
        <v>1</v>
      </c>
      <c r="Q752">
        <v>1631.97</v>
      </c>
      <c r="R752" s="19">
        <v>0.3</v>
      </c>
      <c r="S752" s="21">
        <v>489.59</v>
      </c>
      <c r="T752">
        <v>1631.97</v>
      </c>
      <c r="U752" s="2">
        <v>1142.3800000000001</v>
      </c>
      <c r="V752">
        <v>49.63</v>
      </c>
      <c r="W752">
        <v>684.16</v>
      </c>
      <c r="X752" s="2">
        <v>408.59</v>
      </c>
      <c r="Y752">
        <v>0.35770000000000002</v>
      </c>
      <c r="Z752">
        <v>0</v>
      </c>
      <c r="AA752" t="s">
        <v>97</v>
      </c>
      <c r="AB752" t="s">
        <v>47</v>
      </c>
      <c r="AE752" s="2">
        <v>995.82</v>
      </c>
      <c r="AF752">
        <v>1.1472</v>
      </c>
      <c r="AG752" t="s">
        <v>49</v>
      </c>
      <c r="AH752" s="23">
        <f>SUM(Amazon_Data_Set[[#This Row],[Gross Sales]]-Amazon_Data_Set[[#This Row],[Discount Amount]])</f>
        <v>1142.3800000000001</v>
      </c>
    </row>
    <row r="753" spans="1:34">
      <c r="A753" t="s">
        <v>1973</v>
      </c>
      <c r="B753" s="1">
        <v>46275</v>
      </c>
      <c r="C753" t="str">
        <f>TEXT(Amazon_Data_Set[[#This Row],[Order Date]],"mmm")</f>
        <v>Sep</v>
      </c>
      <c r="D753" t="s">
        <v>974</v>
      </c>
      <c r="E753" t="s">
        <v>35</v>
      </c>
      <c r="F753" t="s">
        <v>36</v>
      </c>
      <c r="G753" t="s">
        <v>37</v>
      </c>
      <c r="H753" t="s">
        <v>90</v>
      </c>
      <c r="I753" t="s">
        <v>91</v>
      </c>
      <c r="J753" t="s">
        <v>92</v>
      </c>
      <c r="K753" t="s">
        <v>93</v>
      </c>
      <c r="L753" t="s">
        <v>1974</v>
      </c>
      <c r="M753" t="s">
        <v>43</v>
      </c>
      <c r="N753" t="s">
        <v>60</v>
      </c>
      <c r="O753" t="s">
        <v>130</v>
      </c>
      <c r="P753">
        <v>2</v>
      </c>
      <c r="Q753">
        <v>1257.18</v>
      </c>
      <c r="R753" s="19">
        <v>0.25</v>
      </c>
      <c r="S753" s="21">
        <v>628.59</v>
      </c>
      <c r="T753">
        <v>2514.36</v>
      </c>
      <c r="U753" s="2">
        <v>1885.77</v>
      </c>
      <c r="V753">
        <v>105.77</v>
      </c>
      <c r="W753">
        <v>1470</v>
      </c>
      <c r="X753" s="2">
        <v>310</v>
      </c>
      <c r="Y753">
        <v>0.16439999999999999</v>
      </c>
      <c r="Z753">
        <v>1</v>
      </c>
      <c r="AA753" t="s">
        <v>131</v>
      </c>
      <c r="AB753" t="s">
        <v>47</v>
      </c>
      <c r="AE753" s="2">
        <v>1655.67</v>
      </c>
      <c r="AF753">
        <v>1.139</v>
      </c>
      <c r="AG753" t="s">
        <v>49</v>
      </c>
      <c r="AH753" s="23">
        <f>SUM(Amazon_Data_Set[[#This Row],[Gross Sales]]-Amazon_Data_Set[[#This Row],[Discount Amount]])</f>
        <v>1885.77</v>
      </c>
    </row>
    <row r="754" spans="1:34">
      <c r="A754" t="s">
        <v>1975</v>
      </c>
      <c r="B754" s="1">
        <v>46183</v>
      </c>
      <c r="C754" t="str">
        <f>TEXT(Amazon_Data_Set[[#This Row],[Order Date]],"mmm")</f>
        <v>Jun</v>
      </c>
      <c r="D754" t="s">
        <v>589</v>
      </c>
      <c r="E754" t="s">
        <v>228</v>
      </c>
      <c r="F754" t="s">
        <v>229</v>
      </c>
      <c r="G754" t="s">
        <v>37</v>
      </c>
      <c r="H754" t="s">
        <v>38</v>
      </c>
      <c r="I754" t="s">
        <v>39</v>
      </c>
      <c r="J754" t="s">
        <v>40</v>
      </c>
      <c r="K754" t="s">
        <v>41</v>
      </c>
      <c r="L754" t="s">
        <v>1976</v>
      </c>
      <c r="M754" t="s">
        <v>43</v>
      </c>
      <c r="N754" t="s">
        <v>70</v>
      </c>
      <c r="O754" t="s">
        <v>45</v>
      </c>
      <c r="P754">
        <v>3</v>
      </c>
      <c r="Q754">
        <v>3154.23</v>
      </c>
      <c r="R754" s="19">
        <v>0.25</v>
      </c>
      <c r="S754" s="21">
        <v>2365.67</v>
      </c>
      <c r="T754">
        <v>9462.69</v>
      </c>
      <c r="U754" s="2">
        <v>7097.02</v>
      </c>
      <c r="V754">
        <v>26.41</v>
      </c>
      <c r="W754">
        <v>4884.3599999999997</v>
      </c>
      <c r="X754" s="2">
        <v>2186.25</v>
      </c>
      <c r="Y754">
        <v>0.30809999999999998</v>
      </c>
      <c r="Z754">
        <v>3</v>
      </c>
      <c r="AA754" t="s">
        <v>46</v>
      </c>
      <c r="AB754" t="s">
        <v>47</v>
      </c>
      <c r="AD754">
        <v>4</v>
      </c>
      <c r="AE754" s="2">
        <v>6668.61</v>
      </c>
      <c r="AF754">
        <v>1.0642</v>
      </c>
      <c r="AG754" t="s">
        <v>49</v>
      </c>
      <c r="AH754" s="23">
        <f>SUM(Amazon_Data_Set[[#This Row],[Gross Sales]]-Amazon_Data_Set[[#This Row],[Discount Amount]])</f>
        <v>7097.02</v>
      </c>
    </row>
    <row r="755" spans="1:34">
      <c r="A755" t="s">
        <v>1977</v>
      </c>
      <c r="B755" s="1">
        <v>46293</v>
      </c>
      <c r="C755" t="str">
        <f>TEXT(Amazon_Data_Set[[#This Row],[Order Date]],"mmm")</f>
        <v>Sep</v>
      </c>
      <c r="D755" t="s">
        <v>291</v>
      </c>
      <c r="E755" t="s">
        <v>100</v>
      </c>
      <c r="F755" t="s">
        <v>179</v>
      </c>
      <c r="G755" t="s">
        <v>54</v>
      </c>
      <c r="H755" t="s">
        <v>142</v>
      </c>
      <c r="I755" t="s">
        <v>143</v>
      </c>
      <c r="J755" t="s">
        <v>183</v>
      </c>
      <c r="K755" t="s">
        <v>184</v>
      </c>
      <c r="L755" t="s">
        <v>1978</v>
      </c>
      <c r="M755" t="s">
        <v>106</v>
      </c>
      <c r="N755" t="s">
        <v>124</v>
      </c>
      <c r="O755" t="s">
        <v>45</v>
      </c>
      <c r="P755">
        <v>4</v>
      </c>
      <c r="Q755">
        <v>11131.54</v>
      </c>
      <c r="R755" s="19">
        <v>0.3</v>
      </c>
      <c r="S755" s="21">
        <v>13357.85</v>
      </c>
      <c r="T755">
        <v>44526.16</v>
      </c>
      <c r="U755" s="2">
        <v>31168.31</v>
      </c>
      <c r="V755">
        <v>204.55</v>
      </c>
      <c r="W755">
        <v>18081.45</v>
      </c>
      <c r="X755" s="2">
        <v>12882.31</v>
      </c>
      <c r="Y755">
        <v>0.4133</v>
      </c>
      <c r="Z755">
        <v>7</v>
      </c>
      <c r="AA755" t="s">
        <v>61</v>
      </c>
      <c r="AB755" t="s">
        <v>47</v>
      </c>
      <c r="AD755">
        <v>4</v>
      </c>
      <c r="AE755" s="2">
        <v>32703.5</v>
      </c>
      <c r="AF755">
        <v>0.95309999999999995</v>
      </c>
      <c r="AG755" t="s">
        <v>347</v>
      </c>
      <c r="AH755" s="23">
        <f>SUM(Amazon_Data_Set[[#This Row],[Gross Sales]]-Amazon_Data_Set[[#This Row],[Discount Amount]])</f>
        <v>31168.310000000005</v>
      </c>
    </row>
    <row r="756" spans="1:34">
      <c r="A756" t="s">
        <v>1979</v>
      </c>
      <c r="B756" s="1">
        <v>46311</v>
      </c>
      <c r="C756" t="str">
        <f>TEXT(Amazon_Data_Set[[#This Row],[Order Date]],"mmm")</f>
        <v>Oct</v>
      </c>
      <c r="D756" t="s">
        <v>569</v>
      </c>
      <c r="E756" t="s">
        <v>100</v>
      </c>
      <c r="F756" t="s">
        <v>179</v>
      </c>
      <c r="G756" t="s">
        <v>54</v>
      </c>
      <c r="H756" t="s">
        <v>55</v>
      </c>
      <c r="I756" t="s">
        <v>120</v>
      </c>
      <c r="J756" t="s">
        <v>127</v>
      </c>
      <c r="K756" t="s">
        <v>128</v>
      </c>
      <c r="L756" t="s">
        <v>1980</v>
      </c>
      <c r="M756" t="s">
        <v>106</v>
      </c>
      <c r="N756" t="s">
        <v>77</v>
      </c>
      <c r="O756" t="s">
        <v>45</v>
      </c>
      <c r="P756">
        <v>5</v>
      </c>
      <c r="Q756">
        <v>5160.78</v>
      </c>
      <c r="R756" s="19">
        <v>0.25</v>
      </c>
      <c r="S756" s="21">
        <v>6450.98</v>
      </c>
      <c r="T756">
        <v>25803.9</v>
      </c>
      <c r="U756" s="2">
        <v>19352.919999999998</v>
      </c>
      <c r="V756">
        <v>119.94</v>
      </c>
      <c r="W756">
        <v>11624.2</v>
      </c>
      <c r="X756" s="2">
        <v>7608.78</v>
      </c>
      <c r="Y756">
        <v>0.39319999999999999</v>
      </c>
      <c r="Z756">
        <v>4</v>
      </c>
      <c r="AA756" t="s">
        <v>46</v>
      </c>
      <c r="AB756" t="s">
        <v>47</v>
      </c>
      <c r="AD756">
        <v>4</v>
      </c>
      <c r="AE756" s="2">
        <v>19715.3</v>
      </c>
      <c r="AF756">
        <v>0.98160000000000003</v>
      </c>
      <c r="AG756" t="s">
        <v>49</v>
      </c>
      <c r="AH756" s="23">
        <f>SUM(Amazon_Data_Set[[#This Row],[Gross Sales]]-Amazon_Data_Set[[#This Row],[Discount Amount]])</f>
        <v>19352.920000000002</v>
      </c>
    </row>
    <row r="757" spans="1:34">
      <c r="A757" t="s">
        <v>1981</v>
      </c>
      <c r="B757" s="1">
        <v>46373</v>
      </c>
      <c r="C757" t="str">
        <f>TEXT(Amazon_Data_Set[[#This Row],[Order Date]],"mmm")</f>
        <v>Dec</v>
      </c>
      <c r="D757" t="s">
        <v>643</v>
      </c>
      <c r="E757" t="s">
        <v>100</v>
      </c>
      <c r="F757" t="s">
        <v>179</v>
      </c>
      <c r="G757" t="s">
        <v>54</v>
      </c>
      <c r="H757" t="s">
        <v>90</v>
      </c>
      <c r="I757" t="s">
        <v>91</v>
      </c>
      <c r="J757" t="s">
        <v>443</v>
      </c>
      <c r="K757" t="s">
        <v>444</v>
      </c>
      <c r="L757" t="s">
        <v>1982</v>
      </c>
      <c r="M757" t="s">
        <v>106</v>
      </c>
      <c r="N757" t="s">
        <v>77</v>
      </c>
      <c r="O757" t="s">
        <v>96</v>
      </c>
      <c r="P757">
        <v>4</v>
      </c>
      <c r="Q757">
        <v>157.94999999999999</v>
      </c>
      <c r="R757" s="19">
        <v>0</v>
      </c>
      <c r="S757" s="21">
        <v>0</v>
      </c>
      <c r="T757">
        <v>631.79999999999995</v>
      </c>
      <c r="U757" s="2">
        <v>631.79999999999995</v>
      </c>
      <c r="V757">
        <v>231.32</v>
      </c>
      <c r="W757">
        <v>363.35</v>
      </c>
      <c r="X757" s="2">
        <v>37.130000000000003</v>
      </c>
      <c r="Y757">
        <v>5.8799999999999998E-2</v>
      </c>
      <c r="Z757">
        <v>0</v>
      </c>
      <c r="AA757" t="s">
        <v>97</v>
      </c>
      <c r="AB757" t="s">
        <v>47</v>
      </c>
      <c r="AE757" s="2">
        <v>730</v>
      </c>
      <c r="AF757">
        <v>0.86550000000000005</v>
      </c>
      <c r="AG757" t="s">
        <v>49</v>
      </c>
      <c r="AH757" s="23">
        <f>SUM(Amazon_Data_Set[[#This Row],[Gross Sales]]-Amazon_Data_Set[[#This Row],[Discount Amount]])</f>
        <v>631.79999999999995</v>
      </c>
    </row>
    <row r="758" spans="1:34">
      <c r="A758" t="s">
        <v>1983</v>
      </c>
      <c r="B758" s="1">
        <v>46331</v>
      </c>
      <c r="C758" t="str">
        <f>TEXT(Amazon_Data_Set[[#This Row],[Order Date]],"mmm")</f>
        <v>Nov</v>
      </c>
      <c r="D758" t="s">
        <v>400</v>
      </c>
      <c r="E758" t="s">
        <v>194</v>
      </c>
      <c r="F758" t="s">
        <v>195</v>
      </c>
      <c r="G758" t="s">
        <v>111</v>
      </c>
      <c r="H758" t="s">
        <v>55</v>
      </c>
      <c r="I758" t="s">
        <v>56</v>
      </c>
      <c r="J758" t="s">
        <v>448</v>
      </c>
      <c r="K758" t="s">
        <v>170</v>
      </c>
      <c r="L758" t="s">
        <v>1984</v>
      </c>
      <c r="M758" t="s">
        <v>106</v>
      </c>
      <c r="N758" t="s">
        <v>77</v>
      </c>
      <c r="O758" t="s">
        <v>130</v>
      </c>
      <c r="P758">
        <v>3</v>
      </c>
      <c r="Q758">
        <v>13293.51</v>
      </c>
      <c r="R758" s="19">
        <v>0.05</v>
      </c>
      <c r="S758" s="21">
        <v>1994.03</v>
      </c>
      <c r="T758">
        <v>39880.53</v>
      </c>
      <c r="U758" s="2">
        <v>37886.5</v>
      </c>
      <c r="V758">
        <v>175.76</v>
      </c>
      <c r="W758">
        <v>23970.99</v>
      </c>
      <c r="X758" s="2">
        <v>13739.75</v>
      </c>
      <c r="Y758">
        <v>0.36270000000000002</v>
      </c>
      <c r="Z758">
        <v>8</v>
      </c>
      <c r="AA758" t="s">
        <v>131</v>
      </c>
      <c r="AB758" t="s">
        <v>47</v>
      </c>
      <c r="AE758" s="2">
        <v>34094.230000000003</v>
      </c>
      <c r="AF758">
        <v>1.1112</v>
      </c>
      <c r="AG758" t="s">
        <v>347</v>
      </c>
      <c r="AH758" s="23">
        <f>SUM(Amazon_Data_Set[[#This Row],[Gross Sales]]-Amazon_Data_Set[[#This Row],[Discount Amount]])</f>
        <v>37886.5</v>
      </c>
    </row>
    <row r="759" spans="1:34">
      <c r="A759" t="s">
        <v>1985</v>
      </c>
      <c r="B759" s="1">
        <v>46145</v>
      </c>
      <c r="C759" t="str">
        <f>TEXT(Amazon_Data_Set[[#This Row],[Order Date]],"mmm")</f>
        <v>May</v>
      </c>
      <c r="D759" t="s">
        <v>1090</v>
      </c>
      <c r="E759" t="s">
        <v>109</v>
      </c>
      <c r="F759" t="s">
        <v>154</v>
      </c>
      <c r="G759" t="s">
        <v>111</v>
      </c>
      <c r="H759" t="s">
        <v>55</v>
      </c>
      <c r="I759" t="s">
        <v>56</v>
      </c>
      <c r="J759" t="s">
        <v>582</v>
      </c>
      <c r="K759" t="s">
        <v>583</v>
      </c>
      <c r="L759" t="s">
        <v>1986</v>
      </c>
      <c r="M759" t="s">
        <v>106</v>
      </c>
      <c r="N759" t="s">
        <v>124</v>
      </c>
      <c r="O759" t="s">
        <v>45</v>
      </c>
      <c r="P759">
        <v>1</v>
      </c>
      <c r="Q759">
        <v>21555.19</v>
      </c>
      <c r="R759" s="19">
        <v>0.15</v>
      </c>
      <c r="S759" s="21">
        <v>3233.28</v>
      </c>
      <c r="T759">
        <v>21555.19</v>
      </c>
      <c r="U759" s="2">
        <v>18321.91</v>
      </c>
      <c r="V759">
        <v>127.42</v>
      </c>
      <c r="W759">
        <v>11389.23</v>
      </c>
      <c r="X759" s="2">
        <v>6805.26</v>
      </c>
      <c r="Y759">
        <v>0.37140000000000001</v>
      </c>
      <c r="Z759">
        <v>6</v>
      </c>
      <c r="AA759" t="s">
        <v>61</v>
      </c>
      <c r="AB759" t="s">
        <v>47</v>
      </c>
      <c r="AD759">
        <v>4</v>
      </c>
      <c r="AE759" s="2">
        <v>22185.79</v>
      </c>
      <c r="AF759">
        <v>0.82579999999999998</v>
      </c>
      <c r="AG759" t="s">
        <v>347</v>
      </c>
      <c r="AH759" s="23">
        <f>SUM(Amazon_Data_Set[[#This Row],[Gross Sales]]-Amazon_Data_Set[[#This Row],[Discount Amount]])</f>
        <v>18321.91</v>
      </c>
    </row>
    <row r="760" spans="1:34">
      <c r="A760" t="s">
        <v>1987</v>
      </c>
      <c r="B760" s="1">
        <v>46056</v>
      </c>
      <c r="C760" t="str">
        <f>TEXT(Amazon_Data_Set[[#This Row],[Order Date]],"mmm")</f>
        <v>Feb</v>
      </c>
      <c r="D760" t="s">
        <v>343</v>
      </c>
      <c r="E760" t="s">
        <v>64</v>
      </c>
      <c r="F760" t="s">
        <v>65</v>
      </c>
      <c r="G760" t="s">
        <v>54</v>
      </c>
      <c r="H760" t="s">
        <v>38</v>
      </c>
      <c r="I760" t="s">
        <v>39</v>
      </c>
      <c r="J760" t="s">
        <v>281</v>
      </c>
      <c r="K760" t="s">
        <v>282</v>
      </c>
      <c r="L760" t="s">
        <v>1988</v>
      </c>
      <c r="M760" t="s">
        <v>43</v>
      </c>
      <c r="N760" t="s">
        <v>95</v>
      </c>
      <c r="O760" t="s">
        <v>45</v>
      </c>
      <c r="P760">
        <v>2</v>
      </c>
      <c r="Q760">
        <v>3787.27</v>
      </c>
      <c r="R760" s="19">
        <v>0.3</v>
      </c>
      <c r="S760" s="21">
        <v>2272.36</v>
      </c>
      <c r="T760">
        <v>7574.54</v>
      </c>
      <c r="U760" s="2">
        <v>5302.18</v>
      </c>
      <c r="V760">
        <v>209.37</v>
      </c>
      <c r="W760">
        <v>3767.53</v>
      </c>
      <c r="X760" s="2">
        <v>1325.28</v>
      </c>
      <c r="Y760">
        <v>0.25</v>
      </c>
      <c r="Z760">
        <v>2</v>
      </c>
      <c r="AA760" t="s">
        <v>46</v>
      </c>
      <c r="AB760" t="s">
        <v>47</v>
      </c>
      <c r="AD760">
        <v>3</v>
      </c>
      <c r="AE760" s="2">
        <v>4708.51</v>
      </c>
      <c r="AF760">
        <v>1.1261000000000001</v>
      </c>
      <c r="AG760" t="s">
        <v>49</v>
      </c>
      <c r="AH760" s="23">
        <f>SUM(Amazon_Data_Set[[#This Row],[Gross Sales]]-Amazon_Data_Set[[#This Row],[Discount Amount]])</f>
        <v>5302.18</v>
      </c>
    </row>
    <row r="761" spans="1:34">
      <c r="A761" t="s">
        <v>1989</v>
      </c>
      <c r="B761" s="1">
        <v>46361</v>
      </c>
      <c r="C761" t="str">
        <f>TEXT(Amazon_Data_Set[[#This Row],[Order Date]],"mmm")</f>
        <v>Dec</v>
      </c>
      <c r="D761" t="s">
        <v>1144</v>
      </c>
      <c r="E761" t="s">
        <v>80</v>
      </c>
      <c r="F761" t="s">
        <v>81</v>
      </c>
      <c r="G761" t="s">
        <v>82</v>
      </c>
      <c r="H761" t="s">
        <v>55</v>
      </c>
      <c r="I761" t="s">
        <v>73</v>
      </c>
      <c r="J761" t="s">
        <v>247</v>
      </c>
      <c r="K761" t="s">
        <v>248</v>
      </c>
      <c r="L761" t="s">
        <v>1990</v>
      </c>
      <c r="M761" t="s">
        <v>43</v>
      </c>
      <c r="N761" t="s">
        <v>70</v>
      </c>
      <c r="O761" t="s">
        <v>45</v>
      </c>
      <c r="P761">
        <v>3</v>
      </c>
      <c r="Q761">
        <v>8784.73</v>
      </c>
      <c r="R761" s="19">
        <v>0.25</v>
      </c>
      <c r="S761" s="21">
        <v>6588.55</v>
      </c>
      <c r="T761">
        <v>26354.19</v>
      </c>
      <c r="U761" s="2">
        <v>19765.64</v>
      </c>
      <c r="V761">
        <v>50.45</v>
      </c>
      <c r="W761">
        <v>10221.58</v>
      </c>
      <c r="X761" s="2">
        <v>9493.61</v>
      </c>
      <c r="Y761">
        <v>0.4803</v>
      </c>
      <c r="Z761">
        <v>7</v>
      </c>
      <c r="AA761" t="s">
        <v>61</v>
      </c>
      <c r="AB761" t="s">
        <v>48</v>
      </c>
      <c r="AC761" t="s">
        <v>158</v>
      </c>
      <c r="AD761">
        <v>4</v>
      </c>
      <c r="AE761" s="2">
        <v>17993.39</v>
      </c>
      <c r="AF761">
        <v>1.0985</v>
      </c>
      <c r="AG761" t="s">
        <v>49</v>
      </c>
      <c r="AH761" s="23">
        <f>SUM(Amazon_Data_Set[[#This Row],[Gross Sales]]-Amazon_Data_Set[[#This Row],[Discount Amount]])</f>
        <v>19765.64</v>
      </c>
    </row>
    <row r="762" spans="1:34">
      <c r="A762" t="s">
        <v>1991</v>
      </c>
      <c r="B762" s="1">
        <v>46160</v>
      </c>
      <c r="C762" t="str">
        <f>TEXT(Amazon_Data_Set[[#This Row],[Order Date]],"mmm")</f>
        <v>May</v>
      </c>
      <c r="D762" t="s">
        <v>643</v>
      </c>
      <c r="E762" t="s">
        <v>194</v>
      </c>
      <c r="F762" t="s">
        <v>195</v>
      </c>
      <c r="G762" t="s">
        <v>111</v>
      </c>
      <c r="H762" t="s">
        <v>142</v>
      </c>
      <c r="I762" t="s">
        <v>209</v>
      </c>
      <c r="J762" t="s">
        <v>243</v>
      </c>
      <c r="K762" t="s">
        <v>145</v>
      </c>
      <c r="L762" t="s">
        <v>1992</v>
      </c>
      <c r="M762" t="s">
        <v>106</v>
      </c>
      <c r="N762" t="s">
        <v>77</v>
      </c>
      <c r="O762" t="s">
        <v>45</v>
      </c>
      <c r="P762">
        <v>3</v>
      </c>
      <c r="Q762">
        <v>10100.07</v>
      </c>
      <c r="R762" s="19">
        <v>0.1</v>
      </c>
      <c r="S762" s="21">
        <v>3030.02</v>
      </c>
      <c r="T762">
        <v>30300.21</v>
      </c>
      <c r="U762" s="2">
        <v>27270.19</v>
      </c>
      <c r="V762">
        <v>188.13</v>
      </c>
      <c r="W762">
        <v>14296.75</v>
      </c>
      <c r="X762" s="2">
        <v>12785.31</v>
      </c>
      <c r="Y762">
        <v>0.46879999999999999</v>
      </c>
      <c r="Z762">
        <v>2</v>
      </c>
      <c r="AA762" t="s">
        <v>46</v>
      </c>
      <c r="AB762" t="s">
        <v>47</v>
      </c>
      <c r="AD762">
        <v>4</v>
      </c>
      <c r="AE762" s="2">
        <v>24167.32</v>
      </c>
      <c r="AF762">
        <v>1.1284000000000001</v>
      </c>
      <c r="AG762" t="s">
        <v>49</v>
      </c>
      <c r="AH762" s="23">
        <f>SUM(Amazon_Data_Set[[#This Row],[Gross Sales]]-Amazon_Data_Set[[#This Row],[Discount Amount]])</f>
        <v>27270.19</v>
      </c>
    </row>
    <row r="763" spans="1:34">
      <c r="A763" t="s">
        <v>1993</v>
      </c>
      <c r="B763" s="1">
        <v>46322</v>
      </c>
      <c r="C763" t="str">
        <f>TEXT(Amazon_Data_Set[[#This Row],[Order Date]],"mmm")</f>
        <v>Oct</v>
      </c>
      <c r="D763" t="s">
        <v>887</v>
      </c>
      <c r="E763" t="s">
        <v>64</v>
      </c>
      <c r="F763" t="s">
        <v>65</v>
      </c>
      <c r="G763" t="s">
        <v>54</v>
      </c>
      <c r="H763" t="s">
        <v>142</v>
      </c>
      <c r="I763" t="s">
        <v>214</v>
      </c>
      <c r="J763" t="s">
        <v>350</v>
      </c>
      <c r="K763" t="s">
        <v>351</v>
      </c>
      <c r="L763" t="s">
        <v>1994</v>
      </c>
      <c r="M763" t="s">
        <v>43</v>
      </c>
      <c r="N763" t="s">
        <v>60</v>
      </c>
      <c r="O763" t="s">
        <v>45</v>
      </c>
      <c r="P763">
        <v>2</v>
      </c>
      <c r="Q763">
        <v>3324.57</v>
      </c>
      <c r="R763" s="19">
        <v>0.25</v>
      </c>
      <c r="S763" s="21">
        <v>1662.29</v>
      </c>
      <c r="T763">
        <v>6649.14</v>
      </c>
      <c r="U763" s="2">
        <v>4986.8500000000004</v>
      </c>
      <c r="V763">
        <v>76.88</v>
      </c>
      <c r="W763">
        <v>3388.81</v>
      </c>
      <c r="X763" s="2">
        <v>1521.16</v>
      </c>
      <c r="Y763">
        <v>0.30499999999999999</v>
      </c>
      <c r="Z763">
        <v>3</v>
      </c>
      <c r="AA763" t="s">
        <v>46</v>
      </c>
      <c r="AB763" t="s">
        <v>48</v>
      </c>
      <c r="AC763" t="s">
        <v>320</v>
      </c>
      <c r="AD763">
        <v>4</v>
      </c>
      <c r="AE763" s="2">
        <v>4872.4399999999996</v>
      </c>
      <c r="AF763">
        <v>1.0235000000000001</v>
      </c>
      <c r="AG763" t="s">
        <v>49</v>
      </c>
      <c r="AH763" s="23">
        <f>SUM(Amazon_Data_Set[[#This Row],[Gross Sales]]-Amazon_Data_Set[[#This Row],[Discount Amount]])</f>
        <v>4986.8500000000004</v>
      </c>
    </row>
    <row r="764" spans="1:34">
      <c r="A764" t="s">
        <v>1995</v>
      </c>
      <c r="B764" s="1">
        <v>46082</v>
      </c>
      <c r="C764" t="str">
        <f>TEXT(Amazon_Data_Set[[#This Row],[Order Date]],"mmm")</f>
        <v>Mar</v>
      </c>
      <c r="D764" t="s">
        <v>586</v>
      </c>
      <c r="E764" t="s">
        <v>140</v>
      </c>
      <c r="F764" t="s">
        <v>141</v>
      </c>
      <c r="G764" t="s">
        <v>54</v>
      </c>
      <c r="H764" t="s">
        <v>55</v>
      </c>
      <c r="I764" t="s">
        <v>73</v>
      </c>
      <c r="J764" t="s">
        <v>230</v>
      </c>
      <c r="K764" t="s">
        <v>231</v>
      </c>
      <c r="L764" t="s">
        <v>1996</v>
      </c>
      <c r="M764" t="s">
        <v>43</v>
      </c>
      <c r="N764" t="s">
        <v>77</v>
      </c>
      <c r="O764" t="s">
        <v>45</v>
      </c>
      <c r="P764">
        <v>3</v>
      </c>
      <c r="Q764">
        <v>28987.93</v>
      </c>
      <c r="R764" s="19">
        <v>0.3</v>
      </c>
      <c r="S764" s="21">
        <v>26089.14</v>
      </c>
      <c r="T764">
        <v>86963.79</v>
      </c>
      <c r="U764" s="2">
        <v>60874.65</v>
      </c>
      <c r="V764">
        <v>128.82</v>
      </c>
      <c r="W764">
        <v>35066.620000000003</v>
      </c>
      <c r="X764" s="2">
        <v>25679.21</v>
      </c>
      <c r="Y764">
        <v>0.42180000000000001</v>
      </c>
      <c r="Z764">
        <v>7</v>
      </c>
      <c r="AA764" t="s">
        <v>61</v>
      </c>
      <c r="AB764" t="s">
        <v>47</v>
      </c>
      <c r="AD764">
        <v>4</v>
      </c>
      <c r="AE764" s="2">
        <v>72524.160000000003</v>
      </c>
      <c r="AF764">
        <v>0.83940000000000003</v>
      </c>
      <c r="AG764" t="s">
        <v>49</v>
      </c>
      <c r="AH764" s="23">
        <f>SUM(Amazon_Data_Set[[#This Row],[Gross Sales]]-Amazon_Data_Set[[#This Row],[Discount Amount]])</f>
        <v>60874.649999999994</v>
      </c>
    </row>
    <row r="765" spans="1:34">
      <c r="A765" t="s">
        <v>1997</v>
      </c>
      <c r="B765" s="1">
        <v>46037</v>
      </c>
      <c r="C765" t="str">
        <f>TEXT(Amazon_Data_Set[[#This Row],[Order Date]],"mmm")</f>
        <v>Jan</v>
      </c>
      <c r="D765" t="s">
        <v>296</v>
      </c>
      <c r="E765" t="s">
        <v>228</v>
      </c>
      <c r="F765" t="s">
        <v>229</v>
      </c>
      <c r="G765" t="s">
        <v>37</v>
      </c>
      <c r="H765" t="s">
        <v>83</v>
      </c>
      <c r="I765" t="s">
        <v>102</v>
      </c>
      <c r="J765" t="s">
        <v>373</v>
      </c>
      <c r="K765" t="s">
        <v>374</v>
      </c>
      <c r="L765" t="s">
        <v>1998</v>
      </c>
      <c r="M765" t="s">
        <v>43</v>
      </c>
      <c r="N765" t="s">
        <v>124</v>
      </c>
      <c r="O765" t="s">
        <v>45</v>
      </c>
      <c r="P765">
        <v>3</v>
      </c>
      <c r="Q765">
        <v>253.84</v>
      </c>
      <c r="R765" s="19">
        <v>0.1</v>
      </c>
      <c r="S765" s="21">
        <v>76.150000000000006</v>
      </c>
      <c r="T765">
        <v>761.52</v>
      </c>
      <c r="U765" s="2">
        <v>685.37</v>
      </c>
      <c r="V765">
        <v>98.35</v>
      </c>
      <c r="W765">
        <v>447.99</v>
      </c>
      <c r="X765" s="2">
        <v>139.03</v>
      </c>
      <c r="Y765">
        <v>0.2029</v>
      </c>
      <c r="Z765">
        <v>7</v>
      </c>
      <c r="AA765" t="s">
        <v>61</v>
      </c>
      <c r="AB765" t="s">
        <v>47</v>
      </c>
      <c r="AD765">
        <v>3</v>
      </c>
      <c r="AE765" s="2">
        <v>759.58</v>
      </c>
      <c r="AF765">
        <v>0.90229999999999999</v>
      </c>
      <c r="AG765" t="s">
        <v>347</v>
      </c>
      <c r="AH765" s="23">
        <f>SUM(Amazon_Data_Set[[#This Row],[Gross Sales]]-Amazon_Data_Set[[#This Row],[Discount Amount]])</f>
        <v>685.37</v>
      </c>
    </row>
    <row r="766" spans="1:34">
      <c r="A766" t="s">
        <v>1999</v>
      </c>
      <c r="B766" s="1">
        <v>46081</v>
      </c>
      <c r="C766" t="str">
        <f>TEXT(Amazon_Data_Set[[#This Row],[Order Date]],"mmm")</f>
        <v>Feb</v>
      </c>
      <c r="D766" t="s">
        <v>380</v>
      </c>
      <c r="E766" t="s">
        <v>275</v>
      </c>
      <c r="F766" t="s">
        <v>276</v>
      </c>
      <c r="G766" t="s">
        <v>37</v>
      </c>
      <c r="H766" t="s">
        <v>55</v>
      </c>
      <c r="I766" t="s">
        <v>73</v>
      </c>
      <c r="J766" t="s">
        <v>387</v>
      </c>
      <c r="K766" t="s">
        <v>388</v>
      </c>
      <c r="L766" t="s">
        <v>2000</v>
      </c>
      <c r="M766" t="s">
        <v>43</v>
      </c>
      <c r="N766" t="s">
        <v>70</v>
      </c>
      <c r="O766" t="s">
        <v>96</v>
      </c>
      <c r="P766">
        <v>5</v>
      </c>
      <c r="Q766">
        <v>2862.07</v>
      </c>
      <c r="R766" s="19">
        <v>0.3</v>
      </c>
      <c r="S766" s="21">
        <v>4293.1000000000004</v>
      </c>
      <c r="T766">
        <v>14310.35</v>
      </c>
      <c r="U766" s="2">
        <v>10017.25</v>
      </c>
      <c r="V766">
        <v>7.1</v>
      </c>
      <c r="W766">
        <v>5939.98</v>
      </c>
      <c r="X766" s="2">
        <v>4070.17</v>
      </c>
      <c r="Y766">
        <v>0.40629999999999999</v>
      </c>
      <c r="Z766">
        <v>0</v>
      </c>
      <c r="AA766" t="s">
        <v>97</v>
      </c>
      <c r="AB766" t="s">
        <v>47</v>
      </c>
      <c r="AE766" s="2">
        <v>9824.85</v>
      </c>
      <c r="AF766">
        <v>1.0196000000000001</v>
      </c>
      <c r="AG766" t="s">
        <v>347</v>
      </c>
      <c r="AH766" s="23">
        <f>SUM(Amazon_Data_Set[[#This Row],[Gross Sales]]-Amazon_Data_Set[[#This Row],[Discount Amount]])</f>
        <v>10017.25</v>
      </c>
    </row>
    <row r="767" spans="1:34">
      <c r="A767" t="s">
        <v>2001</v>
      </c>
      <c r="B767" s="1">
        <v>46189</v>
      </c>
      <c r="C767" t="str">
        <f>TEXT(Amazon_Data_Set[[#This Row],[Order Date]],"mmm")</f>
        <v>Jun</v>
      </c>
      <c r="D767" t="s">
        <v>307</v>
      </c>
      <c r="E767" t="s">
        <v>100</v>
      </c>
      <c r="F767" t="s">
        <v>179</v>
      </c>
      <c r="G767" t="s">
        <v>54</v>
      </c>
      <c r="H767" t="s">
        <v>142</v>
      </c>
      <c r="I767" t="s">
        <v>143</v>
      </c>
      <c r="J767" t="s">
        <v>183</v>
      </c>
      <c r="K767" t="s">
        <v>184</v>
      </c>
      <c r="L767" t="s">
        <v>2002</v>
      </c>
      <c r="M767" t="s">
        <v>43</v>
      </c>
      <c r="N767" t="s">
        <v>77</v>
      </c>
      <c r="O767" t="s">
        <v>45</v>
      </c>
      <c r="P767">
        <v>2</v>
      </c>
      <c r="Q767">
        <v>4102.97</v>
      </c>
      <c r="R767" s="19">
        <v>0.05</v>
      </c>
      <c r="S767" s="21">
        <v>410.3</v>
      </c>
      <c r="T767">
        <v>8205.94</v>
      </c>
      <c r="U767" s="2">
        <v>7795.64</v>
      </c>
      <c r="V767">
        <v>215.84</v>
      </c>
      <c r="W767">
        <v>5836.05</v>
      </c>
      <c r="X767" s="2">
        <v>1743.75</v>
      </c>
      <c r="Y767">
        <v>0.22370000000000001</v>
      </c>
      <c r="Z767">
        <v>3</v>
      </c>
      <c r="AA767" t="s">
        <v>46</v>
      </c>
      <c r="AB767" t="s">
        <v>47</v>
      </c>
      <c r="AD767">
        <v>5</v>
      </c>
      <c r="AE767" s="2">
        <v>8281.18</v>
      </c>
      <c r="AF767">
        <v>0.94140000000000001</v>
      </c>
      <c r="AG767" t="s">
        <v>49</v>
      </c>
      <c r="AH767" s="23">
        <f>SUM(Amazon_Data_Set[[#This Row],[Gross Sales]]-Amazon_Data_Set[[#This Row],[Discount Amount]])</f>
        <v>7795.64</v>
      </c>
    </row>
    <row r="768" spans="1:34">
      <c r="A768" t="s">
        <v>2003</v>
      </c>
      <c r="B768" s="1">
        <v>46253</v>
      </c>
      <c r="C768" t="str">
        <f>TEXT(Amazon_Data_Set[[#This Row],[Order Date]],"mmm")</f>
        <v>Aug</v>
      </c>
      <c r="D768" t="s">
        <v>1931</v>
      </c>
      <c r="E768" t="s">
        <v>167</v>
      </c>
      <c r="F768" t="s">
        <v>168</v>
      </c>
      <c r="G768" t="s">
        <v>111</v>
      </c>
      <c r="H768" t="s">
        <v>55</v>
      </c>
      <c r="I768" t="s">
        <v>120</v>
      </c>
      <c r="J768" t="s">
        <v>121</v>
      </c>
      <c r="K768" t="s">
        <v>122</v>
      </c>
      <c r="L768" t="s">
        <v>2004</v>
      </c>
      <c r="M768" t="s">
        <v>43</v>
      </c>
      <c r="N768" t="s">
        <v>70</v>
      </c>
      <c r="O768" t="s">
        <v>96</v>
      </c>
      <c r="P768">
        <v>5</v>
      </c>
      <c r="Q768">
        <v>13188.46</v>
      </c>
      <c r="R768" s="19">
        <v>0.25</v>
      </c>
      <c r="S768" s="21">
        <v>16485.580000000002</v>
      </c>
      <c r="T768">
        <v>65942.3</v>
      </c>
      <c r="U768" s="2">
        <v>49456.72</v>
      </c>
      <c r="V768">
        <v>117.64</v>
      </c>
      <c r="W768">
        <v>33723.4</v>
      </c>
      <c r="X768" s="2">
        <v>15615.68</v>
      </c>
      <c r="Y768">
        <v>0.31569999999999998</v>
      </c>
      <c r="Z768">
        <v>0</v>
      </c>
      <c r="AA768" t="s">
        <v>97</v>
      </c>
      <c r="AB768" t="s">
        <v>47</v>
      </c>
      <c r="AE768" s="2">
        <v>46606.31</v>
      </c>
      <c r="AF768">
        <v>1.0611999999999999</v>
      </c>
      <c r="AG768" t="s">
        <v>49</v>
      </c>
      <c r="AH768" s="23">
        <f>SUM(Amazon_Data_Set[[#This Row],[Gross Sales]]-Amazon_Data_Set[[#This Row],[Discount Amount]])</f>
        <v>49456.72</v>
      </c>
    </row>
    <row r="769" spans="1:34">
      <c r="A769" t="s">
        <v>2005</v>
      </c>
      <c r="B769" s="1">
        <v>46036</v>
      </c>
      <c r="C769" t="str">
        <f>TEXT(Amazon_Data_Set[[#This Row],[Order Date]],"mmm")</f>
        <v>Jan</v>
      </c>
      <c r="D769" t="s">
        <v>735</v>
      </c>
      <c r="E769" t="s">
        <v>118</v>
      </c>
      <c r="F769" t="s">
        <v>119</v>
      </c>
      <c r="G769" t="s">
        <v>82</v>
      </c>
      <c r="H769" t="s">
        <v>90</v>
      </c>
      <c r="I769" t="s">
        <v>252</v>
      </c>
      <c r="J769" t="s">
        <v>253</v>
      </c>
      <c r="K769" t="s">
        <v>254</v>
      </c>
      <c r="L769" t="s">
        <v>2006</v>
      </c>
      <c r="M769" t="s">
        <v>43</v>
      </c>
      <c r="N769" t="s">
        <v>95</v>
      </c>
      <c r="O769" t="s">
        <v>45</v>
      </c>
      <c r="P769">
        <v>3</v>
      </c>
      <c r="Q769">
        <v>640.83000000000004</v>
      </c>
      <c r="R769" s="19">
        <v>0.3</v>
      </c>
      <c r="S769" s="21">
        <v>576.75</v>
      </c>
      <c r="T769">
        <v>1922.49</v>
      </c>
      <c r="U769" s="2">
        <v>1345.74</v>
      </c>
      <c r="V769">
        <v>212.06</v>
      </c>
      <c r="W769">
        <v>735</v>
      </c>
      <c r="X769" s="2">
        <v>398.68</v>
      </c>
      <c r="Y769">
        <v>0.29630000000000001</v>
      </c>
      <c r="Z769">
        <v>6</v>
      </c>
      <c r="AA769" t="s">
        <v>61</v>
      </c>
      <c r="AB769" t="s">
        <v>47</v>
      </c>
      <c r="AD769">
        <v>5</v>
      </c>
      <c r="AE769" s="2">
        <v>1440.9</v>
      </c>
      <c r="AF769">
        <v>0.93400000000000005</v>
      </c>
      <c r="AG769" t="s">
        <v>49</v>
      </c>
      <c r="AH769" s="23">
        <f>SUM(Amazon_Data_Set[[#This Row],[Gross Sales]]-Amazon_Data_Set[[#This Row],[Discount Amount]])</f>
        <v>1345.74</v>
      </c>
    </row>
    <row r="770" spans="1:34">
      <c r="A770" t="s">
        <v>2007</v>
      </c>
      <c r="B770" s="1">
        <v>46118</v>
      </c>
      <c r="C770" t="str">
        <f>TEXT(Amazon_Data_Set[[#This Row],[Order Date]],"mmm")</f>
        <v>Apr</v>
      </c>
      <c r="D770" t="s">
        <v>1071</v>
      </c>
      <c r="E770" t="s">
        <v>228</v>
      </c>
      <c r="F770" t="s">
        <v>229</v>
      </c>
      <c r="G770" t="s">
        <v>37</v>
      </c>
      <c r="H770" t="s">
        <v>142</v>
      </c>
      <c r="I770" t="s">
        <v>209</v>
      </c>
      <c r="J770" t="s">
        <v>210</v>
      </c>
      <c r="K770" t="s">
        <v>201</v>
      </c>
      <c r="L770" t="s">
        <v>2008</v>
      </c>
      <c r="M770" t="s">
        <v>106</v>
      </c>
      <c r="N770" t="s">
        <v>77</v>
      </c>
      <c r="O770" t="s">
        <v>45</v>
      </c>
      <c r="P770">
        <v>5</v>
      </c>
      <c r="Q770">
        <v>306.27999999999997</v>
      </c>
      <c r="R770" s="19">
        <v>0</v>
      </c>
      <c r="S770" s="21">
        <v>0</v>
      </c>
      <c r="T770">
        <v>1531.4</v>
      </c>
      <c r="U770" s="2">
        <v>1531.4</v>
      </c>
      <c r="V770">
        <v>148.21</v>
      </c>
      <c r="W770">
        <v>767.16</v>
      </c>
      <c r="X770" s="2">
        <v>616.03</v>
      </c>
      <c r="Y770">
        <v>0.40229999999999999</v>
      </c>
      <c r="Z770">
        <v>8</v>
      </c>
      <c r="AA770" t="s">
        <v>61</v>
      </c>
      <c r="AB770" t="s">
        <v>47</v>
      </c>
      <c r="AD770">
        <v>5</v>
      </c>
      <c r="AE770" s="2">
        <v>1818.87</v>
      </c>
      <c r="AF770">
        <v>0.84199999999999997</v>
      </c>
      <c r="AG770" t="s">
        <v>49</v>
      </c>
      <c r="AH770" s="23">
        <f>SUM(Amazon_Data_Set[[#This Row],[Gross Sales]]-Amazon_Data_Set[[#This Row],[Discount Amount]])</f>
        <v>1531.4</v>
      </c>
    </row>
    <row r="771" spans="1:34">
      <c r="A771" t="s">
        <v>2009</v>
      </c>
      <c r="B771" s="1">
        <v>46280</v>
      </c>
      <c r="C771" t="str">
        <f>TEXT(Amazon_Data_Set[[#This Row],[Order Date]],"mmm")</f>
        <v>Sep</v>
      </c>
      <c r="D771" t="s">
        <v>2010</v>
      </c>
      <c r="E771" t="s">
        <v>235</v>
      </c>
      <c r="F771" t="s">
        <v>236</v>
      </c>
      <c r="G771" t="s">
        <v>82</v>
      </c>
      <c r="H771" t="s">
        <v>83</v>
      </c>
      <c r="I771" t="s">
        <v>84</v>
      </c>
      <c r="J771" t="s">
        <v>85</v>
      </c>
      <c r="K771" t="s">
        <v>86</v>
      </c>
      <c r="L771" t="s">
        <v>2011</v>
      </c>
      <c r="M771" t="s">
        <v>106</v>
      </c>
      <c r="N771" t="s">
        <v>77</v>
      </c>
      <c r="O771" t="s">
        <v>96</v>
      </c>
      <c r="P771">
        <v>4</v>
      </c>
      <c r="Q771">
        <v>457.13</v>
      </c>
      <c r="R771" s="19">
        <v>0.2</v>
      </c>
      <c r="S771" s="21">
        <v>365.7</v>
      </c>
      <c r="T771">
        <v>1828.52</v>
      </c>
      <c r="U771" s="2">
        <v>1462.82</v>
      </c>
      <c r="V771">
        <v>207.31</v>
      </c>
      <c r="W771">
        <v>714.76</v>
      </c>
      <c r="X771" s="2">
        <v>540.75</v>
      </c>
      <c r="Y771">
        <v>0.36969999999999997</v>
      </c>
      <c r="Z771">
        <v>0</v>
      </c>
      <c r="AA771" t="s">
        <v>97</v>
      </c>
      <c r="AB771" t="s">
        <v>47</v>
      </c>
      <c r="AE771" s="2">
        <v>1381.37</v>
      </c>
      <c r="AF771">
        <v>1.0589999999999999</v>
      </c>
      <c r="AG771" t="s">
        <v>49</v>
      </c>
      <c r="AH771" s="23">
        <f>SUM(Amazon_Data_Set[[#This Row],[Gross Sales]]-Amazon_Data_Set[[#This Row],[Discount Amount]])</f>
        <v>1462.82</v>
      </c>
    </row>
    <row r="772" spans="1:34">
      <c r="A772" t="s">
        <v>2012</v>
      </c>
      <c r="B772" s="1">
        <v>46031</v>
      </c>
      <c r="C772" t="str">
        <f>TEXT(Amazon_Data_Set[[#This Row],[Order Date]],"mmm")</f>
        <v>Jan</v>
      </c>
      <c r="D772" t="s">
        <v>2013</v>
      </c>
      <c r="E772" t="s">
        <v>109</v>
      </c>
      <c r="F772" t="s">
        <v>110</v>
      </c>
      <c r="G772" t="s">
        <v>111</v>
      </c>
      <c r="H772" t="s">
        <v>142</v>
      </c>
      <c r="I772" t="s">
        <v>143</v>
      </c>
      <c r="J772" t="s">
        <v>183</v>
      </c>
      <c r="K772" t="s">
        <v>184</v>
      </c>
      <c r="L772" t="s">
        <v>2014</v>
      </c>
      <c r="M772" t="s">
        <v>106</v>
      </c>
      <c r="N772" t="s">
        <v>44</v>
      </c>
      <c r="O772" t="s">
        <v>130</v>
      </c>
      <c r="P772">
        <v>5</v>
      </c>
      <c r="Q772">
        <v>4296.74</v>
      </c>
      <c r="R772" s="19">
        <v>0.15</v>
      </c>
      <c r="S772" s="21">
        <v>3222.55</v>
      </c>
      <c r="T772">
        <v>21483.7</v>
      </c>
      <c r="U772" s="2">
        <v>18261.150000000001</v>
      </c>
      <c r="V772">
        <v>14</v>
      </c>
      <c r="W772">
        <v>9310.14</v>
      </c>
      <c r="X772" s="2">
        <v>8937.01</v>
      </c>
      <c r="Y772">
        <v>0.4894</v>
      </c>
      <c r="Z772">
        <v>3</v>
      </c>
      <c r="AA772" t="s">
        <v>131</v>
      </c>
      <c r="AB772" t="s">
        <v>47</v>
      </c>
      <c r="AE772" s="2">
        <v>19486.29</v>
      </c>
      <c r="AF772">
        <v>0.93710000000000004</v>
      </c>
      <c r="AG772" t="s">
        <v>49</v>
      </c>
      <c r="AH772" s="23">
        <f>SUM(Amazon_Data_Set[[#This Row],[Gross Sales]]-Amazon_Data_Set[[#This Row],[Discount Amount]])</f>
        <v>18261.150000000001</v>
      </c>
    </row>
    <row r="773" spans="1:34">
      <c r="A773" t="s">
        <v>2015</v>
      </c>
      <c r="B773" s="1">
        <v>46256</v>
      </c>
      <c r="C773" t="str">
        <f>TEXT(Amazon_Data_Set[[#This Row],[Order Date]],"mmm")</f>
        <v>Aug</v>
      </c>
      <c r="D773" t="s">
        <v>79</v>
      </c>
      <c r="E773" t="s">
        <v>109</v>
      </c>
      <c r="F773" t="s">
        <v>110</v>
      </c>
      <c r="G773" t="s">
        <v>111</v>
      </c>
      <c r="H773" t="s">
        <v>55</v>
      </c>
      <c r="I773" t="s">
        <v>120</v>
      </c>
      <c r="J773" t="s">
        <v>169</v>
      </c>
      <c r="K773" t="s">
        <v>170</v>
      </c>
      <c r="L773" t="s">
        <v>2016</v>
      </c>
      <c r="M773" t="s">
        <v>106</v>
      </c>
      <c r="N773" t="s">
        <v>95</v>
      </c>
      <c r="O773" t="s">
        <v>45</v>
      </c>
      <c r="P773">
        <v>5</v>
      </c>
      <c r="Q773">
        <v>41130.870000000003</v>
      </c>
      <c r="R773" s="19">
        <v>0.15</v>
      </c>
      <c r="S773" s="21">
        <v>30848.15</v>
      </c>
      <c r="T773">
        <v>205654.35</v>
      </c>
      <c r="U773" s="2">
        <v>174806.2</v>
      </c>
      <c r="V773">
        <v>143.63</v>
      </c>
      <c r="W773">
        <v>131455.57</v>
      </c>
      <c r="X773" s="2">
        <v>43207</v>
      </c>
      <c r="Y773">
        <v>0.2472</v>
      </c>
      <c r="Z773">
        <v>6</v>
      </c>
      <c r="AA773" t="s">
        <v>61</v>
      </c>
      <c r="AB773" t="s">
        <v>47</v>
      </c>
      <c r="AD773">
        <v>5</v>
      </c>
      <c r="AE773" s="2">
        <v>158836.79999999999</v>
      </c>
      <c r="AF773">
        <v>1.1005</v>
      </c>
      <c r="AG773" t="s">
        <v>347</v>
      </c>
      <c r="AH773" s="23">
        <f>SUM(Amazon_Data_Set[[#This Row],[Gross Sales]]-Amazon_Data_Set[[#This Row],[Discount Amount]])</f>
        <v>174806.2</v>
      </c>
    </row>
    <row r="774" spans="1:34">
      <c r="A774" t="s">
        <v>2017</v>
      </c>
      <c r="B774" s="1">
        <v>46079</v>
      </c>
      <c r="C774" t="str">
        <f>TEXT(Amazon_Data_Set[[#This Row],[Order Date]],"mmm")</f>
        <v>Feb</v>
      </c>
      <c r="D774" t="s">
        <v>1641</v>
      </c>
      <c r="E774" t="s">
        <v>100</v>
      </c>
      <c r="F774" t="s">
        <v>101</v>
      </c>
      <c r="G774" t="s">
        <v>54</v>
      </c>
      <c r="H774" t="s">
        <v>90</v>
      </c>
      <c r="I774" t="s">
        <v>91</v>
      </c>
      <c r="J774" t="s">
        <v>313</v>
      </c>
      <c r="K774" t="s">
        <v>314</v>
      </c>
      <c r="L774" t="s">
        <v>2018</v>
      </c>
      <c r="M774" t="s">
        <v>43</v>
      </c>
      <c r="N774" t="s">
        <v>70</v>
      </c>
      <c r="O774" t="s">
        <v>96</v>
      </c>
      <c r="P774">
        <v>4</v>
      </c>
      <c r="Q774">
        <v>81.239999999999995</v>
      </c>
      <c r="R774" s="19">
        <v>0.3</v>
      </c>
      <c r="S774" s="21">
        <v>97.49</v>
      </c>
      <c r="T774">
        <v>324.95999999999998</v>
      </c>
      <c r="U774" s="2">
        <v>227.47</v>
      </c>
      <c r="V774">
        <v>246.91</v>
      </c>
      <c r="W774">
        <v>109.42</v>
      </c>
      <c r="X774" s="2">
        <v>-128.86000000000001</v>
      </c>
      <c r="Y774">
        <v>-0.5665</v>
      </c>
      <c r="Z774">
        <v>0</v>
      </c>
      <c r="AA774" t="s">
        <v>97</v>
      </c>
      <c r="AB774" t="s">
        <v>47</v>
      </c>
      <c r="AE774" s="2">
        <v>228.96</v>
      </c>
      <c r="AF774">
        <v>0.99350000000000005</v>
      </c>
      <c r="AG774" t="s">
        <v>49</v>
      </c>
      <c r="AH774" s="23">
        <f>SUM(Amazon_Data_Set[[#This Row],[Gross Sales]]-Amazon_Data_Set[[#This Row],[Discount Amount]])</f>
        <v>227.46999999999997</v>
      </c>
    </row>
    <row r="775" spans="1:34">
      <c r="A775" t="s">
        <v>2019</v>
      </c>
      <c r="B775" s="1">
        <v>46188</v>
      </c>
      <c r="C775" t="str">
        <f>TEXT(Amazon_Data_Set[[#This Row],[Order Date]],"mmm")</f>
        <v>Jun</v>
      </c>
      <c r="D775" t="s">
        <v>411</v>
      </c>
      <c r="E775" t="s">
        <v>80</v>
      </c>
      <c r="F775" t="s">
        <v>81</v>
      </c>
      <c r="G775" t="s">
        <v>82</v>
      </c>
      <c r="H775" t="s">
        <v>142</v>
      </c>
      <c r="I775" t="s">
        <v>214</v>
      </c>
      <c r="J775" t="s">
        <v>308</v>
      </c>
      <c r="K775" t="s">
        <v>309</v>
      </c>
      <c r="L775" t="s">
        <v>2020</v>
      </c>
      <c r="M775" t="s">
        <v>106</v>
      </c>
      <c r="N775" t="s">
        <v>124</v>
      </c>
      <c r="O775" t="s">
        <v>45</v>
      </c>
      <c r="P775">
        <v>3</v>
      </c>
      <c r="Q775">
        <v>1479.62</v>
      </c>
      <c r="R775" s="19">
        <v>0</v>
      </c>
      <c r="S775" s="21">
        <v>0</v>
      </c>
      <c r="T775">
        <v>4438.8599999999997</v>
      </c>
      <c r="U775" s="2">
        <v>4438.8599999999997</v>
      </c>
      <c r="V775">
        <v>79.349999999999994</v>
      </c>
      <c r="W775">
        <v>2715.57</v>
      </c>
      <c r="X775" s="2">
        <v>1643.94</v>
      </c>
      <c r="Y775">
        <v>0.37040000000000001</v>
      </c>
      <c r="Z775">
        <v>6</v>
      </c>
      <c r="AA775" t="s">
        <v>61</v>
      </c>
      <c r="AB775" t="s">
        <v>47</v>
      </c>
      <c r="AD775">
        <v>3</v>
      </c>
      <c r="AE775" s="2">
        <v>5118.24</v>
      </c>
      <c r="AF775">
        <v>0.86729999999999996</v>
      </c>
      <c r="AG775" t="s">
        <v>49</v>
      </c>
      <c r="AH775" s="23">
        <f>SUM(Amazon_Data_Set[[#This Row],[Gross Sales]]-Amazon_Data_Set[[#This Row],[Discount Amount]])</f>
        <v>4438.8599999999997</v>
      </c>
    </row>
    <row r="776" spans="1:34">
      <c r="A776" t="s">
        <v>2021</v>
      </c>
      <c r="B776" s="1">
        <v>46111</v>
      </c>
      <c r="C776" t="str">
        <f>TEXT(Amazon_Data_Set[[#This Row],[Order Date]],"mmm")</f>
        <v>Mar</v>
      </c>
      <c r="D776" t="s">
        <v>178</v>
      </c>
      <c r="E776" t="s">
        <v>194</v>
      </c>
      <c r="F776" t="s">
        <v>195</v>
      </c>
      <c r="G776" t="s">
        <v>111</v>
      </c>
      <c r="H776" t="s">
        <v>55</v>
      </c>
      <c r="I776" t="s">
        <v>120</v>
      </c>
      <c r="J776" t="s">
        <v>127</v>
      </c>
      <c r="K776" t="s">
        <v>128</v>
      </c>
      <c r="L776" t="s">
        <v>2022</v>
      </c>
      <c r="M776" t="s">
        <v>43</v>
      </c>
      <c r="N776" t="s">
        <v>95</v>
      </c>
      <c r="O776" t="s">
        <v>130</v>
      </c>
      <c r="P776">
        <v>5</v>
      </c>
      <c r="Q776">
        <v>43828.9</v>
      </c>
      <c r="R776" s="19">
        <v>0.25</v>
      </c>
      <c r="S776" s="21">
        <v>54786.12</v>
      </c>
      <c r="T776">
        <v>219144.5</v>
      </c>
      <c r="U776" s="2">
        <v>164358.38</v>
      </c>
      <c r="V776">
        <v>17.22</v>
      </c>
      <c r="W776">
        <v>80735.570000000007</v>
      </c>
      <c r="X776" s="2">
        <v>83605.59</v>
      </c>
      <c r="Y776">
        <v>0.50870000000000004</v>
      </c>
      <c r="Z776">
        <v>7</v>
      </c>
      <c r="AA776" t="s">
        <v>131</v>
      </c>
      <c r="AB776" t="s">
        <v>47</v>
      </c>
      <c r="AE776" s="2">
        <v>150056.35</v>
      </c>
      <c r="AF776">
        <v>1.0952999999999999</v>
      </c>
      <c r="AG776" t="s">
        <v>49</v>
      </c>
      <c r="AH776" s="23">
        <f>SUM(Amazon_Data_Set[[#This Row],[Gross Sales]]-Amazon_Data_Set[[#This Row],[Discount Amount]])</f>
        <v>164358.38</v>
      </c>
    </row>
    <row r="777" spans="1:34">
      <c r="A777" t="s">
        <v>2023</v>
      </c>
      <c r="B777" s="1">
        <v>46026</v>
      </c>
      <c r="C777" t="str">
        <f>TEXT(Amazon_Data_Set[[#This Row],[Order Date]],"mmm")</f>
        <v>Jan</v>
      </c>
      <c r="D777" t="s">
        <v>1330</v>
      </c>
      <c r="E777" t="s">
        <v>174</v>
      </c>
      <c r="F777" t="s">
        <v>175</v>
      </c>
      <c r="G777" t="s">
        <v>82</v>
      </c>
      <c r="H777" t="s">
        <v>38</v>
      </c>
      <c r="I777" t="s">
        <v>161</v>
      </c>
      <c r="J777" t="s">
        <v>162</v>
      </c>
      <c r="K777" t="s">
        <v>163</v>
      </c>
      <c r="L777" t="s">
        <v>2024</v>
      </c>
      <c r="M777" t="s">
        <v>106</v>
      </c>
      <c r="N777" t="s">
        <v>77</v>
      </c>
      <c r="O777" t="s">
        <v>45</v>
      </c>
      <c r="P777">
        <v>4</v>
      </c>
      <c r="Q777">
        <v>931.39</v>
      </c>
      <c r="R777" s="19">
        <v>0.2</v>
      </c>
      <c r="S777" s="21">
        <v>745.11</v>
      </c>
      <c r="T777">
        <v>3725.56</v>
      </c>
      <c r="U777" s="2">
        <v>2980.45</v>
      </c>
      <c r="V777">
        <v>233.31</v>
      </c>
      <c r="W777">
        <v>1623.5</v>
      </c>
      <c r="X777" s="2">
        <v>1123.6400000000001</v>
      </c>
      <c r="Y777">
        <v>0.377</v>
      </c>
      <c r="Z777">
        <v>5</v>
      </c>
      <c r="AA777" t="s">
        <v>61</v>
      </c>
      <c r="AB777" t="s">
        <v>47</v>
      </c>
      <c r="AD777">
        <v>3</v>
      </c>
      <c r="AE777" s="2">
        <v>3092.31</v>
      </c>
      <c r="AF777">
        <v>0.96379999999999999</v>
      </c>
      <c r="AG777" t="s">
        <v>49</v>
      </c>
      <c r="AH777" s="23">
        <f>SUM(Amazon_Data_Set[[#This Row],[Gross Sales]]-Amazon_Data_Set[[#This Row],[Discount Amount]])</f>
        <v>2980.45</v>
      </c>
    </row>
    <row r="778" spans="1:34">
      <c r="A778" t="s">
        <v>2025</v>
      </c>
      <c r="B778" s="1">
        <v>46104</v>
      </c>
      <c r="C778" t="str">
        <f>TEXT(Amazon_Data_Set[[#This Row],[Order Date]],"mmm")</f>
        <v>Mar</v>
      </c>
      <c r="D778" t="s">
        <v>325</v>
      </c>
      <c r="E778" t="s">
        <v>275</v>
      </c>
      <c r="F778" t="s">
        <v>276</v>
      </c>
      <c r="G778" t="s">
        <v>37</v>
      </c>
      <c r="H778" t="s">
        <v>83</v>
      </c>
      <c r="I778" t="s">
        <v>102</v>
      </c>
      <c r="J778" t="s">
        <v>373</v>
      </c>
      <c r="K778" t="s">
        <v>374</v>
      </c>
      <c r="L778" t="s">
        <v>2026</v>
      </c>
      <c r="M778" t="s">
        <v>106</v>
      </c>
      <c r="N778" t="s">
        <v>77</v>
      </c>
      <c r="O778" t="s">
        <v>130</v>
      </c>
      <c r="P778">
        <v>2</v>
      </c>
      <c r="Q778">
        <v>2242.83</v>
      </c>
      <c r="R778" s="19">
        <v>0.2</v>
      </c>
      <c r="S778" s="21">
        <v>897.13</v>
      </c>
      <c r="T778">
        <v>4485.66</v>
      </c>
      <c r="U778" s="2">
        <v>3588.53</v>
      </c>
      <c r="V778">
        <v>137.08000000000001</v>
      </c>
      <c r="W778">
        <v>2049.44</v>
      </c>
      <c r="X778" s="2">
        <v>1402.01</v>
      </c>
      <c r="Y778">
        <v>0.39069999999999999</v>
      </c>
      <c r="Z778">
        <v>3</v>
      </c>
      <c r="AA778" t="s">
        <v>131</v>
      </c>
      <c r="AB778" t="s">
        <v>47</v>
      </c>
      <c r="AE778" s="2">
        <v>3805.19</v>
      </c>
      <c r="AF778">
        <v>0.94310000000000005</v>
      </c>
      <c r="AG778" t="s">
        <v>49</v>
      </c>
      <c r="AH778" s="23">
        <f>SUM(Amazon_Data_Set[[#This Row],[Gross Sales]]-Amazon_Data_Set[[#This Row],[Discount Amount]])</f>
        <v>3588.5299999999997</v>
      </c>
    </row>
    <row r="779" spans="1:34">
      <c r="A779" t="s">
        <v>2027</v>
      </c>
      <c r="B779" s="1">
        <v>46138</v>
      </c>
      <c r="C779" t="str">
        <f>TEXT(Amazon_Data_Set[[#This Row],[Order Date]],"mmm")</f>
        <v>Apr</v>
      </c>
      <c r="D779" t="s">
        <v>213</v>
      </c>
      <c r="E779" t="s">
        <v>109</v>
      </c>
      <c r="F779" t="s">
        <v>154</v>
      </c>
      <c r="G779" t="s">
        <v>111</v>
      </c>
      <c r="H779" t="s">
        <v>55</v>
      </c>
      <c r="I779" t="s">
        <v>73</v>
      </c>
      <c r="J779" t="s">
        <v>247</v>
      </c>
      <c r="K779" t="s">
        <v>248</v>
      </c>
      <c r="L779" t="s">
        <v>2028</v>
      </c>
      <c r="M779" t="s">
        <v>106</v>
      </c>
      <c r="N779" t="s">
        <v>60</v>
      </c>
      <c r="O779" t="s">
        <v>130</v>
      </c>
      <c r="P779">
        <v>2</v>
      </c>
      <c r="Q779">
        <v>1141.06</v>
      </c>
      <c r="R779" s="19">
        <v>0.1</v>
      </c>
      <c r="S779" s="21">
        <v>228.21</v>
      </c>
      <c r="T779">
        <v>2282.12</v>
      </c>
      <c r="U779" s="2">
        <v>2053.91</v>
      </c>
      <c r="V779">
        <v>209.05</v>
      </c>
      <c r="W779">
        <v>1299.17</v>
      </c>
      <c r="X779" s="2">
        <v>545.69000000000005</v>
      </c>
      <c r="Y779">
        <v>0.26569999999999999</v>
      </c>
      <c r="Z779">
        <v>6</v>
      </c>
      <c r="AA779" t="s">
        <v>131</v>
      </c>
      <c r="AB779" t="s">
        <v>47</v>
      </c>
      <c r="AE779" s="2">
        <v>2455.64</v>
      </c>
      <c r="AF779">
        <v>0.83640000000000003</v>
      </c>
      <c r="AG779" t="s">
        <v>49</v>
      </c>
      <c r="AH779" s="23">
        <f>SUM(Amazon_Data_Set[[#This Row],[Gross Sales]]-Amazon_Data_Set[[#This Row],[Discount Amount]])</f>
        <v>2053.91</v>
      </c>
    </row>
    <row r="780" spans="1:34">
      <c r="A780" t="s">
        <v>2029</v>
      </c>
      <c r="B780" s="1">
        <v>46352</v>
      </c>
      <c r="C780" t="str">
        <f>TEXT(Amazon_Data_Set[[#This Row],[Order Date]],"mmm")</f>
        <v>Nov</v>
      </c>
      <c r="D780" t="s">
        <v>304</v>
      </c>
      <c r="E780" t="s">
        <v>52</v>
      </c>
      <c r="F780" t="s">
        <v>53</v>
      </c>
      <c r="G780" t="s">
        <v>54</v>
      </c>
      <c r="H780" t="s">
        <v>55</v>
      </c>
      <c r="I780" t="s">
        <v>120</v>
      </c>
      <c r="J780" t="s">
        <v>127</v>
      </c>
      <c r="K780" t="s">
        <v>128</v>
      </c>
      <c r="L780" t="s">
        <v>2030</v>
      </c>
      <c r="M780" t="s">
        <v>43</v>
      </c>
      <c r="N780" t="s">
        <v>70</v>
      </c>
      <c r="O780" t="s">
        <v>130</v>
      </c>
      <c r="P780">
        <v>4</v>
      </c>
      <c r="Q780">
        <v>24770.22</v>
      </c>
      <c r="R780" s="19">
        <v>0.2</v>
      </c>
      <c r="S780" s="21">
        <v>19816.18</v>
      </c>
      <c r="T780">
        <v>99080.88</v>
      </c>
      <c r="U780" s="2">
        <v>79264.7</v>
      </c>
      <c r="V780">
        <v>188</v>
      </c>
      <c r="W780">
        <v>59723.46</v>
      </c>
      <c r="X780" s="2">
        <v>19353.240000000002</v>
      </c>
      <c r="Y780">
        <v>0.2442</v>
      </c>
      <c r="Z780">
        <v>1</v>
      </c>
      <c r="AA780" t="s">
        <v>131</v>
      </c>
      <c r="AB780" t="s">
        <v>47</v>
      </c>
      <c r="AE780" s="2">
        <v>68244.600000000006</v>
      </c>
      <c r="AF780">
        <v>1.1615</v>
      </c>
      <c r="AG780" t="s">
        <v>49</v>
      </c>
      <c r="AH780" s="23">
        <f>SUM(Amazon_Data_Set[[#This Row],[Gross Sales]]-Amazon_Data_Set[[#This Row],[Discount Amount]])</f>
        <v>79264.700000000012</v>
      </c>
    </row>
    <row r="781" spans="1:34">
      <c r="A781" t="s">
        <v>2031</v>
      </c>
      <c r="B781" s="1">
        <v>46347</v>
      </c>
      <c r="C781" t="str">
        <f>TEXT(Amazon_Data_Set[[#This Row],[Order Date]],"mmm")</f>
        <v>Nov</v>
      </c>
      <c r="D781" t="s">
        <v>2032</v>
      </c>
      <c r="E781" t="s">
        <v>194</v>
      </c>
      <c r="F781" t="s">
        <v>195</v>
      </c>
      <c r="G781" t="s">
        <v>111</v>
      </c>
      <c r="H781" t="s">
        <v>90</v>
      </c>
      <c r="I781" t="s">
        <v>252</v>
      </c>
      <c r="J781" t="s">
        <v>270</v>
      </c>
      <c r="K781" t="s">
        <v>271</v>
      </c>
      <c r="L781" t="s">
        <v>2033</v>
      </c>
      <c r="M781" t="s">
        <v>106</v>
      </c>
      <c r="N781" t="s">
        <v>70</v>
      </c>
      <c r="O781" t="s">
        <v>130</v>
      </c>
      <c r="P781">
        <v>5</v>
      </c>
      <c r="Q781">
        <v>1182.81</v>
      </c>
      <c r="R781" s="19">
        <v>0.2</v>
      </c>
      <c r="S781" s="21">
        <v>1182.81</v>
      </c>
      <c r="T781">
        <v>5914.05</v>
      </c>
      <c r="U781" s="2">
        <v>4731.24</v>
      </c>
      <c r="V781">
        <v>209</v>
      </c>
      <c r="W781">
        <v>2995.54</v>
      </c>
      <c r="X781" s="2">
        <v>1526.7</v>
      </c>
      <c r="Y781">
        <v>0.32269999999999999</v>
      </c>
      <c r="Z781">
        <v>7</v>
      </c>
      <c r="AA781" t="s">
        <v>131</v>
      </c>
      <c r="AB781" t="s">
        <v>47</v>
      </c>
      <c r="AE781" s="2">
        <v>4398.4399999999996</v>
      </c>
      <c r="AF781">
        <v>1.0757000000000001</v>
      </c>
      <c r="AG781" t="s">
        <v>49</v>
      </c>
      <c r="AH781" s="23">
        <f>SUM(Amazon_Data_Set[[#This Row],[Gross Sales]]-Amazon_Data_Set[[#This Row],[Discount Amount]])</f>
        <v>4731.24</v>
      </c>
    </row>
    <row r="782" spans="1:34">
      <c r="A782" t="s">
        <v>2034</v>
      </c>
      <c r="B782" s="1">
        <v>46270</v>
      </c>
      <c r="C782" t="str">
        <f>TEXT(Amazon_Data_Set[[#This Row],[Order Date]],"mmm")</f>
        <v>Sep</v>
      </c>
      <c r="D782" t="s">
        <v>847</v>
      </c>
      <c r="E782" t="s">
        <v>235</v>
      </c>
      <c r="F782" t="s">
        <v>236</v>
      </c>
      <c r="G782" t="s">
        <v>82</v>
      </c>
      <c r="H782" t="s">
        <v>90</v>
      </c>
      <c r="I782" t="s">
        <v>112</v>
      </c>
      <c r="J782" t="s">
        <v>292</v>
      </c>
      <c r="K782" t="s">
        <v>293</v>
      </c>
      <c r="L782" t="s">
        <v>2035</v>
      </c>
      <c r="M782" t="s">
        <v>106</v>
      </c>
      <c r="N782" t="s">
        <v>95</v>
      </c>
      <c r="O782" t="s">
        <v>96</v>
      </c>
      <c r="P782">
        <v>2</v>
      </c>
      <c r="Q782">
        <v>1614.12</v>
      </c>
      <c r="R782" s="19">
        <v>0.3</v>
      </c>
      <c r="S782" s="21">
        <v>968.47</v>
      </c>
      <c r="T782">
        <v>3228.24</v>
      </c>
      <c r="U782" s="2">
        <v>2259.77</v>
      </c>
      <c r="V782">
        <v>162.41</v>
      </c>
      <c r="W782">
        <v>1715.94</v>
      </c>
      <c r="X782" s="2">
        <v>381.42</v>
      </c>
      <c r="Y782">
        <v>0.16880000000000001</v>
      </c>
      <c r="Z782">
        <v>0</v>
      </c>
      <c r="AA782" t="s">
        <v>97</v>
      </c>
      <c r="AB782" t="s">
        <v>47</v>
      </c>
      <c r="AE782" s="2">
        <v>2217.4299999999998</v>
      </c>
      <c r="AF782">
        <v>1.0190999999999999</v>
      </c>
      <c r="AG782" t="s">
        <v>49</v>
      </c>
      <c r="AH782" s="23">
        <f>SUM(Amazon_Data_Set[[#This Row],[Gross Sales]]-Amazon_Data_Set[[#This Row],[Discount Amount]])</f>
        <v>2259.7699999999995</v>
      </c>
    </row>
    <row r="783" spans="1:34">
      <c r="A783" t="s">
        <v>2036</v>
      </c>
      <c r="B783" s="1">
        <v>46132</v>
      </c>
      <c r="C783" t="str">
        <f>TEXT(Amazon_Data_Set[[#This Row],[Order Date]],"mmm")</f>
        <v>Apr</v>
      </c>
      <c r="D783" t="s">
        <v>951</v>
      </c>
      <c r="E783" t="s">
        <v>109</v>
      </c>
      <c r="F783" t="s">
        <v>154</v>
      </c>
      <c r="G783" t="s">
        <v>111</v>
      </c>
      <c r="H783" t="s">
        <v>90</v>
      </c>
      <c r="I783" t="s">
        <v>91</v>
      </c>
      <c r="J783" t="s">
        <v>313</v>
      </c>
      <c r="K783" t="s">
        <v>314</v>
      </c>
      <c r="L783" t="s">
        <v>2037</v>
      </c>
      <c r="M783" t="s">
        <v>106</v>
      </c>
      <c r="N783" t="s">
        <v>77</v>
      </c>
      <c r="O783" t="s">
        <v>96</v>
      </c>
      <c r="P783">
        <v>2</v>
      </c>
      <c r="Q783">
        <v>216.85</v>
      </c>
      <c r="R783" s="19">
        <v>0.25</v>
      </c>
      <c r="S783" s="21">
        <v>108.42</v>
      </c>
      <c r="T783">
        <v>433.7</v>
      </c>
      <c r="U783" s="2">
        <v>325.27999999999997</v>
      </c>
      <c r="V783">
        <v>45.51</v>
      </c>
      <c r="W783">
        <v>211.31</v>
      </c>
      <c r="X783" s="2">
        <v>68.459999999999994</v>
      </c>
      <c r="Y783">
        <v>0.21049999999999999</v>
      </c>
      <c r="Z783">
        <v>0</v>
      </c>
      <c r="AA783" t="s">
        <v>97</v>
      </c>
      <c r="AB783" t="s">
        <v>47</v>
      </c>
      <c r="AE783" s="2">
        <v>403.19</v>
      </c>
      <c r="AF783">
        <v>0.80679999999999996</v>
      </c>
      <c r="AG783" t="s">
        <v>49</v>
      </c>
      <c r="AH783" s="23">
        <f>SUM(Amazon_Data_Set[[#This Row],[Gross Sales]]-Amazon_Data_Set[[#This Row],[Discount Amount]])</f>
        <v>325.27999999999997</v>
      </c>
    </row>
    <row r="784" spans="1:34">
      <c r="A784" t="s">
        <v>2038</v>
      </c>
      <c r="B784" s="1">
        <v>46069</v>
      </c>
      <c r="C784" t="str">
        <f>TEXT(Amazon_Data_Set[[#This Row],[Order Date]],"mmm")</f>
        <v>Feb</v>
      </c>
      <c r="D784" t="s">
        <v>1301</v>
      </c>
      <c r="E784" t="s">
        <v>149</v>
      </c>
      <c r="F784" t="s">
        <v>150</v>
      </c>
      <c r="G784" t="s">
        <v>37</v>
      </c>
      <c r="H784" t="s">
        <v>38</v>
      </c>
      <c r="I784" t="s">
        <v>39</v>
      </c>
      <c r="J784" t="s">
        <v>40</v>
      </c>
      <c r="K784" t="s">
        <v>41</v>
      </c>
      <c r="L784" t="s">
        <v>2039</v>
      </c>
      <c r="M784" t="s">
        <v>106</v>
      </c>
      <c r="N784" t="s">
        <v>77</v>
      </c>
      <c r="O784" t="s">
        <v>45</v>
      </c>
      <c r="P784">
        <v>5</v>
      </c>
      <c r="Q784">
        <v>3352.96</v>
      </c>
      <c r="R784" s="19">
        <v>0.1</v>
      </c>
      <c r="S784" s="21">
        <v>1676.48</v>
      </c>
      <c r="T784">
        <v>16764.8</v>
      </c>
      <c r="U784" s="2">
        <v>15088.32</v>
      </c>
      <c r="V784">
        <v>71.64</v>
      </c>
      <c r="W784">
        <v>8382.49</v>
      </c>
      <c r="X784" s="2">
        <v>6634.19</v>
      </c>
      <c r="Y784">
        <v>0.43969999999999998</v>
      </c>
      <c r="Z784">
        <v>7</v>
      </c>
      <c r="AA784" t="s">
        <v>61</v>
      </c>
      <c r="AB784" t="s">
        <v>47</v>
      </c>
      <c r="AD784">
        <v>4</v>
      </c>
      <c r="AE784" s="2">
        <v>15857.35</v>
      </c>
      <c r="AF784">
        <v>0.95150000000000001</v>
      </c>
      <c r="AG784" t="s">
        <v>49</v>
      </c>
      <c r="AH784" s="23">
        <f>SUM(Amazon_Data_Set[[#This Row],[Gross Sales]]-Amazon_Data_Set[[#This Row],[Discount Amount]])</f>
        <v>15088.32</v>
      </c>
    </row>
    <row r="785" spans="1:34">
      <c r="A785" t="s">
        <v>2040</v>
      </c>
      <c r="B785" s="1">
        <v>46384</v>
      </c>
      <c r="C785" t="str">
        <f>TEXT(Amazon_Data_Set[[#This Row],[Order Date]],"mmm")</f>
        <v>Dec</v>
      </c>
      <c r="D785" t="s">
        <v>1281</v>
      </c>
      <c r="E785" t="s">
        <v>140</v>
      </c>
      <c r="F785" t="s">
        <v>141</v>
      </c>
      <c r="G785" t="s">
        <v>54</v>
      </c>
      <c r="H785" t="s">
        <v>90</v>
      </c>
      <c r="I785" t="s">
        <v>91</v>
      </c>
      <c r="J785" t="s">
        <v>92</v>
      </c>
      <c r="K785" t="s">
        <v>93</v>
      </c>
      <c r="L785" t="s">
        <v>2041</v>
      </c>
      <c r="M785" t="s">
        <v>43</v>
      </c>
      <c r="N785" t="s">
        <v>95</v>
      </c>
      <c r="O785" t="s">
        <v>45</v>
      </c>
      <c r="P785">
        <v>1</v>
      </c>
      <c r="Q785">
        <v>837.78</v>
      </c>
      <c r="R785" s="19">
        <v>0.1</v>
      </c>
      <c r="S785" s="21">
        <v>83.78</v>
      </c>
      <c r="T785">
        <v>837.78</v>
      </c>
      <c r="U785" s="2">
        <v>754</v>
      </c>
      <c r="V785">
        <v>189.08</v>
      </c>
      <c r="W785">
        <v>578.48</v>
      </c>
      <c r="X785" s="2">
        <v>-13.56</v>
      </c>
      <c r="Y785">
        <v>-1.7999999999999999E-2</v>
      </c>
      <c r="Z785">
        <v>3</v>
      </c>
      <c r="AA785" t="s">
        <v>46</v>
      </c>
      <c r="AB785" t="s">
        <v>47</v>
      </c>
      <c r="AD785">
        <v>5</v>
      </c>
      <c r="AE785" s="2">
        <v>923.5</v>
      </c>
      <c r="AF785">
        <v>0.8165</v>
      </c>
      <c r="AG785" t="s">
        <v>49</v>
      </c>
      <c r="AH785" s="23">
        <f>SUM(Amazon_Data_Set[[#This Row],[Gross Sales]]-Amazon_Data_Set[[#This Row],[Discount Amount]])</f>
        <v>754</v>
      </c>
    </row>
    <row r="786" spans="1:34">
      <c r="A786" t="s">
        <v>2042</v>
      </c>
      <c r="B786" s="1">
        <v>46196</v>
      </c>
      <c r="C786" t="str">
        <f>TEXT(Amazon_Data_Set[[#This Row],[Order Date]],"mmm")</f>
        <v>Jun</v>
      </c>
      <c r="D786" t="s">
        <v>79</v>
      </c>
      <c r="E786" t="s">
        <v>167</v>
      </c>
      <c r="F786" t="s">
        <v>168</v>
      </c>
      <c r="G786" t="s">
        <v>111</v>
      </c>
      <c r="H786" t="s">
        <v>83</v>
      </c>
      <c r="I786" t="s">
        <v>102</v>
      </c>
      <c r="J786" t="s">
        <v>259</v>
      </c>
      <c r="K786" t="s">
        <v>260</v>
      </c>
      <c r="L786" t="s">
        <v>2043</v>
      </c>
      <c r="M786" t="s">
        <v>106</v>
      </c>
      <c r="N786" t="s">
        <v>60</v>
      </c>
      <c r="O786" t="s">
        <v>45</v>
      </c>
      <c r="P786">
        <v>2</v>
      </c>
      <c r="Q786">
        <v>1764.65</v>
      </c>
      <c r="R786" s="19">
        <v>0</v>
      </c>
      <c r="S786" s="21">
        <v>0</v>
      </c>
      <c r="T786">
        <v>3529.3</v>
      </c>
      <c r="U786" s="2">
        <v>3529.3</v>
      </c>
      <c r="V786">
        <v>142.91</v>
      </c>
      <c r="W786">
        <v>1735.55</v>
      </c>
      <c r="X786" s="2">
        <v>1650.84</v>
      </c>
      <c r="Y786">
        <v>0.46779999999999999</v>
      </c>
      <c r="Z786">
        <v>8</v>
      </c>
      <c r="AA786" t="s">
        <v>61</v>
      </c>
      <c r="AB786" t="s">
        <v>47</v>
      </c>
      <c r="AD786">
        <v>4</v>
      </c>
      <c r="AE786" s="2">
        <v>3152.77</v>
      </c>
      <c r="AF786">
        <v>1.1194</v>
      </c>
      <c r="AG786" t="s">
        <v>49</v>
      </c>
      <c r="AH786" s="23">
        <f>SUM(Amazon_Data_Set[[#This Row],[Gross Sales]]-Amazon_Data_Set[[#This Row],[Discount Amount]])</f>
        <v>3529.3</v>
      </c>
    </row>
    <row r="787" spans="1:34">
      <c r="A787" t="s">
        <v>2044</v>
      </c>
      <c r="B787" s="1">
        <v>46128</v>
      </c>
      <c r="C787" t="str">
        <f>TEXT(Amazon_Data_Set[[#This Row],[Order Date]],"mmm")</f>
        <v>Apr</v>
      </c>
      <c r="D787" t="s">
        <v>234</v>
      </c>
      <c r="E787" t="s">
        <v>118</v>
      </c>
      <c r="F787" t="s">
        <v>119</v>
      </c>
      <c r="G787" t="s">
        <v>82</v>
      </c>
      <c r="H787" t="s">
        <v>55</v>
      </c>
      <c r="I787" t="s">
        <v>56</v>
      </c>
      <c r="J787" t="s">
        <v>448</v>
      </c>
      <c r="K787" t="s">
        <v>170</v>
      </c>
      <c r="L787" t="s">
        <v>2045</v>
      </c>
      <c r="M787" t="s">
        <v>43</v>
      </c>
      <c r="N787" t="s">
        <v>60</v>
      </c>
      <c r="O787" t="s">
        <v>45</v>
      </c>
      <c r="P787">
        <v>5</v>
      </c>
      <c r="Q787">
        <v>64891.51</v>
      </c>
      <c r="R787" s="19">
        <v>0.05</v>
      </c>
      <c r="S787" s="21">
        <v>16222.88</v>
      </c>
      <c r="T787">
        <v>324457.55</v>
      </c>
      <c r="U787" s="2">
        <v>308234.67</v>
      </c>
      <c r="V787">
        <v>63.49</v>
      </c>
      <c r="W787">
        <v>205291.57</v>
      </c>
      <c r="X787" s="2">
        <v>102879.61</v>
      </c>
      <c r="Y787">
        <v>0.33379999999999999</v>
      </c>
      <c r="Z787">
        <v>2</v>
      </c>
      <c r="AA787" t="s">
        <v>46</v>
      </c>
      <c r="AB787" t="s">
        <v>47</v>
      </c>
      <c r="AD787">
        <v>4</v>
      </c>
      <c r="AE787" s="2">
        <v>290446.58</v>
      </c>
      <c r="AF787">
        <v>1.0611999999999999</v>
      </c>
      <c r="AG787" t="s">
        <v>49</v>
      </c>
      <c r="AH787" s="23">
        <f>SUM(Amazon_Data_Set[[#This Row],[Gross Sales]]-Amazon_Data_Set[[#This Row],[Discount Amount]])</f>
        <v>308234.67</v>
      </c>
    </row>
    <row r="788" spans="1:34">
      <c r="A788" t="s">
        <v>2046</v>
      </c>
      <c r="B788" s="1">
        <v>46176</v>
      </c>
      <c r="C788" t="str">
        <f>TEXT(Amazon_Data_Set[[#This Row],[Order Date]],"mmm")</f>
        <v>Jun</v>
      </c>
      <c r="D788" t="s">
        <v>2047</v>
      </c>
      <c r="E788" t="s">
        <v>100</v>
      </c>
      <c r="F788" t="s">
        <v>101</v>
      </c>
      <c r="G788" t="s">
        <v>54</v>
      </c>
      <c r="H788" t="s">
        <v>83</v>
      </c>
      <c r="I788" t="s">
        <v>102</v>
      </c>
      <c r="J788" t="s">
        <v>259</v>
      </c>
      <c r="K788" t="s">
        <v>260</v>
      </c>
      <c r="L788" t="s">
        <v>2048</v>
      </c>
      <c r="M788" t="s">
        <v>106</v>
      </c>
      <c r="N788" t="s">
        <v>95</v>
      </c>
      <c r="O788" t="s">
        <v>130</v>
      </c>
      <c r="P788">
        <v>3</v>
      </c>
      <c r="Q788">
        <v>317.99</v>
      </c>
      <c r="R788" s="19">
        <v>0.05</v>
      </c>
      <c r="S788" s="21">
        <v>47.7</v>
      </c>
      <c r="T788">
        <v>953.97</v>
      </c>
      <c r="U788" s="2">
        <v>906.27</v>
      </c>
      <c r="V788">
        <v>242.75</v>
      </c>
      <c r="W788">
        <v>609.15</v>
      </c>
      <c r="X788" s="2">
        <v>54.37</v>
      </c>
      <c r="Y788">
        <v>0.06</v>
      </c>
      <c r="Z788">
        <v>6</v>
      </c>
      <c r="AA788" t="s">
        <v>131</v>
      </c>
      <c r="AB788" t="s">
        <v>47</v>
      </c>
      <c r="AE788" s="2">
        <v>837.27</v>
      </c>
      <c r="AF788">
        <v>1.0824</v>
      </c>
      <c r="AG788" t="s">
        <v>49</v>
      </c>
      <c r="AH788" s="23">
        <f>SUM(Amazon_Data_Set[[#This Row],[Gross Sales]]-Amazon_Data_Set[[#This Row],[Discount Amount]])</f>
        <v>906.27</v>
      </c>
    </row>
    <row r="789" spans="1:34">
      <c r="A789" t="s">
        <v>2049</v>
      </c>
      <c r="B789" s="1">
        <v>46261</v>
      </c>
      <c r="C789" t="str">
        <f>TEXT(Amazon_Data_Set[[#This Row],[Order Date]],"mmm")</f>
        <v>Aug</v>
      </c>
      <c r="D789" t="s">
        <v>796</v>
      </c>
      <c r="E789" t="s">
        <v>80</v>
      </c>
      <c r="F789" t="s">
        <v>81</v>
      </c>
      <c r="G789" t="s">
        <v>82</v>
      </c>
      <c r="H789" t="s">
        <v>38</v>
      </c>
      <c r="I789" t="s">
        <v>39</v>
      </c>
      <c r="J789" t="s">
        <v>281</v>
      </c>
      <c r="K789" t="s">
        <v>282</v>
      </c>
      <c r="L789" t="s">
        <v>2050</v>
      </c>
      <c r="M789" t="s">
        <v>43</v>
      </c>
      <c r="N789" t="s">
        <v>95</v>
      </c>
      <c r="O789" t="s">
        <v>45</v>
      </c>
      <c r="P789">
        <v>3</v>
      </c>
      <c r="Q789">
        <v>3491.33</v>
      </c>
      <c r="R789" s="19">
        <v>0</v>
      </c>
      <c r="S789" s="21">
        <v>0</v>
      </c>
      <c r="T789">
        <v>10473.99</v>
      </c>
      <c r="U789" s="2">
        <v>10473.99</v>
      </c>
      <c r="V789">
        <v>174.33</v>
      </c>
      <c r="W789">
        <v>6181.1</v>
      </c>
      <c r="X789" s="2">
        <v>4118.5600000000004</v>
      </c>
      <c r="Y789">
        <v>0.39319999999999999</v>
      </c>
      <c r="Z789">
        <v>3</v>
      </c>
      <c r="AA789" t="s">
        <v>46</v>
      </c>
      <c r="AB789" t="s">
        <v>47</v>
      </c>
      <c r="AD789">
        <v>5</v>
      </c>
      <c r="AE789" s="2">
        <v>12719.04</v>
      </c>
      <c r="AF789">
        <v>0.82350000000000001</v>
      </c>
      <c r="AG789" t="s">
        <v>49</v>
      </c>
      <c r="AH789" s="23">
        <f>SUM(Amazon_Data_Set[[#This Row],[Gross Sales]]-Amazon_Data_Set[[#This Row],[Discount Amount]])</f>
        <v>10473.99</v>
      </c>
    </row>
    <row r="790" spans="1:34">
      <c r="A790" t="s">
        <v>2051</v>
      </c>
      <c r="B790" s="1">
        <v>46067</v>
      </c>
      <c r="C790" t="str">
        <f>TEXT(Amazon_Data_Set[[#This Row],[Order Date]],"mmm")</f>
        <v>Feb</v>
      </c>
      <c r="D790" t="s">
        <v>732</v>
      </c>
      <c r="E790" t="s">
        <v>64</v>
      </c>
      <c r="F790" t="s">
        <v>65</v>
      </c>
      <c r="G790" t="s">
        <v>54</v>
      </c>
      <c r="H790" t="s">
        <v>55</v>
      </c>
      <c r="I790" t="s">
        <v>120</v>
      </c>
      <c r="J790" t="s">
        <v>127</v>
      </c>
      <c r="K790" t="s">
        <v>128</v>
      </c>
      <c r="L790" t="s">
        <v>2052</v>
      </c>
      <c r="M790" t="s">
        <v>43</v>
      </c>
      <c r="N790" t="s">
        <v>70</v>
      </c>
      <c r="O790" t="s">
        <v>45</v>
      </c>
      <c r="P790">
        <v>2</v>
      </c>
      <c r="Q790">
        <v>17779.400000000001</v>
      </c>
      <c r="R790" s="19">
        <v>0.15</v>
      </c>
      <c r="S790" s="21">
        <v>5333.82</v>
      </c>
      <c r="T790">
        <v>35558.800000000003</v>
      </c>
      <c r="U790" s="2">
        <v>30224.98</v>
      </c>
      <c r="V790">
        <v>213.49</v>
      </c>
      <c r="W790">
        <v>19699.05</v>
      </c>
      <c r="X790" s="2">
        <v>10312.44</v>
      </c>
      <c r="Y790">
        <v>0.3412</v>
      </c>
      <c r="Z790">
        <v>4</v>
      </c>
      <c r="AA790" t="s">
        <v>46</v>
      </c>
      <c r="AB790" t="s">
        <v>47</v>
      </c>
      <c r="AD790">
        <v>5</v>
      </c>
      <c r="AE790" s="2">
        <v>32236.85</v>
      </c>
      <c r="AF790">
        <v>0.93759999999999999</v>
      </c>
      <c r="AG790" t="s">
        <v>49</v>
      </c>
      <c r="AH790" s="23">
        <f>SUM(Amazon_Data_Set[[#This Row],[Gross Sales]]-Amazon_Data_Set[[#This Row],[Discount Amount]])</f>
        <v>30224.980000000003</v>
      </c>
    </row>
    <row r="791" spans="1:34">
      <c r="A791" t="s">
        <v>2053</v>
      </c>
      <c r="B791" s="1">
        <v>46362</v>
      </c>
      <c r="C791" t="str">
        <f>TEXT(Amazon_Data_Set[[#This Row],[Order Date]],"mmm")</f>
        <v>Dec</v>
      </c>
      <c r="D791" t="s">
        <v>1864</v>
      </c>
      <c r="E791" t="s">
        <v>167</v>
      </c>
      <c r="F791" t="s">
        <v>168</v>
      </c>
      <c r="G791" t="s">
        <v>111</v>
      </c>
      <c r="H791" t="s">
        <v>38</v>
      </c>
      <c r="I791" t="s">
        <v>161</v>
      </c>
      <c r="J791" t="s">
        <v>297</v>
      </c>
      <c r="K791" t="s">
        <v>298</v>
      </c>
      <c r="L791" t="s">
        <v>2054</v>
      </c>
      <c r="M791" t="s">
        <v>43</v>
      </c>
      <c r="N791" t="s">
        <v>44</v>
      </c>
      <c r="O791" t="s">
        <v>45</v>
      </c>
      <c r="P791">
        <v>4</v>
      </c>
      <c r="Q791">
        <v>2479</v>
      </c>
      <c r="R791" s="19">
        <v>0</v>
      </c>
      <c r="S791" s="21">
        <v>0</v>
      </c>
      <c r="T791">
        <v>9916</v>
      </c>
      <c r="U791" s="2">
        <v>9916</v>
      </c>
      <c r="V791">
        <v>236.76</v>
      </c>
      <c r="W791">
        <v>7328.76</v>
      </c>
      <c r="X791" s="2">
        <v>2350.48</v>
      </c>
      <c r="Y791">
        <v>0.23699999999999999</v>
      </c>
      <c r="Z791">
        <v>4</v>
      </c>
      <c r="AA791" t="s">
        <v>46</v>
      </c>
      <c r="AB791" t="s">
        <v>47</v>
      </c>
      <c r="AD791">
        <v>3</v>
      </c>
      <c r="AE791" s="2">
        <v>10430.379999999999</v>
      </c>
      <c r="AF791">
        <v>0.95069999999999999</v>
      </c>
      <c r="AG791" t="s">
        <v>347</v>
      </c>
      <c r="AH791" s="23">
        <f>SUM(Amazon_Data_Set[[#This Row],[Gross Sales]]-Amazon_Data_Set[[#This Row],[Discount Amount]])</f>
        <v>9916</v>
      </c>
    </row>
    <row r="792" spans="1:34">
      <c r="A792" t="s">
        <v>2055</v>
      </c>
      <c r="B792" s="1">
        <v>46277</v>
      </c>
      <c r="C792" t="str">
        <f>TEXT(Amazon_Data_Set[[#This Row],[Order Date]],"mmm")</f>
        <v>Sep</v>
      </c>
      <c r="D792" t="s">
        <v>357</v>
      </c>
      <c r="E792" t="s">
        <v>194</v>
      </c>
      <c r="F792" t="s">
        <v>195</v>
      </c>
      <c r="G792" t="s">
        <v>111</v>
      </c>
      <c r="H792" t="s">
        <v>83</v>
      </c>
      <c r="I792" t="s">
        <v>188</v>
      </c>
      <c r="J792" t="s">
        <v>475</v>
      </c>
      <c r="K792" t="s">
        <v>476</v>
      </c>
      <c r="L792" t="s">
        <v>2056</v>
      </c>
      <c r="M792" t="s">
        <v>106</v>
      </c>
      <c r="N792" t="s">
        <v>77</v>
      </c>
      <c r="O792" t="s">
        <v>96</v>
      </c>
      <c r="P792">
        <v>2</v>
      </c>
      <c r="Q792">
        <v>572.54999999999995</v>
      </c>
      <c r="R792" s="19">
        <v>0</v>
      </c>
      <c r="S792" s="21">
        <v>0</v>
      </c>
      <c r="T792">
        <v>1145.0999999999999</v>
      </c>
      <c r="U792" s="2">
        <v>1145.0999999999999</v>
      </c>
      <c r="V792">
        <v>238.3</v>
      </c>
      <c r="W792">
        <v>657.26</v>
      </c>
      <c r="X792" s="2">
        <v>249.54</v>
      </c>
      <c r="Y792">
        <v>0.21790000000000001</v>
      </c>
      <c r="Z792">
        <v>0</v>
      </c>
      <c r="AA792" t="s">
        <v>97</v>
      </c>
      <c r="AB792" t="s">
        <v>47</v>
      </c>
      <c r="AE792" s="2">
        <v>1072.25</v>
      </c>
      <c r="AF792">
        <v>1.0679000000000001</v>
      </c>
      <c r="AG792" t="s">
        <v>49</v>
      </c>
      <c r="AH792" s="23">
        <f>SUM(Amazon_Data_Set[[#This Row],[Gross Sales]]-Amazon_Data_Set[[#This Row],[Discount Amount]])</f>
        <v>1145.0999999999999</v>
      </c>
    </row>
    <row r="793" spans="1:34">
      <c r="A793" t="s">
        <v>2057</v>
      </c>
      <c r="B793" s="1">
        <v>46385</v>
      </c>
      <c r="C793" t="str">
        <f>TEXT(Amazon_Data_Set[[#This Row],[Order Date]],"mmm")</f>
        <v>Dec</v>
      </c>
      <c r="D793" t="s">
        <v>1491</v>
      </c>
      <c r="E793" t="s">
        <v>194</v>
      </c>
      <c r="F793" t="s">
        <v>195</v>
      </c>
      <c r="G793" t="s">
        <v>111</v>
      </c>
      <c r="H793" t="s">
        <v>55</v>
      </c>
      <c r="I793" t="s">
        <v>56</v>
      </c>
      <c r="J793" t="s">
        <v>366</v>
      </c>
      <c r="K793" t="s">
        <v>367</v>
      </c>
      <c r="L793" t="s">
        <v>2058</v>
      </c>
      <c r="M793" t="s">
        <v>43</v>
      </c>
      <c r="N793" t="s">
        <v>60</v>
      </c>
      <c r="O793" t="s">
        <v>45</v>
      </c>
      <c r="P793">
        <v>1</v>
      </c>
      <c r="Q793">
        <v>26944.37</v>
      </c>
      <c r="R793" s="19">
        <v>0</v>
      </c>
      <c r="S793" s="21">
        <v>0</v>
      </c>
      <c r="T793">
        <v>26944.37</v>
      </c>
      <c r="U793" s="2">
        <v>26944.37</v>
      </c>
      <c r="V793">
        <v>2.59</v>
      </c>
      <c r="W793">
        <v>14429.2</v>
      </c>
      <c r="X793" s="2">
        <v>12512.58</v>
      </c>
      <c r="Y793">
        <v>0.46439999999999998</v>
      </c>
      <c r="Z793">
        <v>5</v>
      </c>
      <c r="AA793" t="s">
        <v>61</v>
      </c>
      <c r="AB793" t="s">
        <v>47</v>
      </c>
      <c r="AD793">
        <v>5</v>
      </c>
      <c r="AE793" s="2">
        <v>23687.67</v>
      </c>
      <c r="AF793">
        <v>1.1375</v>
      </c>
      <c r="AG793" t="s">
        <v>49</v>
      </c>
      <c r="AH793" s="23">
        <f>SUM(Amazon_Data_Set[[#This Row],[Gross Sales]]-Amazon_Data_Set[[#This Row],[Discount Amount]])</f>
        <v>26944.37</v>
      </c>
    </row>
    <row r="794" spans="1:34">
      <c r="A794" t="s">
        <v>2059</v>
      </c>
      <c r="B794" s="1">
        <v>46207</v>
      </c>
      <c r="C794" t="str">
        <f>TEXT(Amazon_Data_Set[[#This Row],[Order Date]],"mmm")</f>
        <v>Jul</v>
      </c>
      <c r="D794" t="s">
        <v>819</v>
      </c>
      <c r="E794" t="s">
        <v>174</v>
      </c>
      <c r="F794" t="s">
        <v>175</v>
      </c>
      <c r="G794" t="s">
        <v>82</v>
      </c>
      <c r="H794" t="s">
        <v>90</v>
      </c>
      <c r="I794" t="s">
        <v>91</v>
      </c>
      <c r="J794" t="s">
        <v>92</v>
      </c>
      <c r="K794" t="s">
        <v>93</v>
      </c>
      <c r="L794" t="s">
        <v>2060</v>
      </c>
      <c r="M794" t="s">
        <v>106</v>
      </c>
      <c r="N794" t="s">
        <v>124</v>
      </c>
      <c r="O794" t="s">
        <v>45</v>
      </c>
      <c r="P794">
        <v>2</v>
      </c>
      <c r="Q794">
        <v>1477.14</v>
      </c>
      <c r="R794" s="19">
        <v>0</v>
      </c>
      <c r="S794" s="21">
        <v>0</v>
      </c>
      <c r="T794">
        <v>2954.28</v>
      </c>
      <c r="U794" s="2">
        <v>2954.28</v>
      </c>
      <c r="V794">
        <v>71.069999999999993</v>
      </c>
      <c r="W794">
        <v>2052.92</v>
      </c>
      <c r="X794" s="2">
        <v>830.29</v>
      </c>
      <c r="Y794">
        <v>0.28100000000000003</v>
      </c>
      <c r="Z794">
        <v>5</v>
      </c>
      <c r="AA794" t="s">
        <v>61</v>
      </c>
      <c r="AB794" t="s">
        <v>47</v>
      </c>
      <c r="AD794">
        <v>5</v>
      </c>
      <c r="AE794" s="2">
        <v>3022.03</v>
      </c>
      <c r="AF794">
        <v>0.97760000000000002</v>
      </c>
      <c r="AG794" t="s">
        <v>49</v>
      </c>
      <c r="AH794" s="23">
        <f>SUM(Amazon_Data_Set[[#This Row],[Gross Sales]]-Amazon_Data_Set[[#This Row],[Discount Amount]])</f>
        <v>2954.28</v>
      </c>
    </row>
    <row r="795" spans="1:34">
      <c r="A795" t="s">
        <v>2061</v>
      </c>
      <c r="B795" s="1">
        <v>46052</v>
      </c>
      <c r="C795" t="str">
        <f>TEXT(Amazon_Data_Set[[#This Row],[Order Date]],"mmm")</f>
        <v>Jan</v>
      </c>
      <c r="D795" t="s">
        <v>1398</v>
      </c>
      <c r="E795" t="s">
        <v>235</v>
      </c>
      <c r="F795" t="s">
        <v>236</v>
      </c>
      <c r="G795" t="s">
        <v>82</v>
      </c>
      <c r="H795" t="s">
        <v>142</v>
      </c>
      <c r="I795" t="s">
        <v>143</v>
      </c>
      <c r="J795" t="s">
        <v>183</v>
      </c>
      <c r="K795" t="s">
        <v>184</v>
      </c>
      <c r="L795" t="s">
        <v>2062</v>
      </c>
      <c r="M795" t="s">
        <v>106</v>
      </c>
      <c r="N795" t="s">
        <v>60</v>
      </c>
      <c r="O795" t="s">
        <v>45</v>
      </c>
      <c r="P795">
        <v>3</v>
      </c>
      <c r="Q795">
        <v>1126</v>
      </c>
      <c r="R795" s="19">
        <v>0.25</v>
      </c>
      <c r="S795" s="21">
        <v>844.5</v>
      </c>
      <c r="T795">
        <v>3378</v>
      </c>
      <c r="U795" s="2">
        <v>2533.5</v>
      </c>
      <c r="V795">
        <v>128.80000000000001</v>
      </c>
      <c r="W795">
        <v>1282.1500000000001</v>
      </c>
      <c r="X795" s="2">
        <v>1122.55</v>
      </c>
      <c r="Y795">
        <v>0.44309999999999999</v>
      </c>
      <c r="Z795">
        <v>3</v>
      </c>
      <c r="AA795" t="s">
        <v>46</v>
      </c>
      <c r="AB795" t="s">
        <v>47</v>
      </c>
      <c r="AD795">
        <v>4</v>
      </c>
      <c r="AE795" s="2">
        <v>2446.11</v>
      </c>
      <c r="AF795">
        <v>1.0357000000000001</v>
      </c>
      <c r="AG795" t="s">
        <v>49</v>
      </c>
      <c r="AH795" s="23">
        <f>SUM(Amazon_Data_Set[[#This Row],[Gross Sales]]-Amazon_Data_Set[[#This Row],[Discount Amount]])</f>
        <v>2533.5</v>
      </c>
    </row>
    <row r="796" spans="1:34">
      <c r="A796" t="s">
        <v>2063</v>
      </c>
      <c r="B796" s="1">
        <v>46338</v>
      </c>
      <c r="C796" t="str">
        <f>TEXT(Amazon_Data_Set[[#This Row],[Order Date]],"mmm")</f>
        <v>Nov</v>
      </c>
      <c r="D796" t="s">
        <v>1037</v>
      </c>
      <c r="E796" t="s">
        <v>35</v>
      </c>
      <c r="F796" t="s">
        <v>36</v>
      </c>
      <c r="G796" t="s">
        <v>37</v>
      </c>
      <c r="H796" t="s">
        <v>90</v>
      </c>
      <c r="I796" t="s">
        <v>112</v>
      </c>
      <c r="J796" t="s">
        <v>292</v>
      </c>
      <c r="K796" t="s">
        <v>293</v>
      </c>
      <c r="L796" t="s">
        <v>2064</v>
      </c>
      <c r="M796" t="s">
        <v>106</v>
      </c>
      <c r="N796" t="s">
        <v>70</v>
      </c>
      <c r="O796" t="s">
        <v>45</v>
      </c>
      <c r="P796">
        <v>1</v>
      </c>
      <c r="Q796">
        <v>156.19999999999999</v>
      </c>
      <c r="R796" s="19">
        <v>0.05</v>
      </c>
      <c r="S796" s="21">
        <v>7.81</v>
      </c>
      <c r="T796">
        <v>156.19999999999999</v>
      </c>
      <c r="U796" s="2">
        <v>148.38999999999999</v>
      </c>
      <c r="V796">
        <v>218.08</v>
      </c>
      <c r="W796">
        <v>103.09</v>
      </c>
      <c r="X796" s="2">
        <v>-172.78</v>
      </c>
      <c r="Y796">
        <v>-1.1644000000000001</v>
      </c>
      <c r="Z796">
        <v>3</v>
      </c>
      <c r="AA796" t="s">
        <v>46</v>
      </c>
      <c r="AB796" t="s">
        <v>47</v>
      </c>
      <c r="AD796">
        <v>4</v>
      </c>
      <c r="AE796" s="2">
        <v>173.05</v>
      </c>
      <c r="AF796">
        <v>0.85750000000000004</v>
      </c>
      <c r="AG796" t="s">
        <v>347</v>
      </c>
      <c r="AH796" s="23">
        <f>SUM(Amazon_Data_Set[[#This Row],[Gross Sales]]-Amazon_Data_Set[[#This Row],[Discount Amount]])</f>
        <v>148.38999999999999</v>
      </c>
    </row>
    <row r="797" spans="1:34">
      <c r="A797" t="s">
        <v>2065</v>
      </c>
      <c r="B797" s="1">
        <v>46161</v>
      </c>
      <c r="C797" t="str">
        <f>TEXT(Amazon_Data_Set[[#This Row],[Order Date]],"mmm")</f>
        <v>May</v>
      </c>
      <c r="D797" t="s">
        <v>2066</v>
      </c>
      <c r="E797" t="s">
        <v>167</v>
      </c>
      <c r="F797" t="s">
        <v>168</v>
      </c>
      <c r="G797" t="s">
        <v>111</v>
      </c>
      <c r="H797" t="s">
        <v>83</v>
      </c>
      <c r="I797" t="s">
        <v>84</v>
      </c>
      <c r="J797" t="s">
        <v>332</v>
      </c>
      <c r="K797" t="s">
        <v>333</v>
      </c>
      <c r="L797" t="s">
        <v>2067</v>
      </c>
      <c r="M797" t="s">
        <v>43</v>
      </c>
      <c r="N797" t="s">
        <v>44</v>
      </c>
      <c r="O797" t="s">
        <v>45</v>
      </c>
      <c r="P797">
        <v>3</v>
      </c>
      <c r="Q797">
        <v>350.09</v>
      </c>
      <c r="R797" s="19">
        <v>0</v>
      </c>
      <c r="S797" s="21">
        <v>0</v>
      </c>
      <c r="T797">
        <v>1050.27</v>
      </c>
      <c r="U797" s="2">
        <v>1050.27</v>
      </c>
      <c r="V797">
        <v>86.51</v>
      </c>
      <c r="W797">
        <v>588.49</v>
      </c>
      <c r="X797" s="2">
        <v>375.27</v>
      </c>
      <c r="Y797">
        <v>0.35730000000000001</v>
      </c>
      <c r="Z797">
        <v>6</v>
      </c>
      <c r="AA797" t="s">
        <v>61</v>
      </c>
      <c r="AB797" t="s">
        <v>47</v>
      </c>
      <c r="AD797">
        <v>5</v>
      </c>
      <c r="AE797" s="2">
        <v>955.7</v>
      </c>
      <c r="AF797">
        <v>1.099</v>
      </c>
      <c r="AG797" t="s">
        <v>49</v>
      </c>
      <c r="AH797" s="23">
        <f>SUM(Amazon_Data_Set[[#This Row],[Gross Sales]]-Amazon_Data_Set[[#This Row],[Discount Amount]])</f>
        <v>1050.27</v>
      </c>
    </row>
    <row r="798" spans="1:34">
      <c r="A798" t="s">
        <v>2068</v>
      </c>
      <c r="B798" s="1">
        <v>46363</v>
      </c>
      <c r="C798" t="str">
        <f>TEXT(Amazon_Data_Set[[#This Row],[Order Date]],"mmm")</f>
        <v>Dec</v>
      </c>
      <c r="D798" t="s">
        <v>199</v>
      </c>
      <c r="E798" t="s">
        <v>109</v>
      </c>
      <c r="F798" t="s">
        <v>154</v>
      </c>
      <c r="G798" t="s">
        <v>111</v>
      </c>
      <c r="H798" t="s">
        <v>55</v>
      </c>
      <c r="I798" t="s">
        <v>73</v>
      </c>
      <c r="J798" t="s">
        <v>247</v>
      </c>
      <c r="K798" t="s">
        <v>248</v>
      </c>
      <c r="L798" t="s">
        <v>2069</v>
      </c>
      <c r="M798" t="s">
        <v>43</v>
      </c>
      <c r="N798" t="s">
        <v>124</v>
      </c>
      <c r="O798" t="s">
        <v>45</v>
      </c>
      <c r="P798">
        <v>2</v>
      </c>
      <c r="Q798">
        <v>3881.39</v>
      </c>
      <c r="R798" s="19">
        <v>0.1</v>
      </c>
      <c r="S798" s="21">
        <v>776.28</v>
      </c>
      <c r="T798">
        <v>7762.78</v>
      </c>
      <c r="U798" s="2">
        <v>6986.5</v>
      </c>
      <c r="V798">
        <v>36.130000000000003</v>
      </c>
      <c r="W798">
        <v>3902.78</v>
      </c>
      <c r="X798" s="2">
        <v>3047.59</v>
      </c>
      <c r="Y798">
        <v>0.43619999999999998</v>
      </c>
      <c r="Z798">
        <v>7</v>
      </c>
      <c r="AA798" t="s">
        <v>61</v>
      </c>
      <c r="AB798" t="s">
        <v>47</v>
      </c>
      <c r="AD798">
        <v>4</v>
      </c>
      <c r="AE798" s="2">
        <v>7035.34</v>
      </c>
      <c r="AF798">
        <v>0.99309999999999998</v>
      </c>
      <c r="AG798" t="s">
        <v>49</v>
      </c>
      <c r="AH798" s="23">
        <f>SUM(Amazon_Data_Set[[#This Row],[Gross Sales]]-Amazon_Data_Set[[#This Row],[Discount Amount]])</f>
        <v>6986.5</v>
      </c>
    </row>
    <row r="799" spans="1:34">
      <c r="A799" t="s">
        <v>2070</v>
      </c>
      <c r="B799" s="1">
        <v>46208</v>
      </c>
      <c r="C799" t="str">
        <f>TEXT(Amazon_Data_Set[[#This Row],[Order Date]],"mmm")</f>
        <v>Jul</v>
      </c>
      <c r="D799" t="s">
        <v>288</v>
      </c>
      <c r="E799" t="s">
        <v>167</v>
      </c>
      <c r="F799" t="s">
        <v>168</v>
      </c>
      <c r="G799" t="s">
        <v>111</v>
      </c>
      <c r="H799" t="s">
        <v>38</v>
      </c>
      <c r="I799" t="s">
        <v>66</v>
      </c>
      <c r="J799" t="s">
        <v>318</v>
      </c>
      <c r="K799" t="s">
        <v>282</v>
      </c>
      <c r="L799" t="s">
        <v>2071</v>
      </c>
      <c r="M799" t="s">
        <v>43</v>
      </c>
      <c r="N799" t="s">
        <v>124</v>
      </c>
      <c r="O799" t="s">
        <v>130</v>
      </c>
      <c r="P799">
        <v>4</v>
      </c>
      <c r="Q799">
        <v>669.43</v>
      </c>
      <c r="R799" s="19">
        <v>0</v>
      </c>
      <c r="S799" s="21">
        <v>0</v>
      </c>
      <c r="T799">
        <v>2677.72</v>
      </c>
      <c r="U799" s="2">
        <v>2677.72</v>
      </c>
      <c r="V799">
        <v>221.17</v>
      </c>
      <c r="W799">
        <v>1537.89</v>
      </c>
      <c r="X799" s="2">
        <v>918.66</v>
      </c>
      <c r="Y799">
        <v>0.34310000000000002</v>
      </c>
      <c r="Z799">
        <v>5</v>
      </c>
      <c r="AA799" t="s">
        <v>131</v>
      </c>
      <c r="AB799" t="s">
        <v>47</v>
      </c>
      <c r="AE799" s="2">
        <v>3148.52</v>
      </c>
      <c r="AF799">
        <v>0.85050000000000003</v>
      </c>
      <c r="AG799" t="s">
        <v>49</v>
      </c>
      <c r="AH799" s="23">
        <f>SUM(Amazon_Data_Set[[#This Row],[Gross Sales]]-Amazon_Data_Set[[#This Row],[Discount Amount]])</f>
        <v>2677.72</v>
      </c>
    </row>
    <row r="800" spans="1:34">
      <c r="A800" t="s">
        <v>2072</v>
      </c>
      <c r="B800" s="1">
        <v>46264</v>
      </c>
      <c r="C800" t="str">
        <f>TEXT(Amazon_Data_Set[[#This Row],[Order Date]],"mmm")</f>
        <v>Aug</v>
      </c>
      <c r="D800" t="s">
        <v>651</v>
      </c>
      <c r="E800" t="s">
        <v>167</v>
      </c>
      <c r="F800" t="s">
        <v>168</v>
      </c>
      <c r="G800" t="s">
        <v>111</v>
      </c>
      <c r="H800" t="s">
        <v>90</v>
      </c>
      <c r="I800" t="s">
        <v>252</v>
      </c>
      <c r="J800" t="s">
        <v>270</v>
      </c>
      <c r="K800" t="s">
        <v>271</v>
      </c>
      <c r="L800" t="s">
        <v>2073</v>
      </c>
      <c r="M800" t="s">
        <v>43</v>
      </c>
      <c r="N800" t="s">
        <v>95</v>
      </c>
      <c r="O800" t="s">
        <v>45</v>
      </c>
      <c r="P800">
        <v>3</v>
      </c>
      <c r="Q800">
        <v>390.6</v>
      </c>
      <c r="R800" s="19">
        <v>0</v>
      </c>
      <c r="S800" s="21">
        <v>0</v>
      </c>
      <c r="T800">
        <v>1171.8</v>
      </c>
      <c r="U800" s="2">
        <v>1171.8</v>
      </c>
      <c r="V800">
        <v>209.44</v>
      </c>
      <c r="W800">
        <v>905.87</v>
      </c>
      <c r="X800" s="2">
        <v>56.49</v>
      </c>
      <c r="Y800">
        <v>4.82E-2</v>
      </c>
      <c r="Z800">
        <v>5</v>
      </c>
      <c r="AA800" t="s">
        <v>61</v>
      </c>
      <c r="AB800" t="s">
        <v>47</v>
      </c>
      <c r="AD800">
        <v>5</v>
      </c>
      <c r="AE800" s="2">
        <v>1184.97</v>
      </c>
      <c r="AF800">
        <v>0.9889</v>
      </c>
      <c r="AG800" t="s">
        <v>49</v>
      </c>
      <c r="AH800" s="23">
        <f>SUM(Amazon_Data_Set[[#This Row],[Gross Sales]]-Amazon_Data_Set[[#This Row],[Discount Amount]])</f>
        <v>1171.8</v>
      </c>
    </row>
    <row r="801" spans="1:34">
      <c r="A801" t="s">
        <v>2074</v>
      </c>
      <c r="B801" s="1">
        <v>46042</v>
      </c>
      <c r="C801" t="str">
        <f>TEXT(Amazon_Data_Set[[#This Row],[Order Date]],"mmm")</f>
        <v>Jan</v>
      </c>
      <c r="D801" t="s">
        <v>317</v>
      </c>
      <c r="E801" t="s">
        <v>52</v>
      </c>
      <c r="F801" t="s">
        <v>53</v>
      </c>
      <c r="G801" t="s">
        <v>54</v>
      </c>
      <c r="H801" t="s">
        <v>55</v>
      </c>
      <c r="I801" t="s">
        <v>56</v>
      </c>
      <c r="J801" t="s">
        <v>582</v>
      </c>
      <c r="K801" t="s">
        <v>583</v>
      </c>
      <c r="L801" t="s">
        <v>2075</v>
      </c>
      <c r="M801" t="s">
        <v>106</v>
      </c>
      <c r="N801" t="s">
        <v>70</v>
      </c>
      <c r="O801" t="s">
        <v>45</v>
      </c>
      <c r="P801">
        <v>3</v>
      </c>
      <c r="Q801">
        <v>1348.33</v>
      </c>
      <c r="R801" s="19">
        <v>0.25</v>
      </c>
      <c r="S801" s="21">
        <v>1011.25</v>
      </c>
      <c r="T801">
        <v>4044.99</v>
      </c>
      <c r="U801" s="2">
        <v>3033.74</v>
      </c>
      <c r="V801">
        <v>133.65</v>
      </c>
      <c r="W801">
        <v>1894.38</v>
      </c>
      <c r="X801" s="2">
        <v>1005.71</v>
      </c>
      <c r="Y801">
        <v>0.33150000000000002</v>
      </c>
      <c r="Z801">
        <v>4</v>
      </c>
      <c r="AA801" t="s">
        <v>46</v>
      </c>
      <c r="AB801" t="s">
        <v>47</v>
      </c>
      <c r="AD801">
        <v>5</v>
      </c>
      <c r="AE801" s="2">
        <v>2916.32</v>
      </c>
      <c r="AF801">
        <v>1.0403</v>
      </c>
      <c r="AG801" t="s">
        <v>49</v>
      </c>
      <c r="AH801" s="23">
        <f>SUM(Amazon_Data_Set[[#This Row],[Gross Sales]]-Amazon_Data_Set[[#This Row],[Discount Amount]])</f>
        <v>3033.74</v>
      </c>
    </row>
    <row r="802" spans="1:34">
      <c r="A802" t="s">
        <v>2076</v>
      </c>
      <c r="B802" s="1">
        <v>46168</v>
      </c>
      <c r="C802" t="str">
        <f>TEXT(Amazon_Data_Set[[#This Row],[Order Date]],"mmm")</f>
        <v>May</v>
      </c>
      <c r="D802" t="s">
        <v>166</v>
      </c>
      <c r="E802" t="s">
        <v>35</v>
      </c>
      <c r="F802" t="s">
        <v>36</v>
      </c>
      <c r="G802" t="s">
        <v>37</v>
      </c>
      <c r="H802" t="s">
        <v>38</v>
      </c>
      <c r="I802" t="s">
        <v>66</v>
      </c>
      <c r="J802" t="s">
        <v>318</v>
      </c>
      <c r="K802" t="s">
        <v>282</v>
      </c>
      <c r="L802" t="s">
        <v>2077</v>
      </c>
      <c r="M802" t="s">
        <v>43</v>
      </c>
      <c r="N802" t="s">
        <v>70</v>
      </c>
      <c r="O802" t="s">
        <v>130</v>
      </c>
      <c r="P802">
        <v>4</v>
      </c>
      <c r="Q802">
        <v>1539.91</v>
      </c>
      <c r="R802" s="19">
        <v>0.15</v>
      </c>
      <c r="S802" s="21">
        <v>923.95</v>
      </c>
      <c r="T802">
        <v>6159.64</v>
      </c>
      <c r="U802" s="2">
        <v>5235.6899999999996</v>
      </c>
      <c r="V802">
        <v>245.84</v>
      </c>
      <c r="W802">
        <v>3982.12</v>
      </c>
      <c r="X802" s="2">
        <v>1007.73</v>
      </c>
      <c r="Y802">
        <v>0.1925</v>
      </c>
      <c r="Z802">
        <v>4</v>
      </c>
      <c r="AA802" t="s">
        <v>131</v>
      </c>
      <c r="AB802" t="s">
        <v>47</v>
      </c>
      <c r="AE802" s="2">
        <v>5795.07</v>
      </c>
      <c r="AF802">
        <v>0.90349999999999997</v>
      </c>
      <c r="AG802" t="s">
        <v>49</v>
      </c>
      <c r="AH802" s="23">
        <f>SUM(Amazon_Data_Set[[#This Row],[Gross Sales]]-Amazon_Data_Set[[#This Row],[Discount Amount]])</f>
        <v>5235.6900000000005</v>
      </c>
    </row>
    <row r="803" spans="1:34">
      <c r="A803" t="s">
        <v>2078</v>
      </c>
      <c r="B803" s="1">
        <v>46050</v>
      </c>
      <c r="C803" t="str">
        <f>TEXT(Amazon_Data_Set[[#This Row],[Order Date]],"mmm")</f>
        <v>Jan</v>
      </c>
      <c r="D803" t="s">
        <v>974</v>
      </c>
      <c r="E803" t="s">
        <v>228</v>
      </c>
      <c r="F803" t="s">
        <v>229</v>
      </c>
      <c r="G803" t="s">
        <v>37</v>
      </c>
      <c r="H803" t="s">
        <v>83</v>
      </c>
      <c r="I803" t="s">
        <v>102</v>
      </c>
      <c r="J803" t="s">
        <v>103</v>
      </c>
      <c r="K803" t="s">
        <v>104</v>
      </c>
      <c r="L803" t="s">
        <v>2079</v>
      </c>
      <c r="M803" t="s">
        <v>106</v>
      </c>
      <c r="N803" t="s">
        <v>70</v>
      </c>
      <c r="O803" t="s">
        <v>45</v>
      </c>
      <c r="P803">
        <v>2</v>
      </c>
      <c r="Q803">
        <v>417.52</v>
      </c>
      <c r="R803" s="19">
        <v>0.1</v>
      </c>
      <c r="S803" s="21">
        <v>83.5</v>
      </c>
      <c r="T803">
        <v>835.04</v>
      </c>
      <c r="U803" s="2">
        <v>751.54</v>
      </c>
      <c r="V803">
        <v>26.17</v>
      </c>
      <c r="W803">
        <v>387.86</v>
      </c>
      <c r="X803" s="2">
        <v>337.51</v>
      </c>
      <c r="Y803">
        <v>0.4491</v>
      </c>
      <c r="Z803">
        <v>6</v>
      </c>
      <c r="AA803" t="s">
        <v>61</v>
      </c>
      <c r="AB803" t="s">
        <v>47</v>
      </c>
      <c r="AD803">
        <v>5</v>
      </c>
      <c r="AE803" s="2">
        <v>667.59</v>
      </c>
      <c r="AF803">
        <v>1.1257999999999999</v>
      </c>
      <c r="AG803" t="s">
        <v>49</v>
      </c>
      <c r="AH803" s="23">
        <f>SUM(Amazon_Data_Set[[#This Row],[Gross Sales]]-Amazon_Data_Set[[#This Row],[Discount Amount]])</f>
        <v>751.54</v>
      </c>
    </row>
    <row r="804" spans="1:34">
      <c r="A804" t="s">
        <v>2080</v>
      </c>
      <c r="B804" s="1">
        <v>46248</v>
      </c>
      <c r="C804" t="str">
        <f>TEXT(Amazon_Data_Set[[#This Row],[Order Date]],"mmm")</f>
        <v>Aug</v>
      </c>
      <c r="D804" t="s">
        <v>2081</v>
      </c>
      <c r="E804" t="s">
        <v>228</v>
      </c>
      <c r="F804" t="s">
        <v>229</v>
      </c>
      <c r="G804" t="s">
        <v>37</v>
      </c>
      <c r="H804" t="s">
        <v>38</v>
      </c>
      <c r="I804" t="s">
        <v>66</v>
      </c>
      <c r="J804" t="s">
        <v>67</v>
      </c>
      <c r="K804" t="s">
        <v>68</v>
      </c>
      <c r="L804" t="s">
        <v>2082</v>
      </c>
      <c r="M804" t="s">
        <v>43</v>
      </c>
      <c r="N804" t="s">
        <v>60</v>
      </c>
      <c r="O804" t="s">
        <v>96</v>
      </c>
      <c r="P804">
        <v>1</v>
      </c>
      <c r="Q804">
        <v>3992</v>
      </c>
      <c r="R804" s="19">
        <v>0.05</v>
      </c>
      <c r="S804" s="21">
        <v>199.6</v>
      </c>
      <c r="T804">
        <v>3992</v>
      </c>
      <c r="U804" s="2">
        <v>3792.4</v>
      </c>
      <c r="V804">
        <v>250</v>
      </c>
      <c r="W804">
        <v>1860.49</v>
      </c>
      <c r="X804" s="2">
        <v>1681.91</v>
      </c>
      <c r="Y804">
        <v>0.44350000000000001</v>
      </c>
      <c r="Z804">
        <v>0</v>
      </c>
      <c r="AA804" t="s">
        <v>97</v>
      </c>
      <c r="AB804" t="s">
        <v>47</v>
      </c>
      <c r="AE804" s="2">
        <v>3725.37</v>
      </c>
      <c r="AF804">
        <v>1.018</v>
      </c>
      <c r="AG804" t="s">
        <v>49</v>
      </c>
      <c r="AH804" s="23">
        <f>SUM(Amazon_Data_Set[[#This Row],[Gross Sales]]-Amazon_Data_Set[[#This Row],[Discount Amount]])</f>
        <v>3792.4</v>
      </c>
    </row>
    <row r="805" spans="1:34">
      <c r="A805" t="s">
        <v>2083</v>
      </c>
      <c r="B805" s="1">
        <v>46254</v>
      </c>
      <c r="C805" t="str">
        <f>TEXT(Amazon_Data_Set[[#This Row],[Order Date]],"mmm")</f>
        <v>Aug</v>
      </c>
      <c r="D805" t="s">
        <v>547</v>
      </c>
      <c r="E805" t="s">
        <v>109</v>
      </c>
      <c r="F805" t="s">
        <v>154</v>
      </c>
      <c r="G805" t="s">
        <v>111</v>
      </c>
      <c r="H805" t="s">
        <v>90</v>
      </c>
      <c r="I805" t="s">
        <v>112</v>
      </c>
      <c r="J805" t="s">
        <v>134</v>
      </c>
      <c r="K805" t="s">
        <v>135</v>
      </c>
      <c r="L805" t="s">
        <v>2084</v>
      </c>
      <c r="M805" t="s">
        <v>106</v>
      </c>
      <c r="N805" t="s">
        <v>95</v>
      </c>
      <c r="O805" t="s">
        <v>45</v>
      </c>
      <c r="P805">
        <v>3</v>
      </c>
      <c r="Q805">
        <v>1560.74</v>
      </c>
      <c r="R805" s="19">
        <v>0.15</v>
      </c>
      <c r="S805" s="21">
        <v>702.33</v>
      </c>
      <c r="T805">
        <v>4682.22</v>
      </c>
      <c r="U805" s="2">
        <v>3979.89</v>
      </c>
      <c r="V805">
        <v>156.02000000000001</v>
      </c>
      <c r="W805">
        <v>3028.4</v>
      </c>
      <c r="X805" s="2">
        <v>795.47</v>
      </c>
      <c r="Y805">
        <v>0.19989999999999999</v>
      </c>
      <c r="Z805">
        <v>4</v>
      </c>
      <c r="AA805" t="s">
        <v>46</v>
      </c>
      <c r="AB805" t="s">
        <v>47</v>
      </c>
      <c r="AD805">
        <v>4</v>
      </c>
      <c r="AE805" s="2">
        <v>3553.72</v>
      </c>
      <c r="AF805">
        <v>1.1198999999999999</v>
      </c>
      <c r="AG805" t="s">
        <v>49</v>
      </c>
      <c r="AH805" s="23">
        <f>SUM(Amazon_Data_Set[[#This Row],[Gross Sales]]-Amazon_Data_Set[[#This Row],[Discount Amount]])</f>
        <v>3979.8900000000003</v>
      </c>
    </row>
    <row r="806" spans="1:34">
      <c r="A806" t="s">
        <v>2085</v>
      </c>
      <c r="B806" s="1">
        <v>46083</v>
      </c>
      <c r="C806" t="str">
        <f>TEXT(Amazon_Data_Set[[#This Row],[Order Date]],"mmm")</f>
        <v>Mar</v>
      </c>
      <c r="D806" t="s">
        <v>605</v>
      </c>
      <c r="E806" t="s">
        <v>228</v>
      </c>
      <c r="F806" t="s">
        <v>229</v>
      </c>
      <c r="G806" t="s">
        <v>37</v>
      </c>
      <c r="H806" t="s">
        <v>55</v>
      </c>
      <c r="I806" t="s">
        <v>120</v>
      </c>
      <c r="J806" t="s">
        <v>344</v>
      </c>
      <c r="K806" t="s">
        <v>345</v>
      </c>
      <c r="L806" t="s">
        <v>2086</v>
      </c>
      <c r="M806" t="s">
        <v>106</v>
      </c>
      <c r="N806" t="s">
        <v>60</v>
      </c>
      <c r="O806" t="s">
        <v>45</v>
      </c>
      <c r="P806">
        <v>5</v>
      </c>
      <c r="Q806">
        <v>3228.95</v>
      </c>
      <c r="R806" s="19">
        <v>0.3</v>
      </c>
      <c r="S806" s="21">
        <v>4843.43</v>
      </c>
      <c r="T806">
        <v>16144.75</v>
      </c>
      <c r="U806" s="2">
        <v>11301.32</v>
      </c>
      <c r="V806">
        <v>147.76</v>
      </c>
      <c r="W806">
        <v>8483.7199999999993</v>
      </c>
      <c r="X806" s="2">
        <v>2669.84</v>
      </c>
      <c r="Y806">
        <v>0.23619999999999999</v>
      </c>
      <c r="Z806">
        <v>5</v>
      </c>
      <c r="AA806" t="s">
        <v>61</v>
      </c>
      <c r="AB806" t="s">
        <v>47</v>
      </c>
      <c r="AD806">
        <v>5</v>
      </c>
      <c r="AE806" s="2">
        <v>13137.2</v>
      </c>
      <c r="AF806">
        <v>0.86029999999999995</v>
      </c>
      <c r="AG806" t="s">
        <v>49</v>
      </c>
      <c r="AH806" s="23">
        <f>SUM(Amazon_Data_Set[[#This Row],[Gross Sales]]-Amazon_Data_Set[[#This Row],[Discount Amount]])</f>
        <v>11301.32</v>
      </c>
    </row>
    <row r="807" spans="1:34">
      <c r="A807" t="s">
        <v>2087</v>
      </c>
      <c r="B807" s="1">
        <v>46127</v>
      </c>
      <c r="C807" t="str">
        <f>TEXT(Amazon_Data_Set[[#This Row],[Order Date]],"mmm")</f>
        <v>Apr</v>
      </c>
      <c r="D807" t="s">
        <v>1250</v>
      </c>
      <c r="E807" t="s">
        <v>64</v>
      </c>
      <c r="F807" t="s">
        <v>65</v>
      </c>
      <c r="G807" t="s">
        <v>54</v>
      </c>
      <c r="H807" t="s">
        <v>55</v>
      </c>
      <c r="I807" t="s">
        <v>73</v>
      </c>
      <c r="J807" t="s">
        <v>230</v>
      </c>
      <c r="K807" t="s">
        <v>231</v>
      </c>
      <c r="L807" t="s">
        <v>2088</v>
      </c>
      <c r="M807" t="s">
        <v>106</v>
      </c>
      <c r="N807" t="s">
        <v>124</v>
      </c>
      <c r="O807" t="s">
        <v>45</v>
      </c>
      <c r="P807">
        <v>3</v>
      </c>
      <c r="Q807">
        <v>26771.42</v>
      </c>
      <c r="R807" s="19">
        <v>0.3</v>
      </c>
      <c r="S807" s="21">
        <v>24094.28</v>
      </c>
      <c r="T807">
        <v>80314.259999999995</v>
      </c>
      <c r="U807" s="2">
        <v>56219.98</v>
      </c>
      <c r="V807">
        <v>46.58</v>
      </c>
      <c r="W807">
        <v>27074.68</v>
      </c>
      <c r="X807" s="2">
        <v>29098.720000000001</v>
      </c>
      <c r="Y807">
        <v>0.51759999999999995</v>
      </c>
      <c r="Z807">
        <v>8</v>
      </c>
      <c r="AA807" t="s">
        <v>61</v>
      </c>
      <c r="AB807" t="s">
        <v>47</v>
      </c>
      <c r="AD807">
        <v>3</v>
      </c>
      <c r="AE807" s="2">
        <v>52891.43</v>
      </c>
      <c r="AF807">
        <v>1.0629</v>
      </c>
      <c r="AG807" t="s">
        <v>49</v>
      </c>
      <c r="AH807" s="23">
        <f>SUM(Amazon_Data_Set[[#This Row],[Gross Sales]]-Amazon_Data_Set[[#This Row],[Discount Amount]])</f>
        <v>56219.979999999996</v>
      </c>
    </row>
    <row r="808" spans="1:34">
      <c r="A808" t="s">
        <v>2089</v>
      </c>
      <c r="B808" s="1">
        <v>46216</v>
      </c>
      <c r="C808" t="str">
        <f>TEXT(Amazon_Data_Set[[#This Row],[Order Date]],"mmm")</f>
        <v>Jul</v>
      </c>
      <c r="D808" t="s">
        <v>340</v>
      </c>
      <c r="E808" t="s">
        <v>228</v>
      </c>
      <c r="F808" t="s">
        <v>229</v>
      </c>
      <c r="G808" t="s">
        <v>37</v>
      </c>
      <c r="H808" t="s">
        <v>83</v>
      </c>
      <c r="I808" t="s">
        <v>188</v>
      </c>
      <c r="J808" t="s">
        <v>475</v>
      </c>
      <c r="K808" t="s">
        <v>476</v>
      </c>
      <c r="L808" t="s">
        <v>2090</v>
      </c>
      <c r="M808" t="s">
        <v>43</v>
      </c>
      <c r="N808" t="s">
        <v>124</v>
      </c>
      <c r="O808" t="s">
        <v>45</v>
      </c>
      <c r="P808">
        <v>4</v>
      </c>
      <c r="Q808">
        <v>1417.69</v>
      </c>
      <c r="R808" s="19">
        <v>0</v>
      </c>
      <c r="S808" s="21">
        <v>0</v>
      </c>
      <c r="T808">
        <v>5670.76</v>
      </c>
      <c r="U808" s="2">
        <v>5670.76</v>
      </c>
      <c r="V808">
        <v>35.92</v>
      </c>
      <c r="W808">
        <v>3570.53</v>
      </c>
      <c r="X808" s="2">
        <v>2064.31</v>
      </c>
      <c r="Y808">
        <v>0.36399999999999999</v>
      </c>
      <c r="Z808">
        <v>4</v>
      </c>
      <c r="AA808" t="s">
        <v>46</v>
      </c>
      <c r="AB808" t="s">
        <v>47</v>
      </c>
      <c r="AD808">
        <v>4</v>
      </c>
      <c r="AE808" s="2">
        <v>6335.85</v>
      </c>
      <c r="AF808">
        <v>0.89500000000000002</v>
      </c>
      <c r="AG808" t="s">
        <v>49</v>
      </c>
      <c r="AH808" s="23">
        <f>SUM(Amazon_Data_Set[[#This Row],[Gross Sales]]-Amazon_Data_Set[[#This Row],[Discount Amount]])</f>
        <v>5670.76</v>
      </c>
    </row>
    <row r="809" spans="1:34">
      <c r="A809" t="s">
        <v>2091</v>
      </c>
      <c r="B809" s="1">
        <v>46105</v>
      </c>
      <c r="C809" t="str">
        <f>TEXT(Amazon_Data_Set[[#This Row],[Order Date]],"mmm")</f>
        <v>Mar</v>
      </c>
      <c r="D809" t="s">
        <v>614</v>
      </c>
      <c r="E809" t="s">
        <v>235</v>
      </c>
      <c r="F809" t="s">
        <v>236</v>
      </c>
      <c r="G809" t="s">
        <v>82</v>
      </c>
      <c r="H809" t="s">
        <v>55</v>
      </c>
      <c r="I809" t="s">
        <v>120</v>
      </c>
      <c r="J809" t="s">
        <v>127</v>
      </c>
      <c r="K809" t="s">
        <v>128</v>
      </c>
      <c r="L809" t="s">
        <v>2092</v>
      </c>
      <c r="M809" t="s">
        <v>43</v>
      </c>
      <c r="N809" t="s">
        <v>70</v>
      </c>
      <c r="O809" t="s">
        <v>45</v>
      </c>
      <c r="P809">
        <v>3</v>
      </c>
      <c r="Q809">
        <v>34272.03</v>
      </c>
      <c r="R809" s="19">
        <v>0.25</v>
      </c>
      <c r="S809" s="21">
        <v>25704.02</v>
      </c>
      <c r="T809">
        <v>102816.09</v>
      </c>
      <c r="U809" s="2">
        <v>77112.070000000007</v>
      </c>
      <c r="V809">
        <v>187.68</v>
      </c>
      <c r="W809">
        <v>48637.27</v>
      </c>
      <c r="X809" s="2">
        <v>28287.119999999999</v>
      </c>
      <c r="Y809">
        <v>0.36680000000000001</v>
      </c>
      <c r="Z809">
        <v>1</v>
      </c>
      <c r="AA809" t="s">
        <v>46</v>
      </c>
      <c r="AB809" t="s">
        <v>47</v>
      </c>
      <c r="AD809">
        <v>3</v>
      </c>
      <c r="AE809" s="2">
        <v>89777.43</v>
      </c>
      <c r="AF809">
        <v>0.8589</v>
      </c>
      <c r="AG809" t="s">
        <v>49</v>
      </c>
      <c r="AH809" s="23">
        <f>SUM(Amazon_Data_Set[[#This Row],[Gross Sales]]-Amazon_Data_Set[[#This Row],[Discount Amount]])</f>
        <v>77112.069999999992</v>
      </c>
    </row>
    <row r="810" spans="1:34">
      <c r="A810" t="s">
        <v>2093</v>
      </c>
      <c r="B810" s="1">
        <v>46230</v>
      </c>
      <c r="C810" t="str">
        <f>TEXT(Amazon_Data_Set[[#This Row],[Order Date]],"mmm")</f>
        <v>Jul</v>
      </c>
      <c r="D810" t="s">
        <v>340</v>
      </c>
      <c r="E810" t="s">
        <v>80</v>
      </c>
      <c r="F810" t="s">
        <v>81</v>
      </c>
      <c r="G810" t="s">
        <v>82</v>
      </c>
      <c r="H810" t="s">
        <v>142</v>
      </c>
      <c r="I810" t="s">
        <v>143</v>
      </c>
      <c r="J810" t="s">
        <v>200</v>
      </c>
      <c r="K810" t="s">
        <v>201</v>
      </c>
      <c r="L810" t="s">
        <v>2094</v>
      </c>
      <c r="M810" t="s">
        <v>43</v>
      </c>
      <c r="N810" t="s">
        <v>70</v>
      </c>
      <c r="O810" t="s">
        <v>96</v>
      </c>
      <c r="P810">
        <v>2</v>
      </c>
      <c r="Q810">
        <v>8181.6</v>
      </c>
      <c r="R810" s="19">
        <v>0.3</v>
      </c>
      <c r="S810" s="21">
        <v>4908.96</v>
      </c>
      <c r="T810">
        <v>16363.2</v>
      </c>
      <c r="U810" s="2">
        <v>11454.24</v>
      </c>
      <c r="V810">
        <v>230.02</v>
      </c>
      <c r="W810">
        <v>6121.79</v>
      </c>
      <c r="X810" s="2">
        <v>5102.43</v>
      </c>
      <c r="Y810">
        <v>0.44550000000000001</v>
      </c>
      <c r="Z810">
        <v>0</v>
      </c>
      <c r="AA810" t="s">
        <v>97</v>
      </c>
      <c r="AB810" t="s">
        <v>47</v>
      </c>
      <c r="AE810" s="2">
        <v>9894.25</v>
      </c>
      <c r="AF810">
        <v>1.1577</v>
      </c>
      <c r="AG810" t="s">
        <v>49</v>
      </c>
      <c r="AH810" s="23">
        <f>SUM(Amazon_Data_Set[[#This Row],[Gross Sales]]-Amazon_Data_Set[[#This Row],[Discount Amount]])</f>
        <v>11454.240000000002</v>
      </c>
    </row>
    <row r="811" spans="1:34">
      <c r="A811" t="s">
        <v>2095</v>
      </c>
      <c r="B811" s="1">
        <v>46089</v>
      </c>
      <c r="C811" t="str">
        <f>TEXT(Amazon_Data_Set[[#This Row],[Order Date]],"mmm")</f>
        <v>Mar</v>
      </c>
      <c r="D811" t="s">
        <v>856</v>
      </c>
      <c r="E811" t="s">
        <v>275</v>
      </c>
      <c r="F811" t="s">
        <v>276</v>
      </c>
      <c r="G811" t="s">
        <v>37</v>
      </c>
      <c r="H811" t="s">
        <v>83</v>
      </c>
      <c r="I811" t="s">
        <v>84</v>
      </c>
      <c r="J811" t="s">
        <v>277</v>
      </c>
      <c r="K811" t="s">
        <v>86</v>
      </c>
      <c r="L811" t="s">
        <v>2096</v>
      </c>
      <c r="M811" t="s">
        <v>106</v>
      </c>
      <c r="N811" t="s">
        <v>124</v>
      </c>
      <c r="O811" t="s">
        <v>45</v>
      </c>
      <c r="P811">
        <v>5</v>
      </c>
      <c r="Q811">
        <v>1714.45</v>
      </c>
      <c r="R811" s="19">
        <v>0.2</v>
      </c>
      <c r="S811" s="21">
        <v>1714.45</v>
      </c>
      <c r="T811">
        <v>8572.25</v>
      </c>
      <c r="U811" s="2">
        <v>6857.8</v>
      </c>
      <c r="V811">
        <v>158.07</v>
      </c>
      <c r="W811">
        <v>4705.1400000000003</v>
      </c>
      <c r="X811" s="2">
        <v>1994.59</v>
      </c>
      <c r="Y811">
        <v>0.2908</v>
      </c>
      <c r="Z811">
        <v>1</v>
      </c>
      <c r="AA811" t="s">
        <v>46</v>
      </c>
      <c r="AB811" t="s">
        <v>48</v>
      </c>
      <c r="AC811" t="s">
        <v>158</v>
      </c>
      <c r="AD811">
        <v>5</v>
      </c>
      <c r="AE811" s="2">
        <v>7627.88</v>
      </c>
      <c r="AF811">
        <v>0.89900000000000002</v>
      </c>
      <c r="AG811" t="s">
        <v>49</v>
      </c>
      <c r="AH811" s="23">
        <f>SUM(Amazon_Data_Set[[#This Row],[Gross Sales]]-Amazon_Data_Set[[#This Row],[Discount Amount]])</f>
        <v>6857.8</v>
      </c>
    </row>
    <row r="812" spans="1:34">
      <c r="A812" t="s">
        <v>2097</v>
      </c>
      <c r="B812" s="1">
        <v>46167</v>
      </c>
      <c r="C812" t="str">
        <f>TEXT(Amazon_Data_Set[[#This Row],[Order Date]],"mmm")</f>
        <v>May</v>
      </c>
      <c r="D812" t="s">
        <v>1129</v>
      </c>
      <c r="E812" t="s">
        <v>167</v>
      </c>
      <c r="F812" t="s">
        <v>168</v>
      </c>
      <c r="G812" t="s">
        <v>111</v>
      </c>
      <c r="H812" t="s">
        <v>55</v>
      </c>
      <c r="I812" t="s">
        <v>120</v>
      </c>
      <c r="J812" t="s">
        <v>127</v>
      </c>
      <c r="K812" t="s">
        <v>128</v>
      </c>
      <c r="L812" t="s">
        <v>2098</v>
      </c>
      <c r="M812" t="s">
        <v>43</v>
      </c>
      <c r="N812" t="s">
        <v>77</v>
      </c>
      <c r="O812" t="s">
        <v>45</v>
      </c>
      <c r="P812">
        <v>3</v>
      </c>
      <c r="Q812">
        <v>6882.3</v>
      </c>
      <c r="R812" s="19">
        <v>0</v>
      </c>
      <c r="S812" s="21">
        <v>0</v>
      </c>
      <c r="T812">
        <v>20646.900000000001</v>
      </c>
      <c r="U812" s="2">
        <v>20646.900000000001</v>
      </c>
      <c r="V812">
        <v>2.72</v>
      </c>
      <c r="W812">
        <v>14141.3</v>
      </c>
      <c r="X812" s="2">
        <v>6502.88</v>
      </c>
      <c r="Y812">
        <v>0.315</v>
      </c>
      <c r="Z812">
        <v>6</v>
      </c>
      <c r="AA812" t="s">
        <v>61</v>
      </c>
      <c r="AB812" t="s">
        <v>47</v>
      </c>
      <c r="AD812">
        <v>5</v>
      </c>
      <c r="AE812" s="2">
        <v>18551.759999999998</v>
      </c>
      <c r="AF812">
        <v>1.1129</v>
      </c>
      <c r="AG812" t="s">
        <v>49</v>
      </c>
      <c r="AH812" s="23">
        <f>SUM(Amazon_Data_Set[[#This Row],[Gross Sales]]-Amazon_Data_Set[[#This Row],[Discount Amount]])</f>
        <v>20646.900000000001</v>
      </c>
    </row>
    <row r="813" spans="1:34">
      <c r="A813" t="s">
        <v>2099</v>
      </c>
      <c r="B813" s="1">
        <v>46105</v>
      </c>
      <c r="C813" t="str">
        <f>TEXT(Amazon_Data_Set[[#This Row],[Order Date]],"mmm")</f>
        <v>Mar</v>
      </c>
      <c r="D813" t="s">
        <v>1173</v>
      </c>
      <c r="E813" t="s">
        <v>52</v>
      </c>
      <c r="F813" t="s">
        <v>53</v>
      </c>
      <c r="G813" t="s">
        <v>54</v>
      </c>
      <c r="H813" t="s">
        <v>83</v>
      </c>
      <c r="I813" t="s">
        <v>84</v>
      </c>
      <c r="J813" t="s">
        <v>85</v>
      </c>
      <c r="K813" t="s">
        <v>86</v>
      </c>
      <c r="L813" t="s">
        <v>2100</v>
      </c>
      <c r="M813" t="s">
        <v>43</v>
      </c>
      <c r="N813" t="s">
        <v>70</v>
      </c>
      <c r="O813" t="s">
        <v>45</v>
      </c>
      <c r="P813">
        <v>3</v>
      </c>
      <c r="Q813">
        <v>2282.46</v>
      </c>
      <c r="R813" s="19">
        <v>0.2</v>
      </c>
      <c r="S813" s="21">
        <v>1369.48</v>
      </c>
      <c r="T813">
        <v>6847.38</v>
      </c>
      <c r="U813" s="2">
        <v>5477.9</v>
      </c>
      <c r="V813">
        <v>57.05</v>
      </c>
      <c r="W813">
        <v>3632.15</v>
      </c>
      <c r="X813" s="2">
        <v>1788.7</v>
      </c>
      <c r="Y813">
        <v>0.32650000000000001</v>
      </c>
      <c r="Z813">
        <v>5</v>
      </c>
      <c r="AA813" t="s">
        <v>61</v>
      </c>
      <c r="AB813" t="s">
        <v>47</v>
      </c>
      <c r="AD813">
        <v>4</v>
      </c>
      <c r="AE813" s="2">
        <v>5887.8</v>
      </c>
      <c r="AF813">
        <v>0.9304</v>
      </c>
      <c r="AG813" t="s">
        <v>49</v>
      </c>
      <c r="AH813" s="23">
        <f>SUM(Amazon_Data_Set[[#This Row],[Gross Sales]]-Amazon_Data_Set[[#This Row],[Discount Amount]])</f>
        <v>5477.9</v>
      </c>
    </row>
    <row r="814" spans="1:34">
      <c r="A814" t="s">
        <v>2101</v>
      </c>
      <c r="B814" s="1">
        <v>46069</v>
      </c>
      <c r="C814" t="str">
        <f>TEXT(Amazon_Data_Set[[#This Row],[Order Date]],"mmm")</f>
        <v>Feb</v>
      </c>
      <c r="D814" t="s">
        <v>1079</v>
      </c>
      <c r="E814" t="s">
        <v>235</v>
      </c>
      <c r="F814" t="s">
        <v>236</v>
      </c>
      <c r="G814" t="s">
        <v>82</v>
      </c>
      <c r="H814" t="s">
        <v>90</v>
      </c>
      <c r="I814" t="s">
        <v>252</v>
      </c>
      <c r="J814" t="s">
        <v>270</v>
      </c>
      <c r="K814" t="s">
        <v>271</v>
      </c>
      <c r="L814" t="s">
        <v>2102</v>
      </c>
      <c r="M814" t="s">
        <v>106</v>
      </c>
      <c r="N814" t="s">
        <v>44</v>
      </c>
      <c r="O814" t="s">
        <v>45</v>
      </c>
      <c r="P814">
        <v>5</v>
      </c>
      <c r="Q814">
        <v>615.54</v>
      </c>
      <c r="R814" s="19">
        <v>0.05</v>
      </c>
      <c r="S814" s="21">
        <v>153.88</v>
      </c>
      <c r="T814">
        <v>3077.7</v>
      </c>
      <c r="U814" s="2">
        <v>2923.82</v>
      </c>
      <c r="V814">
        <v>216.47</v>
      </c>
      <c r="W814">
        <v>1575.31</v>
      </c>
      <c r="X814" s="2">
        <v>1132.04</v>
      </c>
      <c r="Y814">
        <v>0.38719999999999999</v>
      </c>
      <c r="Z814">
        <v>3</v>
      </c>
      <c r="AA814" t="s">
        <v>46</v>
      </c>
      <c r="AB814" t="s">
        <v>48</v>
      </c>
      <c r="AC814" t="s">
        <v>158</v>
      </c>
      <c r="AD814">
        <v>5</v>
      </c>
      <c r="AE814" s="2">
        <v>2571.71</v>
      </c>
      <c r="AF814">
        <v>1.1369</v>
      </c>
      <c r="AG814" t="s">
        <v>49</v>
      </c>
      <c r="AH814" s="23">
        <f>SUM(Amazon_Data_Set[[#This Row],[Gross Sales]]-Amazon_Data_Set[[#This Row],[Discount Amount]])</f>
        <v>2923.8199999999997</v>
      </c>
    </row>
    <row r="815" spans="1:34">
      <c r="A815" t="s">
        <v>2103</v>
      </c>
      <c r="B815" s="1">
        <v>46140</v>
      </c>
      <c r="C815" t="str">
        <f>TEXT(Amazon_Data_Set[[#This Row],[Order Date]],"mmm")</f>
        <v>Apr</v>
      </c>
      <c r="D815" t="s">
        <v>1330</v>
      </c>
      <c r="E815" t="s">
        <v>149</v>
      </c>
      <c r="F815" t="s">
        <v>150</v>
      </c>
      <c r="G815" t="s">
        <v>37</v>
      </c>
      <c r="H815" t="s">
        <v>55</v>
      </c>
      <c r="I815" t="s">
        <v>73</v>
      </c>
      <c r="J815" t="s">
        <v>247</v>
      </c>
      <c r="K815" t="s">
        <v>248</v>
      </c>
      <c r="L815" t="s">
        <v>2104</v>
      </c>
      <c r="M815" t="s">
        <v>106</v>
      </c>
      <c r="N815" t="s">
        <v>95</v>
      </c>
      <c r="O815" t="s">
        <v>45</v>
      </c>
      <c r="P815">
        <v>4</v>
      </c>
      <c r="Q815">
        <v>21902.19</v>
      </c>
      <c r="R815" s="19">
        <v>0</v>
      </c>
      <c r="S815" s="21">
        <v>0</v>
      </c>
      <c r="T815">
        <v>87608.76</v>
      </c>
      <c r="U815" s="2">
        <v>87608.76</v>
      </c>
      <c r="V815">
        <v>114.46</v>
      </c>
      <c r="W815">
        <v>49824.06</v>
      </c>
      <c r="X815" s="2">
        <v>37670.239999999998</v>
      </c>
      <c r="Y815">
        <v>0.43</v>
      </c>
      <c r="Z815">
        <v>6</v>
      </c>
      <c r="AA815" t="s">
        <v>61</v>
      </c>
      <c r="AB815" t="s">
        <v>47</v>
      </c>
      <c r="AD815">
        <v>3</v>
      </c>
      <c r="AE815" s="2">
        <v>85389.55</v>
      </c>
      <c r="AF815">
        <v>1.026</v>
      </c>
      <c r="AG815" t="s">
        <v>49</v>
      </c>
      <c r="AH815" s="23">
        <f>SUM(Amazon_Data_Set[[#This Row],[Gross Sales]]-Amazon_Data_Set[[#This Row],[Discount Amount]])</f>
        <v>87608.76</v>
      </c>
    </row>
    <row r="816" spans="1:34">
      <c r="A816" t="s">
        <v>2105</v>
      </c>
      <c r="B816" s="1">
        <v>46166</v>
      </c>
      <c r="C816" t="str">
        <f>TEXT(Amazon_Data_Set[[#This Row],[Order Date]],"mmm")</f>
        <v>May</v>
      </c>
      <c r="D816" t="s">
        <v>486</v>
      </c>
      <c r="E816" t="s">
        <v>149</v>
      </c>
      <c r="F816" t="s">
        <v>150</v>
      </c>
      <c r="G816" t="s">
        <v>37</v>
      </c>
      <c r="H816" t="s">
        <v>90</v>
      </c>
      <c r="I816" t="s">
        <v>252</v>
      </c>
      <c r="J816" t="s">
        <v>270</v>
      </c>
      <c r="K816" t="s">
        <v>271</v>
      </c>
      <c r="L816" t="s">
        <v>2106</v>
      </c>
      <c r="M816" t="s">
        <v>106</v>
      </c>
      <c r="N816" t="s">
        <v>95</v>
      </c>
      <c r="O816" t="s">
        <v>130</v>
      </c>
      <c r="P816">
        <v>3</v>
      </c>
      <c r="Q816">
        <v>1762.68</v>
      </c>
      <c r="R816" s="19">
        <v>0.2</v>
      </c>
      <c r="S816" s="21">
        <v>1057.6099999999999</v>
      </c>
      <c r="T816">
        <v>5288.04</v>
      </c>
      <c r="U816" s="2">
        <v>4230.43</v>
      </c>
      <c r="V816">
        <v>38.619999999999997</v>
      </c>
      <c r="W816">
        <v>3196.58</v>
      </c>
      <c r="X816" s="2">
        <v>995.23</v>
      </c>
      <c r="Y816">
        <v>0.23530000000000001</v>
      </c>
      <c r="Z816">
        <v>1</v>
      </c>
      <c r="AA816" t="s">
        <v>131</v>
      </c>
      <c r="AB816" t="s">
        <v>47</v>
      </c>
      <c r="AE816" s="2">
        <v>5108.83</v>
      </c>
      <c r="AF816">
        <v>0.82809999999999995</v>
      </c>
      <c r="AG816" t="s">
        <v>49</v>
      </c>
      <c r="AH816" s="23">
        <f>SUM(Amazon_Data_Set[[#This Row],[Gross Sales]]-Amazon_Data_Set[[#This Row],[Discount Amount]])</f>
        <v>4230.43</v>
      </c>
    </row>
    <row r="817" spans="1:34">
      <c r="A817" t="s">
        <v>2107</v>
      </c>
      <c r="B817" s="1">
        <v>46024</v>
      </c>
      <c r="C817" t="str">
        <f>TEXT(Amazon_Data_Set[[#This Row],[Order Date]],"mmm")</f>
        <v>Jan</v>
      </c>
      <c r="D817" t="s">
        <v>89</v>
      </c>
      <c r="E817" t="s">
        <v>174</v>
      </c>
      <c r="F817" t="s">
        <v>175</v>
      </c>
      <c r="G817" t="s">
        <v>82</v>
      </c>
      <c r="H817" t="s">
        <v>55</v>
      </c>
      <c r="I817" t="s">
        <v>73</v>
      </c>
      <c r="J817" t="s">
        <v>247</v>
      </c>
      <c r="K817" t="s">
        <v>248</v>
      </c>
      <c r="L817" t="s">
        <v>2108</v>
      </c>
      <c r="M817" t="s">
        <v>43</v>
      </c>
      <c r="N817" t="s">
        <v>70</v>
      </c>
      <c r="O817" t="s">
        <v>96</v>
      </c>
      <c r="P817">
        <v>5</v>
      </c>
      <c r="Q817">
        <v>45369.279999999999</v>
      </c>
      <c r="R817" s="19">
        <v>0</v>
      </c>
      <c r="S817" s="21">
        <v>0</v>
      </c>
      <c r="T817">
        <v>226846.4</v>
      </c>
      <c r="U817" s="2">
        <v>226846.4</v>
      </c>
      <c r="V817">
        <v>3.15</v>
      </c>
      <c r="W817">
        <v>129774.39</v>
      </c>
      <c r="X817" s="2">
        <v>97068.86</v>
      </c>
      <c r="Y817">
        <v>0.4279</v>
      </c>
      <c r="Z817">
        <v>0</v>
      </c>
      <c r="AA817" t="s">
        <v>97</v>
      </c>
      <c r="AB817" t="s">
        <v>47</v>
      </c>
      <c r="AE817" s="2">
        <v>268622.63</v>
      </c>
      <c r="AF817">
        <v>0.84450000000000003</v>
      </c>
      <c r="AG817" t="s">
        <v>49</v>
      </c>
      <c r="AH817" s="23">
        <f>SUM(Amazon_Data_Set[[#This Row],[Gross Sales]]-Amazon_Data_Set[[#This Row],[Discount Amount]])</f>
        <v>226846.4</v>
      </c>
    </row>
    <row r="818" spans="1:34">
      <c r="A818" t="s">
        <v>2109</v>
      </c>
      <c r="B818" s="1">
        <v>46061</v>
      </c>
      <c r="C818" t="str">
        <f>TEXT(Amazon_Data_Set[[#This Row],[Order Date]],"mmm")</f>
        <v>Feb</v>
      </c>
      <c r="D818" t="s">
        <v>2081</v>
      </c>
      <c r="E818" t="s">
        <v>35</v>
      </c>
      <c r="F818" t="s">
        <v>36</v>
      </c>
      <c r="G818" t="s">
        <v>37</v>
      </c>
      <c r="H818" t="s">
        <v>55</v>
      </c>
      <c r="I818" t="s">
        <v>73</v>
      </c>
      <c r="J818" t="s">
        <v>387</v>
      </c>
      <c r="K818" t="s">
        <v>388</v>
      </c>
      <c r="L818" t="s">
        <v>2110</v>
      </c>
      <c r="M818" t="s">
        <v>43</v>
      </c>
      <c r="N818" t="s">
        <v>44</v>
      </c>
      <c r="O818" t="s">
        <v>130</v>
      </c>
      <c r="P818">
        <v>4</v>
      </c>
      <c r="Q818">
        <v>18577.939999999999</v>
      </c>
      <c r="R818" s="19">
        <v>0.1</v>
      </c>
      <c r="S818" s="21">
        <v>7431.18</v>
      </c>
      <c r="T818">
        <v>74311.759999999995</v>
      </c>
      <c r="U818" s="2">
        <v>66880.58</v>
      </c>
      <c r="V818">
        <v>233.5</v>
      </c>
      <c r="W818">
        <v>41904.89</v>
      </c>
      <c r="X818" s="2">
        <v>24742.19</v>
      </c>
      <c r="Y818">
        <v>0.36990000000000001</v>
      </c>
      <c r="Z818">
        <v>8</v>
      </c>
      <c r="AA818" t="s">
        <v>131</v>
      </c>
      <c r="AB818" t="s">
        <v>47</v>
      </c>
      <c r="AE818" s="2">
        <v>58074.720000000001</v>
      </c>
      <c r="AF818">
        <v>1.1516</v>
      </c>
      <c r="AG818" t="s">
        <v>49</v>
      </c>
      <c r="AH818" s="23">
        <f>SUM(Amazon_Data_Set[[#This Row],[Gross Sales]]-Amazon_Data_Set[[#This Row],[Discount Amount]])</f>
        <v>66880.579999999987</v>
      </c>
    </row>
    <row r="819" spans="1:34">
      <c r="A819" t="s">
        <v>2111</v>
      </c>
      <c r="B819" s="1">
        <v>46276</v>
      </c>
      <c r="C819" t="str">
        <f>TEXT(Amazon_Data_Set[[#This Row],[Order Date]],"mmm")</f>
        <v>Sep</v>
      </c>
      <c r="D819" t="s">
        <v>787</v>
      </c>
      <c r="E819" t="s">
        <v>275</v>
      </c>
      <c r="F819" t="s">
        <v>276</v>
      </c>
      <c r="G819" t="s">
        <v>37</v>
      </c>
      <c r="H819" t="s">
        <v>90</v>
      </c>
      <c r="I819" t="s">
        <v>112</v>
      </c>
      <c r="J819" t="s">
        <v>134</v>
      </c>
      <c r="K819" t="s">
        <v>135</v>
      </c>
      <c r="L819" t="s">
        <v>2112</v>
      </c>
      <c r="M819" t="s">
        <v>106</v>
      </c>
      <c r="N819" t="s">
        <v>77</v>
      </c>
      <c r="O819" t="s">
        <v>130</v>
      </c>
      <c r="P819">
        <v>3</v>
      </c>
      <c r="Q819">
        <v>147.68</v>
      </c>
      <c r="R819" s="19">
        <v>0.1</v>
      </c>
      <c r="S819" s="21">
        <v>44.3</v>
      </c>
      <c r="T819">
        <v>443.04</v>
      </c>
      <c r="U819" s="2">
        <v>398.74</v>
      </c>
      <c r="V819">
        <v>109.08</v>
      </c>
      <c r="W819">
        <v>198.5</v>
      </c>
      <c r="X819" s="2">
        <v>91.16</v>
      </c>
      <c r="Y819">
        <v>0.2286</v>
      </c>
      <c r="Z819">
        <v>8</v>
      </c>
      <c r="AA819" t="s">
        <v>131</v>
      </c>
      <c r="AB819" t="s">
        <v>47</v>
      </c>
      <c r="AE819" s="2">
        <v>341.21</v>
      </c>
      <c r="AF819">
        <v>1.1686000000000001</v>
      </c>
      <c r="AG819" t="s">
        <v>49</v>
      </c>
      <c r="AH819" s="23">
        <f>SUM(Amazon_Data_Set[[#This Row],[Gross Sales]]-Amazon_Data_Set[[#This Row],[Discount Amount]])</f>
        <v>398.74</v>
      </c>
    </row>
    <row r="820" spans="1:34">
      <c r="A820" t="s">
        <v>2113</v>
      </c>
      <c r="B820" s="1">
        <v>46323</v>
      </c>
      <c r="C820" t="str">
        <f>TEXT(Amazon_Data_Set[[#This Row],[Order Date]],"mmm")</f>
        <v>Oct</v>
      </c>
      <c r="D820" t="s">
        <v>911</v>
      </c>
      <c r="E820" t="s">
        <v>118</v>
      </c>
      <c r="F820" t="s">
        <v>119</v>
      </c>
      <c r="G820" t="s">
        <v>82</v>
      </c>
      <c r="H820" t="s">
        <v>142</v>
      </c>
      <c r="I820" t="s">
        <v>143</v>
      </c>
      <c r="J820" t="s">
        <v>200</v>
      </c>
      <c r="K820" t="s">
        <v>201</v>
      </c>
      <c r="L820" t="s">
        <v>2114</v>
      </c>
      <c r="M820" t="s">
        <v>43</v>
      </c>
      <c r="N820" t="s">
        <v>60</v>
      </c>
      <c r="O820" t="s">
        <v>45</v>
      </c>
      <c r="P820">
        <v>1</v>
      </c>
      <c r="Q820">
        <v>252.57</v>
      </c>
      <c r="R820" s="19">
        <v>0.3</v>
      </c>
      <c r="S820" s="21">
        <v>75.77</v>
      </c>
      <c r="T820">
        <v>252.57</v>
      </c>
      <c r="U820" s="2">
        <v>176.8</v>
      </c>
      <c r="V820">
        <v>223.04</v>
      </c>
      <c r="W820">
        <v>117.51</v>
      </c>
      <c r="X820" s="2">
        <v>-163.75</v>
      </c>
      <c r="Y820">
        <v>-0.92620000000000002</v>
      </c>
      <c r="Z820">
        <v>1</v>
      </c>
      <c r="AA820" t="s">
        <v>46</v>
      </c>
      <c r="AB820" t="s">
        <v>47</v>
      </c>
      <c r="AD820">
        <v>5</v>
      </c>
      <c r="AE820" s="2">
        <v>174.26</v>
      </c>
      <c r="AF820">
        <v>1.0145999999999999</v>
      </c>
      <c r="AG820" t="s">
        <v>49</v>
      </c>
      <c r="AH820" s="23">
        <f>SUM(Amazon_Data_Set[[#This Row],[Gross Sales]]-Amazon_Data_Set[[#This Row],[Discount Amount]])</f>
        <v>176.8</v>
      </c>
    </row>
    <row r="821" spans="1:34">
      <c r="A821" t="s">
        <v>2115</v>
      </c>
      <c r="B821" s="1">
        <v>46378</v>
      </c>
      <c r="C821" t="str">
        <f>TEXT(Amazon_Data_Set[[#This Row],[Order Date]],"mmm")</f>
        <v>Dec</v>
      </c>
      <c r="D821" t="s">
        <v>1869</v>
      </c>
      <c r="E821" t="s">
        <v>235</v>
      </c>
      <c r="F821" t="s">
        <v>236</v>
      </c>
      <c r="G821" t="s">
        <v>82</v>
      </c>
      <c r="H821" t="s">
        <v>55</v>
      </c>
      <c r="I821" t="s">
        <v>120</v>
      </c>
      <c r="J821" t="s">
        <v>127</v>
      </c>
      <c r="K821" t="s">
        <v>128</v>
      </c>
      <c r="L821" t="s">
        <v>2116</v>
      </c>
      <c r="M821" t="s">
        <v>106</v>
      </c>
      <c r="N821" t="s">
        <v>44</v>
      </c>
      <c r="O821" t="s">
        <v>45</v>
      </c>
      <c r="P821">
        <v>1</v>
      </c>
      <c r="Q821">
        <v>728.4</v>
      </c>
      <c r="R821" s="19">
        <v>0.2</v>
      </c>
      <c r="S821" s="21">
        <v>145.68</v>
      </c>
      <c r="T821">
        <v>728.4</v>
      </c>
      <c r="U821" s="2">
        <v>582.72</v>
      </c>
      <c r="V821">
        <v>0.52</v>
      </c>
      <c r="W821">
        <v>433.02</v>
      </c>
      <c r="X821" s="2">
        <v>149.18</v>
      </c>
      <c r="Y821">
        <v>0.25600000000000001</v>
      </c>
      <c r="Z821">
        <v>7</v>
      </c>
      <c r="AA821" t="s">
        <v>61</v>
      </c>
      <c r="AB821" t="s">
        <v>47</v>
      </c>
      <c r="AD821">
        <v>5</v>
      </c>
      <c r="AE821" s="2">
        <v>528.78</v>
      </c>
      <c r="AF821">
        <v>1.1020000000000001</v>
      </c>
      <c r="AG821" t="s">
        <v>49</v>
      </c>
      <c r="AH821" s="23">
        <f>SUM(Amazon_Data_Set[[#This Row],[Gross Sales]]-Amazon_Data_Set[[#This Row],[Discount Amount]])</f>
        <v>582.72</v>
      </c>
    </row>
    <row r="822" spans="1:34">
      <c r="A822" t="s">
        <v>2117</v>
      </c>
      <c r="B822" s="1">
        <v>46051</v>
      </c>
      <c r="C822" t="str">
        <f>TEXT(Amazon_Data_Set[[#This Row],[Order Date]],"mmm")</f>
        <v>Jan</v>
      </c>
      <c r="D822" t="s">
        <v>696</v>
      </c>
      <c r="E822" t="s">
        <v>100</v>
      </c>
      <c r="F822" t="s">
        <v>101</v>
      </c>
      <c r="G822" t="s">
        <v>54</v>
      </c>
      <c r="H822" t="s">
        <v>83</v>
      </c>
      <c r="I822" t="s">
        <v>188</v>
      </c>
      <c r="J822" t="s">
        <v>690</v>
      </c>
      <c r="K822" t="s">
        <v>691</v>
      </c>
      <c r="L822" t="s">
        <v>2118</v>
      </c>
      <c r="M822" t="s">
        <v>43</v>
      </c>
      <c r="N822" t="s">
        <v>60</v>
      </c>
      <c r="O822" t="s">
        <v>130</v>
      </c>
      <c r="P822">
        <v>1</v>
      </c>
      <c r="Q822">
        <v>1718.4</v>
      </c>
      <c r="R822" s="19">
        <v>0.1</v>
      </c>
      <c r="S822" s="21">
        <v>171.84</v>
      </c>
      <c r="T822">
        <v>1718.4</v>
      </c>
      <c r="U822" s="2">
        <v>1546.56</v>
      </c>
      <c r="V822">
        <v>68.849999999999994</v>
      </c>
      <c r="W822">
        <v>930.68</v>
      </c>
      <c r="X822" s="2">
        <v>547.03</v>
      </c>
      <c r="Y822">
        <v>0.35370000000000001</v>
      </c>
      <c r="Z822">
        <v>6</v>
      </c>
      <c r="AA822" t="s">
        <v>131</v>
      </c>
      <c r="AB822" t="s">
        <v>47</v>
      </c>
      <c r="AE822" s="2">
        <v>1700.02</v>
      </c>
      <c r="AF822">
        <v>0.90969999999999995</v>
      </c>
      <c r="AG822" t="s">
        <v>49</v>
      </c>
      <c r="AH822" s="23">
        <f>SUM(Amazon_Data_Set[[#This Row],[Gross Sales]]-Amazon_Data_Set[[#This Row],[Discount Amount]])</f>
        <v>1546.5600000000002</v>
      </c>
    </row>
    <row r="823" spans="1:34">
      <c r="A823" t="s">
        <v>2119</v>
      </c>
      <c r="B823" s="1">
        <v>46271</v>
      </c>
      <c r="C823" t="str">
        <f>TEXT(Amazon_Data_Set[[#This Row],[Order Date]],"mmm")</f>
        <v>Sep</v>
      </c>
      <c r="D823" t="s">
        <v>714</v>
      </c>
      <c r="E823" t="s">
        <v>100</v>
      </c>
      <c r="F823" t="s">
        <v>179</v>
      </c>
      <c r="G823" t="s">
        <v>54</v>
      </c>
      <c r="H823" t="s">
        <v>142</v>
      </c>
      <c r="I823" t="s">
        <v>143</v>
      </c>
      <c r="J823" t="s">
        <v>200</v>
      </c>
      <c r="K823" t="s">
        <v>201</v>
      </c>
      <c r="L823" t="s">
        <v>2120</v>
      </c>
      <c r="M823" t="s">
        <v>43</v>
      </c>
      <c r="N823" t="s">
        <v>77</v>
      </c>
      <c r="O823" t="s">
        <v>45</v>
      </c>
      <c r="P823">
        <v>3</v>
      </c>
      <c r="Q823">
        <v>8033.25</v>
      </c>
      <c r="R823" s="19">
        <v>0</v>
      </c>
      <c r="S823" s="21">
        <v>0</v>
      </c>
      <c r="T823">
        <v>24099.75</v>
      </c>
      <c r="U823" s="2">
        <v>24099.75</v>
      </c>
      <c r="V823">
        <v>83.67</v>
      </c>
      <c r="W823">
        <v>15853.06</v>
      </c>
      <c r="X823" s="2">
        <v>8163.02</v>
      </c>
      <c r="Y823">
        <v>0.3387</v>
      </c>
      <c r="Z823">
        <v>7</v>
      </c>
      <c r="AA823" t="s">
        <v>61</v>
      </c>
      <c r="AB823" t="s">
        <v>47</v>
      </c>
      <c r="AD823">
        <v>3</v>
      </c>
      <c r="AE823" s="2">
        <v>20863.5</v>
      </c>
      <c r="AF823">
        <v>1.1551</v>
      </c>
      <c r="AG823" t="s">
        <v>49</v>
      </c>
      <c r="AH823" s="23">
        <f>SUM(Amazon_Data_Set[[#This Row],[Gross Sales]]-Amazon_Data_Set[[#This Row],[Discount Amount]])</f>
        <v>24099.75</v>
      </c>
    </row>
    <row r="824" spans="1:34">
      <c r="A824" t="s">
        <v>2121</v>
      </c>
      <c r="B824" s="1">
        <v>46210</v>
      </c>
      <c r="C824" t="str">
        <f>TEXT(Amazon_Data_Set[[#This Row],[Order Date]],"mmm")</f>
        <v>Jul</v>
      </c>
      <c r="D824" t="s">
        <v>914</v>
      </c>
      <c r="E824" t="s">
        <v>100</v>
      </c>
      <c r="F824" t="s">
        <v>101</v>
      </c>
      <c r="G824" t="s">
        <v>54</v>
      </c>
      <c r="H824" t="s">
        <v>90</v>
      </c>
      <c r="I824" t="s">
        <v>112</v>
      </c>
      <c r="J824" t="s">
        <v>292</v>
      </c>
      <c r="K824" t="s">
        <v>293</v>
      </c>
      <c r="L824" t="s">
        <v>2122</v>
      </c>
      <c r="M824" t="s">
        <v>43</v>
      </c>
      <c r="N824" t="s">
        <v>95</v>
      </c>
      <c r="O824" t="s">
        <v>130</v>
      </c>
      <c r="P824">
        <v>3</v>
      </c>
      <c r="Q824">
        <v>188.13</v>
      </c>
      <c r="R824" s="19">
        <v>0</v>
      </c>
      <c r="S824" s="21">
        <v>0</v>
      </c>
      <c r="T824">
        <v>564.39</v>
      </c>
      <c r="U824" s="2">
        <v>564.39</v>
      </c>
      <c r="V824">
        <v>64.64</v>
      </c>
      <c r="W824">
        <v>355.21</v>
      </c>
      <c r="X824" s="2">
        <v>144.54</v>
      </c>
      <c r="Y824">
        <v>0.25609999999999999</v>
      </c>
      <c r="Z824">
        <v>1</v>
      </c>
      <c r="AA824" t="s">
        <v>131</v>
      </c>
      <c r="AB824" t="s">
        <v>47</v>
      </c>
      <c r="AE824" s="2">
        <v>610.30999999999995</v>
      </c>
      <c r="AF824">
        <v>0.92479999999999996</v>
      </c>
      <c r="AG824" t="s">
        <v>347</v>
      </c>
      <c r="AH824" s="23">
        <f>SUM(Amazon_Data_Set[[#This Row],[Gross Sales]]-Amazon_Data_Set[[#This Row],[Discount Amount]])</f>
        <v>564.39</v>
      </c>
    </row>
    <row r="825" spans="1:34">
      <c r="A825" t="s">
        <v>2123</v>
      </c>
      <c r="B825" s="1">
        <v>46203</v>
      </c>
      <c r="C825" t="str">
        <f>TEXT(Amazon_Data_Set[[#This Row],[Order Date]],"mmm")</f>
        <v>Jun</v>
      </c>
      <c r="D825" t="s">
        <v>605</v>
      </c>
      <c r="E825" t="s">
        <v>174</v>
      </c>
      <c r="F825" t="s">
        <v>175</v>
      </c>
      <c r="G825" t="s">
        <v>82</v>
      </c>
      <c r="H825" t="s">
        <v>90</v>
      </c>
      <c r="I825" t="s">
        <v>91</v>
      </c>
      <c r="J825" t="s">
        <v>443</v>
      </c>
      <c r="K825" t="s">
        <v>444</v>
      </c>
      <c r="L825" t="s">
        <v>2124</v>
      </c>
      <c r="M825" t="s">
        <v>106</v>
      </c>
      <c r="N825" t="s">
        <v>95</v>
      </c>
      <c r="O825" t="s">
        <v>96</v>
      </c>
      <c r="P825">
        <v>1</v>
      </c>
      <c r="Q825">
        <v>276.81</v>
      </c>
      <c r="R825" s="19">
        <v>0.15</v>
      </c>
      <c r="S825" s="21">
        <v>41.52</v>
      </c>
      <c r="T825">
        <v>276.81</v>
      </c>
      <c r="U825" s="2">
        <v>235.29</v>
      </c>
      <c r="V825">
        <v>236.87</v>
      </c>
      <c r="W825">
        <v>148.56</v>
      </c>
      <c r="X825" s="2">
        <v>-150.13999999999999</v>
      </c>
      <c r="Y825">
        <v>-0.6381</v>
      </c>
      <c r="Z825">
        <v>0</v>
      </c>
      <c r="AA825" t="s">
        <v>97</v>
      </c>
      <c r="AB825" t="s">
        <v>47</v>
      </c>
      <c r="AE825" s="2">
        <v>243.5</v>
      </c>
      <c r="AF825">
        <v>0.96630000000000005</v>
      </c>
      <c r="AG825" t="s">
        <v>49</v>
      </c>
      <c r="AH825" s="23">
        <f>SUM(Amazon_Data_Set[[#This Row],[Gross Sales]]-Amazon_Data_Set[[#This Row],[Discount Amount]])</f>
        <v>235.29</v>
      </c>
    </row>
    <row r="826" spans="1:34">
      <c r="A826" t="s">
        <v>2125</v>
      </c>
      <c r="B826" s="1">
        <v>46105</v>
      </c>
      <c r="C826" t="str">
        <f>TEXT(Amazon_Data_Set[[#This Row],[Order Date]],"mmm")</f>
        <v>Mar</v>
      </c>
      <c r="D826" t="s">
        <v>2047</v>
      </c>
      <c r="E826" t="s">
        <v>235</v>
      </c>
      <c r="F826" t="s">
        <v>236</v>
      </c>
      <c r="G826" t="s">
        <v>82</v>
      </c>
      <c r="H826" t="s">
        <v>83</v>
      </c>
      <c r="I826" t="s">
        <v>102</v>
      </c>
      <c r="J826" t="s">
        <v>259</v>
      </c>
      <c r="K826" t="s">
        <v>260</v>
      </c>
      <c r="L826" t="s">
        <v>2126</v>
      </c>
      <c r="M826" t="s">
        <v>43</v>
      </c>
      <c r="N826" t="s">
        <v>77</v>
      </c>
      <c r="O826" t="s">
        <v>130</v>
      </c>
      <c r="P826">
        <v>4</v>
      </c>
      <c r="Q826">
        <v>1037.52</v>
      </c>
      <c r="R826" s="19">
        <v>0.3</v>
      </c>
      <c r="S826" s="21">
        <v>1245.02</v>
      </c>
      <c r="T826">
        <v>4150.08</v>
      </c>
      <c r="U826" s="2">
        <v>2905.06</v>
      </c>
      <c r="V826">
        <v>112.2</v>
      </c>
      <c r="W826">
        <v>2183.85</v>
      </c>
      <c r="X826" s="2">
        <v>609.01</v>
      </c>
      <c r="Y826">
        <v>0.20960000000000001</v>
      </c>
      <c r="Z826">
        <v>8</v>
      </c>
      <c r="AA826" t="s">
        <v>131</v>
      </c>
      <c r="AB826" t="s">
        <v>47</v>
      </c>
      <c r="AE826" s="2">
        <v>3192.27</v>
      </c>
      <c r="AF826">
        <v>0.91</v>
      </c>
      <c r="AG826" t="s">
        <v>49</v>
      </c>
      <c r="AH826" s="23">
        <f>SUM(Amazon_Data_Set[[#This Row],[Gross Sales]]-Amazon_Data_Set[[#This Row],[Discount Amount]])</f>
        <v>2905.06</v>
      </c>
    </row>
    <row r="827" spans="1:34">
      <c r="A827" t="s">
        <v>2127</v>
      </c>
      <c r="B827" s="1">
        <v>46234</v>
      </c>
      <c r="C827" t="str">
        <f>TEXT(Amazon_Data_Set[[#This Row],[Order Date]],"mmm")</f>
        <v>Jul</v>
      </c>
      <c r="D827" t="s">
        <v>917</v>
      </c>
      <c r="E827" t="s">
        <v>80</v>
      </c>
      <c r="F827" t="s">
        <v>81</v>
      </c>
      <c r="G827" t="s">
        <v>82</v>
      </c>
      <c r="H827" t="s">
        <v>55</v>
      </c>
      <c r="I827" t="s">
        <v>56</v>
      </c>
      <c r="J827" t="s">
        <v>366</v>
      </c>
      <c r="K827" t="s">
        <v>367</v>
      </c>
      <c r="L827" t="s">
        <v>2128</v>
      </c>
      <c r="M827" t="s">
        <v>43</v>
      </c>
      <c r="N827" t="s">
        <v>95</v>
      </c>
      <c r="O827" t="s">
        <v>130</v>
      </c>
      <c r="P827">
        <v>5</v>
      </c>
      <c r="Q827">
        <v>4376.43</v>
      </c>
      <c r="R827" s="19">
        <v>0</v>
      </c>
      <c r="S827" s="21">
        <v>0</v>
      </c>
      <c r="T827">
        <v>21882.15</v>
      </c>
      <c r="U827" s="2">
        <v>21882.15</v>
      </c>
      <c r="V827">
        <v>61.02</v>
      </c>
      <c r="W827">
        <v>14897.83</v>
      </c>
      <c r="X827" s="2">
        <v>6923.3</v>
      </c>
      <c r="Y827">
        <v>0.31640000000000001</v>
      </c>
      <c r="Z827">
        <v>4</v>
      </c>
      <c r="AA827" t="s">
        <v>131</v>
      </c>
      <c r="AB827" t="s">
        <v>47</v>
      </c>
      <c r="AE827" s="2">
        <v>21247.279999999999</v>
      </c>
      <c r="AF827">
        <v>1.0299</v>
      </c>
      <c r="AG827" t="s">
        <v>347</v>
      </c>
      <c r="AH827" s="23">
        <f>SUM(Amazon_Data_Set[[#This Row],[Gross Sales]]-Amazon_Data_Set[[#This Row],[Discount Amount]])</f>
        <v>21882.15</v>
      </c>
    </row>
    <row r="828" spans="1:34">
      <c r="A828" t="s">
        <v>2129</v>
      </c>
      <c r="B828" s="1">
        <v>46246</v>
      </c>
      <c r="C828" t="str">
        <f>TEXT(Amazon_Data_Set[[#This Row],[Order Date]],"mmm")</f>
        <v>Aug</v>
      </c>
      <c r="D828" t="s">
        <v>1548</v>
      </c>
      <c r="E828" t="s">
        <v>109</v>
      </c>
      <c r="F828" t="s">
        <v>110</v>
      </c>
      <c r="G828" t="s">
        <v>111</v>
      </c>
      <c r="H828" t="s">
        <v>83</v>
      </c>
      <c r="I828" t="s">
        <v>102</v>
      </c>
      <c r="J828" t="s">
        <v>373</v>
      </c>
      <c r="K828" t="s">
        <v>374</v>
      </c>
      <c r="L828" t="s">
        <v>2130</v>
      </c>
      <c r="M828" t="s">
        <v>106</v>
      </c>
      <c r="N828" t="s">
        <v>124</v>
      </c>
      <c r="O828" t="s">
        <v>130</v>
      </c>
      <c r="P828">
        <v>4</v>
      </c>
      <c r="Q828">
        <v>2425.5500000000002</v>
      </c>
      <c r="R828" s="19">
        <v>0.15</v>
      </c>
      <c r="S828" s="21">
        <v>1455.33</v>
      </c>
      <c r="T828">
        <v>9702.2000000000007</v>
      </c>
      <c r="U828" s="2">
        <v>8246.8700000000008</v>
      </c>
      <c r="V828">
        <v>136.22999999999999</v>
      </c>
      <c r="W828">
        <v>5572.83</v>
      </c>
      <c r="X828" s="2">
        <v>2537.81</v>
      </c>
      <c r="Y828">
        <v>0.30769999999999997</v>
      </c>
      <c r="Z828">
        <v>6</v>
      </c>
      <c r="AA828" t="s">
        <v>131</v>
      </c>
      <c r="AB828" t="s">
        <v>47</v>
      </c>
      <c r="AE828" s="2">
        <v>9237.7800000000007</v>
      </c>
      <c r="AF828">
        <v>0.89270000000000005</v>
      </c>
      <c r="AG828" t="s">
        <v>49</v>
      </c>
      <c r="AH828" s="23">
        <f>SUM(Amazon_Data_Set[[#This Row],[Gross Sales]]-Amazon_Data_Set[[#This Row],[Discount Amount]])</f>
        <v>8246.8700000000008</v>
      </c>
    </row>
    <row r="829" spans="1:34">
      <c r="A829" t="s">
        <v>2131</v>
      </c>
      <c r="B829" s="1">
        <v>46189</v>
      </c>
      <c r="C829" t="str">
        <f>TEXT(Amazon_Data_Set[[#This Row],[Order Date]],"mmm")</f>
        <v>Jun</v>
      </c>
      <c r="D829" t="s">
        <v>1444</v>
      </c>
      <c r="E829" t="s">
        <v>228</v>
      </c>
      <c r="F829" t="s">
        <v>229</v>
      </c>
      <c r="G829" t="s">
        <v>37</v>
      </c>
      <c r="H829" t="s">
        <v>90</v>
      </c>
      <c r="I829" t="s">
        <v>252</v>
      </c>
      <c r="J829" t="s">
        <v>528</v>
      </c>
      <c r="K829" t="s">
        <v>529</v>
      </c>
      <c r="L829" t="s">
        <v>2132</v>
      </c>
      <c r="M829" t="s">
        <v>106</v>
      </c>
      <c r="N829" t="s">
        <v>44</v>
      </c>
      <c r="O829" t="s">
        <v>96</v>
      </c>
      <c r="P829">
        <v>2</v>
      </c>
      <c r="Q829">
        <v>451.55</v>
      </c>
      <c r="R829" s="19">
        <v>0.3</v>
      </c>
      <c r="S829" s="21">
        <v>270.93</v>
      </c>
      <c r="T829">
        <v>903.1</v>
      </c>
      <c r="U829" s="2">
        <v>632.16999999999996</v>
      </c>
      <c r="V829">
        <v>125.65</v>
      </c>
      <c r="W829">
        <v>480.77</v>
      </c>
      <c r="X829" s="2">
        <v>25.75</v>
      </c>
      <c r="Y829">
        <v>4.07E-2</v>
      </c>
      <c r="Z829">
        <v>0</v>
      </c>
      <c r="AA829" t="s">
        <v>97</v>
      </c>
      <c r="AB829" t="s">
        <v>47</v>
      </c>
      <c r="AE829" s="2">
        <v>642.83000000000004</v>
      </c>
      <c r="AF829">
        <v>0.98340000000000005</v>
      </c>
      <c r="AG829" t="s">
        <v>49</v>
      </c>
      <c r="AH829" s="23">
        <f>SUM(Amazon_Data_Set[[#This Row],[Gross Sales]]-Amazon_Data_Set[[#This Row],[Discount Amount]])</f>
        <v>632.17000000000007</v>
      </c>
    </row>
    <row r="830" spans="1:34">
      <c r="A830" t="s">
        <v>2133</v>
      </c>
      <c r="B830" s="1">
        <v>46197</v>
      </c>
      <c r="C830" t="str">
        <f>TEXT(Amazon_Data_Set[[#This Row],[Order Date]],"mmm")</f>
        <v>Jun</v>
      </c>
      <c r="D830" t="s">
        <v>974</v>
      </c>
      <c r="E830" t="s">
        <v>80</v>
      </c>
      <c r="F830" t="s">
        <v>81</v>
      </c>
      <c r="G830" t="s">
        <v>82</v>
      </c>
      <c r="H830" t="s">
        <v>38</v>
      </c>
      <c r="I830" t="s">
        <v>161</v>
      </c>
      <c r="J830" t="s">
        <v>223</v>
      </c>
      <c r="K830" t="s">
        <v>224</v>
      </c>
      <c r="L830" t="s">
        <v>2134</v>
      </c>
      <c r="M830" t="s">
        <v>106</v>
      </c>
      <c r="N830" t="s">
        <v>124</v>
      </c>
      <c r="O830" t="s">
        <v>130</v>
      </c>
      <c r="P830">
        <v>2</v>
      </c>
      <c r="Q830">
        <v>2244.27</v>
      </c>
      <c r="R830" s="19">
        <v>0.15</v>
      </c>
      <c r="S830" s="21">
        <v>673.28</v>
      </c>
      <c r="T830">
        <v>4488.54</v>
      </c>
      <c r="U830" s="2">
        <v>3815.26</v>
      </c>
      <c r="V830">
        <v>112.1</v>
      </c>
      <c r="W830">
        <v>2264.8200000000002</v>
      </c>
      <c r="X830" s="2">
        <v>1438.34</v>
      </c>
      <c r="Y830">
        <v>0.377</v>
      </c>
      <c r="Z830">
        <v>2</v>
      </c>
      <c r="AA830" t="s">
        <v>131</v>
      </c>
      <c r="AB830" t="s">
        <v>47</v>
      </c>
      <c r="AE830" s="2">
        <v>3700.69</v>
      </c>
      <c r="AF830">
        <v>1.0309999999999999</v>
      </c>
      <c r="AG830" t="s">
        <v>49</v>
      </c>
      <c r="AH830" s="23">
        <f>SUM(Amazon_Data_Set[[#This Row],[Gross Sales]]-Amazon_Data_Set[[#This Row],[Discount Amount]])</f>
        <v>3815.26</v>
      </c>
    </row>
    <row r="831" spans="1:34">
      <c r="A831" t="s">
        <v>2135</v>
      </c>
      <c r="B831" s="1">
        <v>46357</v>
      </c>
      <c r="C831" t="str">
        <f>TEXT(Amazon_Data_Set[[#This Row],[Order Date]],"mmm")</f>
        <v>Dec</v>
      </c>
      <c r="D831" t="s">
        <v>711</v>
      </c>
      <c r="E831" t="s">
        <v>140</v>
      </c>
      <c r="F831" t="s">
        <v>141</v>
      </c>
      <c r="G831" t="s">
        <v>54</v>
      </c>
      <c r="H831" t="s">
        <v>90</v>
      </c>
      <c r="I831" t="s">
        <v>112</v>
      </c>
      <c r="J831" t="s">
        <v>134</v>
      </c>
      <c r="K831" t="s">
        <v>135</v>
      </c>
      <c r="L831" t="s">
        <v>2136</v>
      </c>
      <c r="M831" t="s">
        <v>43</v>
      </c>
      <c r="N831" t="s">
        <v>95</v>
      </c>
      <c r="O831" t="s">
        <v>45</v>
      </c>
      <c r="P831">
        <v>3</v>
      </c>
      <c r="Q831">
        <v>1346.91</v>
      </c>
      <c r="R831" s="19">
        <v>0.25</v>
      </c>
      <c r="S831" s="21">
        <v>1010.18</v>
      </c>
      <c r="T831">
        <v>4040.73</v>
      </c>
      <c r="U831" s="2">
        <v>3030.55</v>
      </c>
      <c r="V831">
        <v>208.01</v>
      </c>
      <c r="W831">
        <v>1946.68</v>
      </c>
      <c r="X831" s="2">
        <v>875.86</v>
      </c>
      <c r="Y831">
        <v>0.28899999999999998</v>
      </c>
      <c r="Z831">
        <v>5</v>
      </c>
      <c r="AA831" t="s">
        <v>61</v>
      </c>
      <c r="AB831" t="s">
        <v>47</v>
      </c>
      <c r="AD831">
        <v>4</v>
      </c>
      <c r="AE831" s="2">
        <v>2668.17</v>
      </c>
      <c r="AF831">
        <v>1.1357999999999999</v>
      </c>
      <c r="AG831" t="s">
        <v>49</v>
      </c>
      <c r="AH831" s="23">
        <f>SUM(Amazon_Data_Set[[#This Row],[Gross Sales]]-Amazon_Data_Set[[#This Row],[Discount Amount]])</f>
        <v>3030.55</v>
      </c>
    </row>
    <row r="832" spans="1:34">
      <c r="A832" t="s">
        <v>2137</v>
      </c>
      <c r="B832" s="1">
        <v>46190</v>
      </c>
      <c r="C832" t="str">
        <f>TEXT(Amazon_Data_Set[[#This Row],[Order Date]],"mmm")</f>
        <v>Jun</v>
      </c>
      <c r="D832" t="s">
        <v>1144</v>
      </c>
      <c r="E832" t="s">
        <v>167</v>
      </c>
      <c r="F832" t="s">
        <v>168</v>
      </c>
      <c r="G832" t="s">
        <v>111</v>
      </c>
      <c r="H832" t="s">
        <v>142</v>
      </c>
      <c r="I832" t="s">
        <v>143</v>
      </c>
      <c r="J832" t="s">
        <v>183</v>
      </c>
      <c r="K832" t="s">
        <v>184</v>
      </c>
      <c r="L832" t="s">
        <v>2138</v>
      </c>
      <c r="M832" t="s">
        <v>106</v>
      </c>
      <c r="N832" t="s">
        <v>70</v>
      </c>
      <c r="O832" t="s">
        <v>45</v>
      </c>
      <c r="P832">
        <v>5</v>
      </c>
      <c r="Q832">
        <v>6455.26</v>
      </c>
      <c r="R832" s="19">
        <v>0</v>
      </c>
      <c r="S832" s="21">
        <v>0</v>
      </c>
      <c r="T832">
        <v>32276.3</v>
      </c>
      <c r="U832" s="2">
        <v>32276.3</v>
      </c>
      <c r="V832">
        <v>145.09</v>
      </c>
      <c r="W832">
        <v>21086.17</v>
      </c>
      <c r="X832" s="2">
        <v>11045.04</v>
      </c>
      <c r="Y832">
        <v>0.3422</v>
      </c>
      <c r="Z832">
        <v>2</v>
      </c>
      <c r="AA832" t="s">
        <v>46</v>
      </c>
      <c r="AB832" t="s">
        <v>47</v>
      </c>
      <c r="AD832">
        <v>3</v>
      </c>
      <c r="AE832" s="2">
        <v>28974.19</v>
      </c>
      <c r="AF832">
        <v>1.1140000000000001</v>
      </c>
      <c r="AG832" t="s">
        <v>49</v>
      </c>
      <c r="AH832" s="23">
        <f>SUM(Amazon_Data_Set[[#This Row],[Gross Sales]]-Amazon_Data_Set[[#This Row],[Discount Amount]])</f>
        <v>32276.3</v>
      </c>
    </row>
    <row r="833" spans="1:34">
      <c r="A833" t="s">
        <v>2139</v>
      </c>
      <c r="B833" s="1">
        <v>46339</v>
      </c>
      <c r="C833" t="str">
        <f>TEXT(Amazon_Data_Set[[#This Row],[Order Date]],"mmm")</f>
        <v>Nov</v>
      </c>
      <c r="D833" t="s">
        <v>1601</v>
      </c>
      <c r="E833" t="s">
        <v>174</v>
      </c>
      <c r="F833" t="s">
        <v>175</v>
      </c>
      <c r="G833" t="s">
        <v>82</v>
      </c>
      <c r="H833" t="s">
        <v>55</v>
      </c>
      <c r="I833" t="s">
        <v>56</v>
      </c>
      <c r="J833" t="s">
        <v>366</v>
      </c>
      <c r="K833" t="s">
        <v>367</v>
      </c>
      <c r="L833" t="s">
        <v>2140</v>
      </c>
      <c r="M833" t="s">
        <v>106</v>
      </c>
      <c r="N833" t="s">
        <v>70</v>
      </c>
      <c r="O833" t="s">
        <v>130</v>
      </c>
      <c r="P833">
        <v>2</v>
      </c>
      <c r="Q833">
        <v>3236.13</v>
      </c>
      <c r="R833" s="19">
        <v>0.1</v>
      </c>
      <c r="S833" s="21">
        <v>647.23</v>
      </c>
      <c r="T833">
        <v>6472.26</v>
      </c>
      <c r="U833" s="2">
        <v>5825.03</v>
      </c>
      <c r="V833">
        <v>130.6</v>
      </c>
      <c r="W833">
        <v>3396.08</v>
      </c>
      <c r="X833" s="2">
        <v>2298.35</v>
      </c>
      <c r="Y833">
        <v>0.39460000000000001</v>
      </c>
      <c r="Z833">
        <v>8</v>
      </c>
      <c r="AA833" t="s">
        <v>131</v>
      </c>
      <c r="AB833" t="s">
        <v>47</v>
      </c>
      <c r="AE833" s="2">
        <v>6071.74</v>
      </c>
      <c r="AF833">
        <v>0.95940000000000003</v>
      </c>
      <c r="AG833" t="s">
        <v>49</v>
      </c>
      <c r="AH833" s="23">
        <f>SUM(Amazon_Data_Set[[#This Row],[Gross Sales]]-Amazon_Data_Set[[#This Row],[Discount Amount]])</f>
        <v>5825.0300000000007</v>
      </c>
    </row>
    <row r="834" spans="1:34">
      <c r="A834" t="s">
        <v>2141</v>
      </c>
      <c r="B834" s="1">
        <v>46384</v>
      </c>
      <c r="C834" t="str">
        <f>TEXT(Amazon_Data_Set[[#This Row],[Order Date]],"mmm")</f>
        <v>Dec</v>
      </c>
      <c r="D834" t="s">
        <v>1093</v>
      </c>
      <c r="E834" t="s">
        <v>140</v>
      </c>
      <c r="F834" t="s">
        <v>141</v>
      </c>
      <c r="G834" t="s">
        <v>54</v>
      </c>
      <c r="H834" t="s">
        <v>142</v>
      </c>
      <c r="I834" t="s">
        <v>214</v>
      </c>
      <c r="J834" t="s">
        <v>308</v>
      </c>
      <c r="K834" t="s">
        <v>309</v>
      </c>
      <c r="L834" t="s">
        <v>2142</v>
      </c>
      <c r="M834" t="s">
        <v>43</v>
      </c>
      <c r="N834" t="s">
        <v>95</v>
      </c>
      <c r="O834" t="s">
        <v>45</v>
      </c>
      <c r="P834">
        <v>5</v>
      </c>
      <c r="Q834">
        <v>10324.18</v>
      </c>
      <c r="R834" s="19">
        <v>0</v>
      </c>
      <c r="S834" s="21">
        <v>0</v>
      </c>
      <c r="T834">
        <v>51620.9</v>
      </c>
      <c r="U834" s="2">
        <v>51620.9</v>
      </c>
      <c r="V834">
        <v>236.77</v>
      </c>
      <c r="W834">
        <v>34832.81</v>
      </c>
      <c r="X834" s="2">
        <v>16551.32</v>
      </c>
      <c r="Y834">
        <v>0.3206</v>
      </c>
      <c r="Z834">
        <v>4</v>
      </c>
      <c r="AA834" t="s">
        <v>46</v>
      </c>
      <c r="AB834" t="s">
        <v>47</v>
      </c>
      <c r="AD834">
        <v>4</v>
      </c>
      <c r="AE834" s="2">
        <v>46916.14</v>
      </c>
      <c r="AF834">
        <v>1.1003000000000001</v>
      </c>
      <c r="AG834" t="s">
        <v>49</v>
      </c>
      <c r="AH834" s="23">
        <f>SUM(Amazon_Data_Set[[#This Row],[Gross Sales]]-Amazon_Data_Set[[#This Row],[Discount Amount]])</f>
        <v>51620.9</v>
      </c>
    </row>
    <row r="835" spans="1:34">
      <c r="A835" t="s">
        <v>2143</v>
      </c>
      <c r="B835" s="1">
        <v>46111</v>
      </c>
      <c r="C835" t="str">
        <f>TEXT(Amazon_Data_Set[[#This Row],[Order Date]],"mmm")</f>
        <v>Mar</v>
      </c>
      <c r="D835" t="s">
        <v>307</v>
      </c>
      <c r="E835" t="s">
        <v>100</v>
      </c>
      <c r="F835" t="s">
        <v>179</v>
      </c>
      <c r="G835" t="s">
        <v>54</v>
      </c>
      <c r="H835" t="s">
        <v>90</v>
      </c>
      <c r="I835" t="s">
        <v>252</v>
      </c>
      <c r="J835" t="s">
        <v>528</v>
      </c>
      <c r="K835" t="s">
        <v>529</v>
      </c>
      <c r="L835" t="s">
        <v>2144</v>
      </c>
      <c r="M835" t="s">
        <v>43</v>
      </c>
      <c r="N835" t="s">
        <v>95</v>
      </c>
      <c r="O835" t="s">
        <v>130</v>
      </c>
      <c r="P835">
        <v>3</v>
      </c>
      <c r="Q835">
        <v>589.62</v>
      </c>
      <c r="R835" s="19">
        <v>0.15</v>
      </c>
      <c r="S835" s="21">
        <v>265.33</v>
      </c>
      <c r="T835">
        <v>1768.86</v>
      </c>
      <c r="U835" s="2">
        <v>1503.53</v>
      </c>
      <c r="V835">
        <v>163.61000000000001</v>
      </c>
      <c r="W835">
        <v>816.79</v>
      </c>
      <c r="X835" s="2">
        <v>523.13</v>
      </c>
      <c r="Y835">
        <v>0.34789999999999999</v>
      </c>
      <c r="Z835">
        <v>1</v>
      </c>
      <c r="AA835" t="s">
        <v>131</v>
      </c>
      <c r="AB835" t="s">
        <v>47</v>
      </c>
      <c r="AE835" s="2">
        <v>1614.96</v>
      </c>
      <c r="AF835">
        <v>0.93100000000000005</v>
      </c>
      <c r="AG835" t="s">
        <v>49</v>
      </c>
      <c r="AH835" s="23">
        <f>SUM(Amazon_Data_Set[[#This Row],[Gross Sales]]-Amazon_Data_Set[[#This Row],[Discount Amount]])</f>
        <v>1503.53</v>
      </c>
    </row>
    <row r="836" spans="1:34">
      <c r="A836" t="s">
        <v>2145</v>
      </c>
      <c r="B836" s="1">
        <v>46279</v>
      </c>
      <c r="C836" t="str">
        <f>TEXT(Amazon_Data_Set[[#This Row],[Order Date]],"mmm")</f>
        <v>Sep</v>
      </c>
      <c r="D836" t="s">
        <v>856</v>
      </c>
      <c r="E836" t="s">
        <v>167</v>
      </c>
      <c r="F836" t="s">
        <v>168</v>
      </c>
      <c r="G836" t="s">
        <v>111</v>
      </c>
      <c r="H836" t="s">
        <v>83</v>
      </c>
      <c r="I836" t="s">
        <v>102</v>
      </c>
      <c r="J836" t="s">
        <v>103</v>
      </c>
      <c r="K836" t="s">
        <v>104</v>
      </c>
      <c r="L836" t="s">
        <v>2146</v>
      </c>
      <c r="M836" t="s">
        <v>106</v>
      </c>
      <c r="N836" t="s">
        <v>44</v>
      </c>
      <c r="O836" t="s">
        <v>45</v>
      </c>
      <c r="P836">
        <v>2</v>
      </c>
      <c r="Q836">
        <v>1153.99</v>
      </c>
      <c r="R836" s="19">
        <v>0.15</v>
      </c>
      <c r="S836" s="21">
        <v>346.2</v>
      </c>
      <c r="T836">
        <v>2307.98</v>
      </c>
      <c r="U836" s="2">
        <v>1961.78</v>
      </c>
      <c r="V836">
        <v>200.75</v>
      </c>
      <c r="W836">
        <v>1093.0899999999999</v>
      </c>
      <c r="X836" s="2">
        <v>667.94</v>
      </c>
      <c r="Y836">
        <v>0.34050000000000002</v>
      </c>
      <c r="Z836">
        <v>8</v>
      </c>
      <c r="AA836" t="s">
        <v>61</v>
      </c>
      <c r="AB836" t="s">
        <v>47</v>
      </c>
      <c r="AD836">
        <v>5</v>
      </c>
      <c r="AE836" s="2">
        <v>2250.5500000000002</v>
      </c>
      <c r="AF836">
        <v>0.87170000000000003</v>
      </c>
      <c r="AG836" t="s">
        <v>49</v>
      </c>
      <c r="AH836" s="23">
        <f>SUM(Amazon_Data_Set[[#This Row],[Gross Sales]]-Amazon_Data_Set[[#This Row],[Discount Amount]])</f>
        <v>1961.78</v>
      </c>
    </row>
    <row r="837" spans="1:34">
      <c r="A837" t="s">
        <v>2147</v>
      </c>
      <c r="B837" s="1">
        <v>46230</v>
      </c>
      <c r="C837" t="str">
        <f>TEXT(Amazon_Data_Set[[#This Row],[Order Date]],"mmm")</f>
        <v>Jul</v>
      </c>
      <c r="D837" t="s">
        <v>312</v>
      </c>
      <c r="E837" t="s">
        <v>167</v>
      </c>
      <c r="F837" t="s">
        <v>168</v>
      </c>
      <c r="G837" t="s">
        <v>111</v>
      </c>
      <c r="H837" t="s">
        <v>38</v>
      </c>
      <c r="I837" t="s">
        <v>161</v>
      </c>
      <c r="J837" t="s">
        <v>162</v>
      </c>
      <c r="K837" t="s">
        <v>163</v>
      </c>
      <c r="L837" t="s">
        <v>2148</v>
      </c>
      <c r="M837" t="s">
        <v>43</v>
      </c>
      <c r="N837" t="s">
        <v>44</v>
      </c>
      <c r="O837" t="s">
        <v>96</v>
      </c>
      <c r="P837">
        <v>4</v>
      </c>
      <c r="Q837">
        <v>933.45</v>
      </c>
      <c r="R837" s="19">
        <v>0.3</v>
      </c>
      <c r="S837" s="21">
        <v>1120.1400000000001</v>
      </c>
      <c r="T837">
        <v>3733.8</v>
      </c>
      <c r="U837" s="2">
        <v>2613.66</v>
      </c>
      <c r="V837">
        <v>83.43</v>
      </c>
      <c r="W837">
        <v>1983.84</v>
      </c>
      <c r="X837" s="2">
        <v>546.39</v>
      </c>
      <c r="Y837">
        <v>0.20910000000000001</v>
      </c>
      <c r="Z837">
        <v>0</v>
      </c>
      <c r="AA837" t="s">
        <v>97</v>
      </c>
      <c r="AB837" t="s">
        <v>47</v>
      </c>
      <c r="AE837" s="2">
        <v>2478.7199999999998</v>
      </c>
      <c r="AF837">
        <v>1.0544</v>
      </c>
      <c r="AG837" t="s">
        <v>49</v>
      </c>
      <c r="AH837" s="23">
        <f>SUM(Amazon_Data_Set[[#This Row],[Gross Sales]]-Amazon_Data_Set[[#This Row],[Discount Amount]])</f>
        <v>2613.66</v>
      </c>
    </row>
    <row r="838" spans="1:34">
      <c r="A838" t="s">
        <v>2149</v>
      </c>
      <c r="B838" s="1">
        <v>46080</v>
      </c>
      <c r="C838" t="str">
        <f>TEXT(Amazon_Data_Set[[#This Row],[Order Date]],"mmm")</f>
        <v>Feb</v>
      </c>
      <c r="D838" t="s">
        <v>755</v>
      </c>
      <c r="E838" t="s">
        <v>167</v>
      </c>
      <c r="F838" t="s">
        <v>168</v>
      </c>
      <c r="G838" t="s">
        <v>111</v>
      </c>
      <c r="H838" t="s">
        <v>38</v>
      </c>
      <c r="I838" t="s">
        <v>161</v>
      </c>
      <c r="J838" t="s">
        <v>223</v>
      </c>
      <c r="K838" t="s">
        <v>224</v>
      </c>
      <c r="L838" t="s">
        <v>2150</v>
      </c>
      <c r="M838" t="s">
        <v>106</v>
      </c>
      <c r="N838" t="s">
        <v>70</v>
      </c>
      <c r="O838" t="s">
        <v>45</v>
      </c>
      <c r="P838">
        <v>2</v>
      </c>
      <c r="Q838">
        <v>4822.8900000000003</v>
      </c>
      <c r="R838" s="19">
        <v>0</v>
      </c>
      <c r="S838" s="21">
        <v>0</v>
      </c>
      <c r="T838">
        <v>9645.7800000000007</v>
      </c>
      <c r="U838" s="2">
        <v>9645.7800000000007</v>
      </c>
      <c r="V838">
        <v>233.03</v>
      </c>
      <c r="W838">
        <v>7327.67</v>
      </c>
      <c r="X838" s="2">
        <v>2085.08</v>
      </c>
      <c r="Y838">
        <v>0.2162</v>
      </c>
      <c r="Z838">
        <v>2</v>
      </c>
      <c r="AA838" t="s">
        <v>46</v>
      </c>
      <c r="AB838" t="s">
        <v>47</v>
      </c>
      <c r="AD838">
        <v>5</v>
      </c>
      <c r="AE838" s="2">
        <v>11691.67</v>
      </c>
      <c r="AF838">
        <v>0.82499999999999996</v>
      </c>
      <c r="AG838" t="s">
        <v>49</v>
      </c>
      <c r="AH838" s="23">
        <f>SUM(Amazon_Data_Set[[#This Row],[Gross Sales]]-Amazon_Data_Set[[#This Row],[Discount Amount]])</f>
        <v>9645.7800000000007</v>
      </c>
    </row>
    <row r="839" spans="1:34">
      <c r="A839" t="s">
        <v>2151</v>
      </c>
      <c r="B839" s="1">
        <v>46221</v>
      </c>
      <c r="C839" t="str">
        <f>TEXT(Amazon_Data_Set[[#This Row],[Order Date]],"mmm")</f>
        <v>Jul</v>
      </c>
      <c r="D839" t="s">
        <v>343</v>
      </c>
      <c r="E839" t="s">
        <v>109</v>
      </c>
      <c r="F839" t="s">
        <v>154</v>
      </c>
      <c r="G839" t="s">
        <v>111</v>
      </c>
      <c r="H839" t="s">
        <v>38</v>
      </c>
      <c r="I839" t="s">
        <v>161</v>
      </c>
      <c r="J839" t="s">
        <v>297</v>
      </c>
      <c r="K839" t="s">
        <v>298</v>
      </c>
      <c r="L839" t="s">
        <v>2152</v>
      </c>
      <c r="M839" t="s">
        <v>43</v>
      </c>
      <c r="N839" t="s">
        <v>70</v>
      </c>
      <c r="O839" t="s">
        <v>45</v>
      </c>
      <c r="P839">
        <v>5</v>
      </c>
      <c r="Q839">
        <v>3634.1</v>
      </c>
      <c r="R839" s="19">
        <v>0</v>
      </c>
      <c r="S839" s="21">
        <v>0</v>
      </c>
      <c r="T839">
        <v>18170.5</v>
      </c>
      <c r="U839" s="2">
        <v>18170.5</v>
      </c>
      <c r="V839">
        <v>213.97</v>
      </c>
      <c r="W839">
        <v>11196.66</v>
      </c>
      <c r="X839" s="2">
        <v>6759.87</v>
      </c>
      <c r="Y839">
        <v>0.372</v>
      </c>
      <c r="Z839">
        <v>6</v>
      </c>
      <c r="AA839" t="s">
        <v>61</v>
      </c>
      <c r="AB839" t="s">
        <v>47</v>
      </c>
      <c r="AD839">
        <v>5</v>
      </c>
      <c r="AE839" s="2">
        <v>20137.240000000002</v>
      </c>
      <c r="AF839">
        <v>0.90229999999999999</v>
      </c>
      <c r="AG839" t="s">
        <v>49</v>
      </c>
      <c r="AH839" s="23">
        <f>SUM(Amazon_Data_Set[[#This Row],[Gross Sales]]-Amazon_Data_Set[[#This Row],[Discount Amount]])</f>
        <v>18170.5</v>
      </c>
    </row>
    <row r="840" spans="1:34">
      <c r="A840" t="s">
        <v>2153</v>
      </c>
      <c r="B840" s="1">
        <v>46253</v>
      </c>
      <c r="C840" t="str">
        <f>TEXT(Amazon_Data_Set[[#This Row],[Order Date]],"mmm")</f>
        <v>Aug</v>
      </c>
      <c r="D840" t="s">
        <v>199</v>
      </c>
      <c r="E840" t="s">
        <v>149</v>
      </c>
      <c r="F840" t="s">
        <v>150</v>
      </c>
      <c r="G840" t="s">
        <v>37</v>
      </c>
      <c r="H840" t="s">
        <v>142</v>
      </c>
      <c r="I840" t="s">
        <v>209</v>
      </c>
      <c r="J840" t="s">
        <v>511</v>
      </c>
      <c r="K840" t="s">
        <v>512</v>
      </c>
      <c r="L840" t="s">
        <v>2154</v>
      </c>
      <c r="M840" t="s">
        <v>106</v>
      </c>
      <c r="N840" t="s">
        <v>60</v>
      </c>
      <c r="O840" t="s">
        <v>45</v>
      </c>
      <c r="P840">
        <v>1</v>
      </c>
      <c r="Q840">
        <v>10174.040000000001</v>
      </c>
      <c r="R840" s="19">
        <v>0.1</v>
      </c>
      <c r="S840" s="21">
        <v>1017.4</v>
      </c>
      <c r="T840">
        <v>10174.040000000001</v>
      </c>
      <c r="U840" s="2">
        <v>9156.64</v>
      </c>
      <c r="V840">
        <v>126.28</v>
      </c>
      <c r="W840">
        <v>4866.4799999999996</v>
      </c>
      <c r="X840" s="2">
        <v>4163.88</v>
      </c>
      <c r="Y840">
        <v>0.45469999999999999</v>
      </c>
      <c r="Z840">
        <v>1</v>
      </c>
      <c r="AA840" t="s">
        <v>46</v>
      </c>
      <c r="AB840" t="s">
        <v>47</v>
      </c>
      <c r="AD840">
        <v>5</v>
      </c>
      <c r="AE840" s="2">
        <v>10049.709999999999</v>
      </c>
      <c r="AF840">
        <v>0.91110000000000002</v>
      </c>
      <c r="AG840" t="s">
        <v>49</v>
      </c>
      <c r="AH840" s="23">
        <f>SUM(Amazon_Data_Set[[#This Row],[Gross Sales]]-Amazon_Data_Set[[#This Row],[Discount Amount]])</f>
        <v>9156.6400000000012</v>
      </c>
    </row>
    <row r="841" spans="1:34">
      <c r="A841" t="s">
        <v>2155</v>
      </c>
      <c r="B841" s="1">
        <v>46269</v>
      </c>
      <c r="C841" t="str">
        <f>TEXT(Amazon_Data_Set[[#This Row],[Order Date]],"mmm")</f>
        <v>Sep</v>
      </c>
      <c r="D841" t="s">
        <v>1385</v>
      </c>
      <c r="E841" t="s">
        <v>100</v>
      </c>
      <c r="F841" t="s">
        <v>101</v>
      </c>
      <c r="G841" t="s">
        <v>54</v>
      </c>
      <c r="H841" t="s">
        <v>142</v>
      </c>
      <c r="I841" t="s">
        <v>209</v>
      </c>
      <c r="J841" t="s">
        <v>243</v>
      </c>
      <c r="K841" t="s">
        <v>145</v>
      </c>
      <c r="L841" t="s">
        <v>2156</v>
      </c>
      <c r="M841" t="s">
        <v>106</v>
      </c>
      <c r="N841" t="s">
        <v>60</v>
      </c>
      <c r="O841" t="s">
        <v>96</v>
      </c>
      <c r="P841">
        <v>1</v>
      </c>
      <c r="Q841">
        <v>1646.47</v>
      </c>
      <c r="R841" s="19">
        <v>0</v>
      </c>
      <c r="S841" s="21">
        <v>0</v>
      </c>
      <c r="T841">
        <v>1646.47</v>
      </c>
      <c r="U841" s="2">
        <v>1646.47</v>
      </c>
      <c r="V841">
        <v>245.24</v>
      </c>
      <c r="W841">
        <v>942.48</v>
      </c>
      <c r="X841" s="2">
        <v>458.75</v>
      </c>
      <c r="Y841">
        <v>0.27860000000000001</v>
      </c>
      <c r="Z841">
        <v>0</v>
      </c>
      <c r="AA841" t="s">
        <v>97</v>
      </c>
      <c r="AB841" t="s">
        <v>47</v>
      </c>
      <c r="AE841" s="2">
        <v>1660.82</v>
      </c>
      <c r="AF841">
        <v>0.99139999999999995</v>
      </c>
      <c r="AG841" t="s">
        <v>49</v>
      </c>
      <c r="AH841" s="23">
        <f>SUM(Amazon_Data_Set[[#This Row],[Gross Sales]]-Amazon_Data_Set[[#This Row],[Discount Amount]])</f>
        <v>1646.47</v>
      </c>
    </row>
    <row r="842" spans="1:34">
      <c r="A842" t="s">
        <v>2157</v>
      </c>
      <c r="B842" s="1">
        <v>46077</v>
      </c>
      <c r="C842" t="str">
        <f>TEXT(Amazon_Data_Set[[#This Row],[Order Date]],"mmm")</f>
        <v>Feb</v>
      </c>
      <c r="D842" t="s">
        <v>1213</v>
      </c>
      <c r="E842" t="s">
        <v>228</v>
      </c>
      <c r="F842" t="s">
        <v>229</v>
      </c>
      <c r="G842" t="s">
        <v>37</v>
      </c>
      <c r="H842" t="s">
        <v>142</v>
      </c>
      <c r="I842" t="s">
        <v>143</v>
      </c>
      <c r="J842" t="s">
        <v>200</v>
      </c>
      <c r="K842" t="s">
        <v>201</v>
      </c>
      <c r="L842" t="s">
        <v>2158</v>
      </c>
      <c r="M842" t="s">
        <v>106</v>
      </c>
      <c r="N842" t="s">
        <v>124</v>
      </c>
      <c r="O842" t="s">
        <v>45</v>
      </c>
      <c r="P842">
        <v>5</v>
      </c>
      <c r="Q842">
        <v>3992.01</v>
      </c>
      <c r="R842" s="19">
        <v>0.25</v>
      </c>
      <c r="S842" s="21">
        <v>4990.01</v>
      </c>
      <c r="T842">
        <v>19960.05</v>
      </c>
      <c r="U842" s="2">
        <v>14970.04</v>
      </c>
      <c r="V842">
        <v>104.51</v>
      </c>
      <c r="W842">
        <v>11026.83</v>
      </c>
      <c r="X842" s="2">
        <v>3838.7</v>
      </c>
      <c r="Y842">
        <v>0.25640000000000002</v>
      </c>
      <c r="Z842">
        <v>7</v>
      </c>
      <c r="AA842" t="s">
        <v>61</v>
      </c>
      <c r="AB842" t="s">
        <v>47</v>
      </c>
      <c r="AD842">
        <v>5</v>
      </c>
      <c r="AE842" s="2">
        <v>13354.2</v>
      </c>
      <c r="AF842">
        <v>1.121</v>
      </c>
      <c r="AG842" t="s">
        <v>49</v>
      </c>
      <c r="AH842" s="23">
        <f>SUM(Amazon_Data_Set[[#This Row],[Gross Sales]]-Amazon_Data_Set[[#This Row],[Discount Amount]])</f>
        <v>14970.039999999999</v>
      </c>
    </row>
    <row r="843" spans="1:34">
      <c r="A843" t="s">
        <v>2159</v>
      </c>
      <c r="B843" s="1">
        <v>46264</v>
      </c>
      <c r="C843" t="str">
        <f>TEXT(Amazon_Data_Set[[#This Row],[Order Date]],"mmm")</f>
        <v>Aug</v>
      </c>
      <c r="D843" t="s">
        <v>328</v>
      </c>
      <c r="E843" t="s">
        <v>80</v>
      </c>
      <c r="F843" t="s">
        <v>81</v>
      </c>
      <c r="G843" t="s">
        <v>82</v>
      </c>
      <c r="H843" t="s">
        <v>38</v>
      </c>
      <c r="I843" t="s">
        <v>161</v>
      </c>
      <c r="J843" t="s">
        <v>297</v>
      </c>
      <c r="K843" t="s">
        <v>298</v>
      </c>
      <c r="L843" t="s">
        <v>2160</v>
      </c>
      <c r="M843" t="s">
        <v>106</v>
      </c>
      <c r="N843" t="s">
        <v>44</v>
      </c>
      <c r="O843" t="s">
        <v>45</v>
      </c>
      <c r="P843">
        <v>1</v>
      </c>
      <c r="Q843">
        <v>351.56</v>
      </c>
      <c r="R843" s="19">
        <v>0.3</v>
      </c>
      <c r="S843" s="21">
        <v>105.47</v>
      </c>
      <c r="T843">
        <v>351.56</v>
      </c>
      <c r="U843" s="2">
        <v>246.09</v>
      </c>
      <c r="V843">
        <v>142.47999999999999</v>
      </c>
      <c r="W843">
        <v>191.67</v>
      </c>
      <c r="X843" s="2">
        <v>-88.06</v>
      </c>
      <c r="Y843">
        <v>-0.35780000000000001</v>
      </c>
      <c r="Z843">
        <v>4</v>
      </c>
      <c r="AA843" t="s">
        <v>46</v>
      </c>
      <c r="AB843" t="s">
        <v>47</v>
      </c>
      <c r="AD843">
        <v>4</v>
      </c>
      <c r="AE843" s="2">
        <v>216.59</v>
      </c>
      <c r="AF843">
        <v>1.1362000000000001</v>
      </c>
      <c r="AG843" t="s">
        <v>49</v>
      </c>
      <c r="AH843" s="23">
        <f>SUM(Amazon_Data_Set[[#This Row],[Gross Sales]]-Amazon_Data_Set[[#This Row],[Discount Amount]])</f>
        <v>246.09</v>
      </c>
    </row>
    <row r="844" spans="1:34">
      <c r="A844" t="s">
        <v>2161</v>
      </c>
      <c r="B844" s="1">
        <v>46151</v>
      </c>
      <c r="C844" t="str">
        <f>TEXT(Amazon_Data_Set[[#This Row],[Order Date]],"mmm")</f>
        <v>May</v>
      </c>
      <c r="D844" t="s">
        <v>1213</v>
      </c>
      <c r="E844" t="s">
        <v>167</v>
      </c>
      <c r="F844" t="s">
        <v>168</v>
      </c>
      <c r="G844" t="s">
        <v>111</v>
      </c>
      <c r="H844" t="s">
        <v>38</v>
      </c>
      <c r="I844" t="s">
        <v>66</v>
      </c>
      <c r="J844" t="s">
        <v>67</v>
      </c>
      <c r="K844" t="s">
        <v>68</v>
      </c>
      <c r="L844" t="s">
        <v>2162</v>
      </c>
      <c r="M844" t="s">
        <v>43</v>
      </c>
      <c r="N844" t="s">
        <v>44</v>
      </c>
      <c r="O844" t="s">
        <v>45</v>
      </c>
      <c r="P844">
        <v>4</v>
      </c>
      <c r="Q844">
        <v>4935.16</v>
      </c>
      <c r="R844" s="19">
        <v>0</v>
      </c>
      <c r="S844" s="21">
        <v>0</v>
      </c>
      <c r="T844">
        <v>19740.64</v>
      </c>
      <c r="U844" s="2">
        <v>19740.64</v>
      </c>
      <c r="V844">
        <v>42.84</v>
      </c>
      <c r="W844">
        <v>13396.65</v>
      </c>
      <c r="X844" s="2">
        <v>6301.15</v>
      </c>
      <c r="Y844">
        <v>0.31919999999999998</v>
      </c>
      <c r="Z844">
        <v>5</v>
      </c>
      <c r="AA844" t="s">
        <v>61</v>
      </c>
      <c r="AB844" t="s">
        <v>47</v>
      </c>
      <c r="AD844">
        <v>4</v>
      </c>
      <c r="AE844" s="2">
        <v>23509.99</v>
      </c>
      <c r="AF844">
        <v>0.8397</v>
      </c>
      <c r="AG844" t="s">
        <v>347</v>
      </c>
      <c r="AH844" s="23">
        <f>SUM(Amazon_Data_Set[[#This Row],[Gross Sales]]-Amazon_Data_Set[[#This Row],[Discount Amount]])</f>
        <v>19740.64</v>
      </c>
    </row>
    <row r="845" spans="1:34">
      <c r="A845" t="s">
        <v>2163</v>
      </c>
      <c r="B845" s="1">
        <v>46379</v>
      </c>
      <c r="C845" t="str">
        <f>TEXT(Amazon_Data_Set[[#This Row],[Order Date]],"mmm")</f>
        <v>Dec</v>
      </c>
      <c r="D845" t="s">
        <v>2164</v>
      </c>
      <c r="E845" t="s">
        <v>235</v>
      </c>
      <c r="F845" t="s">
        <v>236</v>
      </c>
      <c r="G845" t="s">
        <v>82</v>
      </c>
      <c r="H845" t="s">
        <v>55</v>
      </c>
      <c r="I845" t="s">
        <v>73</v>
      </c>
      <c r="J845" t="s">
        <v>230</v>
      </c>
      <c r="K845" t="s">
        <v>231</v>
      </c>
      <c r="L845" t="s">
        <v>2165</v>
      </c>
      <c r="M845" t="s">
        <v>106</v>
      </c>
      <c r="N845" t="s">
        <v>77</v>
      </c>
      <c r="O845" t="s">
        <v>45</v>
      </c>
      <c r="P845">
        <v>4</v>
      </c>
      <c r="Q845">
        <v>21641.8</v>
      </c>
      <c r="R845" s="19">
        <v>0</v>
      </c>
      <c r="S845" s="21">
        <v>0</v>
      </c>
      <c r="T845">
        <v>86567.2</v>
      </c>
      <c r="U845" s="2">
        <v>86567.2</v>
      </c>
      <c r="V845">
        <v>66.61</v>
      </c>
      <c r="W845">
        <v>56420.87</v>
      </c>
      <c r="X845" s="2">
        <v>30079.72</v>
      </c>
      <c r="Y845">
        <v>0.34749999999999998</v>
      </c>
      <c r="Z845">
        <v>3</v>
      </c>
      <c r="AA845" t="s">
        <v>46</v>
      </c>
      <c r="AB845" t="s">
        <v>47</v>
      </c>
      <c r="AD845">
        <v>4</v>
      </c>
      <c r="AE845" s="2">
        <v>79849.08</v>
      </c>
      <c r="AF845">
        <v>1.0841000000000001</v>
      </c>
      <c r="AG845" t="s">
        <v>49</v>
      </c>
      <c r="AH845" s="23">
        <f>SUM(Amazon_Data_Set[[#This Row],[Gross Sales]]-Amazon_Data_Set[[#This Row],[Discount Amount]])</f>
        <v>86567.2</v>
      </c>
    </row>
    <row r="846" spans="1:34">
      <c r="A846" t="s">
        <v>2166</v>
      </c>
      <c r="B846" s="1">
        <v>46025</v>
      </c>
      <c r="C846" t="str">
        <f>TEXT(Amazon_Data_Set[[#This Row],[Order Date]],"mmm")</f>
        <v>Jan</v>
      </c>
      <c r="D846" t="s">
        <v>380</v>
      </c>
      <c r="E846" t="s">
        <v>194</v>
      </c>
      <c r="F846" t="s">
        <v>195</v>
      </c>
      <c r="G846" t="s">
        <v>111</v>
      </c>
      <c r="H846" t="s">
        <v>83</v>
      </c>
      <c r="I846" t="s">
        <v>84</v>
      </c>
      <c r="J846" t="s">
        <v>332</v>
      </c>
      <c r="K846" t="s">
        <v>333</v>
      </c>
      <c r="L846" t="s">
        <v>2167</v>
      </c>
      <c r="M846" t="s">
        <v>106</v>
      </c>
      <c r="N846" t="s">
        <v>60</v>
      </c>
      <c r="O846" t="s">
        <v>130</v>
      </c>
      <c r="P846">
        <v>4</v>
      </c>
      <c r="Q846">
        <v>935.67</v>
      </c>
      <c r="R846" s="19">
        <v>0</v>
      </c>
      <c r="S846" s="21">
        <v>0</v>
      </c>
      <c r="T846">
        <v>3742.68</v>
      </c>
      <c r="U846" s="2">
        <v>3742.68</v>
      </c>
      <c r="V846">
        <v>242.41</v>
      </c>
      <c r="W846">
        <v>2783.76</v>
      </c>
      <c r="X846" s="2">
        <v>716.51</v>
      </c>
      <c r="Y846">
        <v>0.19139999999999999</v>
      </c>
      <c r="Z846">
        <v>1</v>
      </c>
      <c r="AA846" t="s">
        <v>131</v>
      </c>
      <c r="AB846" t="s">
        <v>47</v>
      </c>
      <c r="AE846" s="2">
        <v>4308.68</v>
      </c>
      <c r="AF846">
        <v>0.86860000000000004</v>
      </c>
      <c r="AG846" t="s">
        <v>49</v>
      </c>
      <c r="AH846" s="23">
        <f>SUM(Amazon_Data_Set[[#This Row],[Gross Sales]]-Amazon_Data_Set[[#This Row],[Discount Amount]])</f>
        <v>3742.68</v>
      </c>
    </row>
    <row r="847" spans="1:34">
      <c r="A847" t="s">
        <v>2168</v>
      </c>
      <c r="B847" s="1">
        <v>46251</v>
      </c>
      <c r="C847" t="str">
        <f>TEXT(Amazon_Data_Set[[#This Row],[Order Date]],"mmm")</f>
        <v>Aug</v>
      </c>
      <c r="D847" t="s">
        <v>711</v>
      </c>
      <c r="E847" t="s">
        <v>109</v>
      </c>
      <c r="F847" t="s">
        <v>110</v>
      </c>
      <c r="G847" t="s">
        <v>111</v>
      </c>
      <c r="H847" t="s">
        <v>83</v>
      </c>
      <c r="I847" t="s">
        <v>102</v>
      </c>
      <c r="J847" t="s">
        <v>373</v>
      </c>
      <c r="K847" t="s">
        <v>374</v>
      </c>
      <c r="L847" t="s">
        <v>2169</v>
      </c>
      <c r="M847" t="s">
        <v>43</v>
      </c>
      <c r="N847" t="s">
        <v>77</v>
      </c>
      <c r="O847" t="s">
        <v>96</v>
      </c>
      <c r="P847">
        <v>1</v>
      </c>
      <c r="Q847">
        <v>184.09</v>
      </c>
      <c r="R847" s="19">
        <v>0</v>
      </c>
      <c r="S847" s="21">
        <v>0</v>
      </c>
      <c r="T847">
        <v>184.09</v>
      </c>
      <c r="U847" s="2">
        <v>184.09</v>
      </c>
      <c r="V847">
        <v>133.63999999999999</v>
      </c>
      <c r="W847">
        <v>111.4</v>
      </c>
      <c r="X847" s="2">
        <v>-60.95</v>
      </c>
      <c r="Y847">
        <v>-0.33110000000000001</v>
      </c>
      <c r="Z847">
        <v>0</v>
      </c>
      <c r="AA847" t="s">
        <v>97</v>
      </c>
      <c r="AB847" t="s">
        <v>47</v>
      </c>
      <c r="AE847" s="2">
        <v>172.68</v>
      </c>
      <c r="AF847">
        <v>1.0661</v>
      </c>
      <c r="AG847" t="s">
        <v>49</v>
      </c>
      <c r="AH847" s="23">
        <f>SUM(Amazon_Data_Set[[#This Row],[Gross Sales]]-Amazon_Data_Set[[#This Row],[Discount Amount]])</f>
        <v>184.09</v>
      </c>
    </row>
    <row r="848" spans="1:34">
      <c r="A848" t="s">
        <v>2170</v>
      </c>
      <c r="B848" s="1">
        <v>46191</v>
      </c>
      <c r="C848" t="str">
        <f>TEXT(Amazon_Data_Set[[#This Row],[Order Date]],"mmm")</f>
        <v>Jun</v>
      </c>
      <c r="D848" t="s">
        <v>285</v>
      </c>
      <c r="E848" t="s">
        <v>228</v>
      </c>
      <c r="F848" t="s">
        <v>229</v>
      </c>
      <c r="G848" t="s">
        <v>37</v>
      </c>
      <c r="H848" t="s">
        <v>142</v>
      </c>
      <c r="I848" t="s">
        <v>209</v>
      </c>
      <c r="J848" t="s">
        <v>511</v>
      </c>
      <c r="K848" t="s">
        <v>512</v>
      </c>
      <c r="L848" t="s">
        <v>2171</v>
      </c>
      <c r="M848" t="s">
        <v>43</v>
      </c>
      <c r="N848" t="s">
        <v>124</v>
      </c>
      <c r="O848" t="s">
        <v>45</v>
      </c>
      <c r="P848">
        <v>4</v>
      </c>
      <c r="Q848">
        <v>4865.26</v>
      </c>
      <c r="R848" s="19">
        <v>0</v>
      </c>
      <c r="S848" s="21">
        <v>0</v>
      </c>
      <c r="T848">
        <v>19461.04</v>
      </c>
      <c r="U848" s="2">
        <v>19461.04</v>
      </c>
      <c r="V848">
        <v>204.89</v>
      </c>
      <c r="W848">
        <v>10661.58</v>
      </c>
      <c r="X848" s="2">
        <v>8594.57</v>
      </c>
      <c r="Y848">
        <v>0.44159999999999999</v>
      </c>
      <c r="Z848">
        <v>5</v>
      </c>
      <c r="AA848" t="s">
        <v>61</v>
      </c>
      <c r="AB848" t="s">
        <v>47</v>
      </c>
      <c r="AD848">
        <v>5</v>
      </c>
      <c r="AE848" s="2">
        <v>23379.18</v>
      </c>
      <c r="AF848">
        <v>0.83240000000000003</v>
      </c>
      <c r="AG848" t="s">
        <v>49</v>
      </c>
      <c r="AH848" s="23">
        <f>SUM(Amazon_Data_Set[[#This Row],[Gross Sales]]-Amazon_Data_Set[[#This Row],[Discount Amount]])</f>
        <v>19461.04</v>
      </c>
    </row>
    <row r="849" spans="1:34">
      <c r="A849" t="s">
        <v>2172</v>
      </c>
      <c r="B849" s="1">
        <v>46144</v>
      </c>
      <c r="C849" t="str">
        <f>TEXT(Amazon_Data_Set[[#This Row],[Order Date]],"mmm")</f>
        <v>May</v>
      </c>
      <c r="D849" t="s">
        <v>951</v>
      </c>
      <c r="E849" t="s">
        <v>64</v>
      </c>
      <c r="F849" t="s">
        <v>65</v>
      </c>
      <c r="G849" t="s">
        <v>54</v>
      </c>
      <c r="H849" t="s">
        <v>83</v>
      </c>
      <c r="I849" t="s">
        <v>188</v>
      </c>
      <c r="J849" t="s">
        <v>189</v>
      </c>
      <c r="K849" t="s">
        <v>190</v>
      </c>
      <c r="L849" t="s">
        <v>2173</v>
      </c>
      <c r="M849" t="s">
        <v>106</v>
      </c>
      <c r="N849" t="s">
        <v>124</v>
      </c>
      <c r="O849" t="s">
        <v>96</v>
      </c>
      <c r="P849">
        <v>5</v>
      </c>
      <c r="Q849">
        <v>2304.2600000000002</v>
      </c>
      <c r="R849" s="19">
        <v>0.25</v>
      </c>
      <c r="S849" s="21">
        <v>2880.32</v>
      </c>
      <c r="T849">
        <v>11521.3</v>
      </c>
      <c r="U849" s="2">
        <v>8640.98</v>
      </c>
      <c r="V849">
        <v>24.34</v>
      </c>
      <c r="W849">
        <v>6151.58</v>
      </c>
      <c r="X849" s="2">
        <v>2465.06</v>
      </c>
      <c r="Y849">
        <v>0.2853</v>
      </c>
      <c r="Z849">
        <v>0</v>
      </c>
      <c r="AA849" t="s">
        <v>97</v>
      </c>
      <c r="AB849" t="s">
        <v>47</v>
      </c>
      <c r="AE849" s="2">
        <v>8614.6</v>
      </c>
      <c r="AF849">
        <v>1.0031000000000001</v>
      </c>
      <c r="AG849" t="s">
        <v>49</v>
      </c>
      <c r="AH849" s="23">
        <f>SUM(Amazon_Data_Set[[#This Row],[Gross Sales]]-Amazon_Data_Set[[#This Row],[Discount Amount]])</f>
        <v>8640.98</v>
      </c>
    </row>
    <row r="850" spans="1:34">
      <c r="A850" t="s">
        <v>2174</v>
      </c>
      <c r="B850" s="1">
        <v>46204</v>
      </c>
      <c r="C850" t="str">
        <f>TEXT(Amazon_Data_Set[[#This Row],[Order Date]],"mmm")</f>
        <v>Jul</v>
      </c>
      <c r="D850" t="s">
        <v>1382</v>
      </c>
      <c r="E850" t="s">
        <v>100</v>
      </c>
      <c r="F850" t="s">
        <v>179</v>
      </c>
      <c r="G850" t="s">
        <v>54</v>
      </c>
      <c r="H850" t="s">
        <v>83</v>
      </c>
      <c r="I850" t="s">
        <v>188</v>
      </c>
      <c r="J850" t="s">
        <v>189</v>
      </c>
      <c r="K850" t="s">
        <v>190</v>
      </c>
      <c r="L850" t="s">
        <v>2175</v>
      </c>
      <c r="M850" t="s">
        <v>43</v>
      </c>
      <c r="N850" t="s">
        <v>124</v>
      </c>
      <c r="O850" t="s">
        <v>45</v>
      </c>
      <c r="P850">
        <v>1</v>
      </c>
      <c r="Q850">
        <v>500.12</v>
      </c>
      <c r="R850" s="19">
        <v>0.1</v>
      </c>
      <c r="S850" s="21">
        <v>50.01</v>
      </c>
      <c r="T850">
        <v>500.12</v>
      </c>
      <c r="U850" s="2">
        <v>450.11</v>
      </c>
      <c r="V850">
        <v>10.08</v>
      </c>
      <c r="W850">
        <v>306.5</v>
      </c>
      <c r="X850" s="2">
        <v>133.53</v>
      </c>
      <c r="Y850">
        <v>0.29670000000000002</v>
      </c>
      <c r="Z850">
        <v>6</v>
      </c>
      <c r="AA850" t="s">
        <v>61</v>
      </c>
      <c r="AB850" t="s">
        <v>47</v>
      </c>
      <c r="AD850">
        <v>4</v>
      </c>
      <c r="AE850" s="2">
        <v>413.02</v>
      </c>
      <c r="AF850">
        <v>1.0898000000000001</v>
      </c>
      <c r="AG850" t="s">
        <v>49</v>
      </c>
      <c r="AH850" s="23">
        <f>SUM(Amazon_Data_Set[[#This Row],[Gross Sales]]-Amazon_Data_Set[[#This Row],[Discount Amount]])</f>
        <v>450.11</v>
      </c>
    </row>
    <row r="851" spans="1:34">
      <c r="A851" t="s">
        <v>2176</v>
      </c>
      <c r="B851" s="1">
        <v>46328</v>
      </c>
      <c r="C851" t="str">
        <f>TEXT(Amazon_Data_Set[[#This Row],[Order Date]],"mmm")</f>
        <v>Nov</v>
      </c>
      <c r="D851" t="s">
        <v>1227</v>
      </c>
      <c r="E851" t="s">
        <v>64</v>
      </c>
      <c r="F851" t="s">
        <v>65</v>
      </c>
      <c r="G851" t="s">
        <v>54</v>
      </c>
      <c r="H851" t="s">
        <v>83</v>
      </c>
      <c r="I851" t="s">
        <v>84</v>
      </c>
      <c r="J851" t="s">
        <v>332</v>
      </c>
      <c r="K851" t="s">
        <v>333</v>
      </c>
      <c r="L851" t="s">
        <v>2177</v>
      </c>
      <c r="M851" t="s">
        <v>43</v>
      </c>
      <c r="N851" t="s">
        <v>124</v>
      </c>
      <c r="O851" t="s">
        <v>45</v>
      </c>
      <c r="P851">
        <v>3</v>
      </c>
      <c r="Q851">
        <v>1367.55</v>
      </c>
      <c r="R851" s="19">
        <v>0</v>
      </c>
      <c r="S851" s="21">
        <v>0</v>
      </c>
      <c r="T851">
        <v>4102.6499999999996</v>
      </c>
      <c r="U851" s="2">
        <v>4102.6499999999996</v>
      </c>
      <c r="V851">
        <v>139.32</v>
      </c>
      <c r="W851">
        <v>2955.92</v>
      </c>
      <c r="X851" s="2">
        <v>1007.41</v>
      </c>
      <c r="Y851">
        <v>0.24560000000000001</v>
      </c>
      <c r="Z851">
        <v>2</v>
      </c>
      <c r="AA851" t="s">
        <v>46</v>
      </c>
      <c r="AB851" t="s">
        <v>47</v>
      </c>
      <c r="AD851">
        <v>4</v>
      </c>
      <c r="AE851" s="2">
        <v>3642.04</v>
      </c>
      <c r="AF851">
        <v>1.1265000000000001</v>
      </c>
      <c r="AG851" t="s">
        <v>828</v>
      </c>
      <c r="AH851" s="23">
        <f>SUM(Amazon_Data_Set[[#This Row],[Gross Sales]]-Amazon_Data_Set[[#This Row],[Discount Amount]])</f>
        <v>4102.6499999999996</v>
      </c>
    </row>
    <row r="852" spans="1:34">
      <c r="A852" t="s">
        <v>2178</v>
      </c>
      <c r="B852" s="1">
        <v>46386</v>
      </c>
      <c r="C852" t="str">
        <f>TEXT(Amazon_Data_Set[[#This Row],[Order Date]],"mmm")</f>
        <v>Dec</v>
      </c>
      <c r="D852" t="s">
        <v>729</v>
      </c>
      <c r="E852" t="s">
        <v>109</v>
      </c>
      <c r="F852" t="s">
        <v>110</v>
      </c>
      <c r="G852" t="s">
        <v>111</v>
      </c>
      <c r="H852" t="s">
        <v>55</v>
      </c>
      <c r="I852" t="s">
        <v>56</v>
      </c>
      <c r="J852" t="s">
        <v>582</v>
      </c>
      <c r="K852" t="s">
        <v>583</v>
      </c>
      <c r="L852" t="s">
        <v>2179</v>
      </c>
      <c r="M852" t="s">
        <v>43</v>
      </c>
      <c r="N852" t="s">
        <v>124</v>
      </c>
      <c r="O852" t="s">
        <v>130</v>
      </c>
      <c r="P852">
        <v>3</v>
      </c>
      <c r="Q852">
        <v>11336.6</v>
      </c>
      <c r="R852" s="19">
        <v>0.3</v>
      </c>
      <c r="S852" s="21">
        <v>10202.94</v>
      </c>
      <c r="T852">
        <v>34009.800000000003</v>
      </c>
      <c r="U852" s="2">
        <v>23806.86</v>
      </c>
      <c r="V852">
        <v>244.13</v>
      </c>
      <c r="W852">
        <v>11592.05</v>
      </c>
      <c r="X852" s="2">
        <v>11970.68</v>
      </c>
      <c r="Y852">
        <v>0.50280000000000002</v>
      </c>
      <c r="Z852">
        <v>3</v>
      </c>
      <c r="AA852" t="s">
        <v>131</v>
      </c>
      <c r="AB852" t="s">
        <v>47</v>
      </c>
      <c r="AE852" s="2">
        <v>26704.12</v>
      </c>
      <c r="AF852">
        <v>0.89149999999999996</v>
      </c>
      <c r="AG852" t="s">
        <v>49</v>
      </c>
      <c r="AH852" s="23">
        <f>SUM(Amazon_Data_Set[[#This Row],[Gross Sales]]-Amazon_Data_Set[[#This Row],[Discount Amount]])</f>
        <v>23806.86</v>
      </c>
    </row>
    <row r="853" spans="1:34">
      <c r="A853" t="s">
        <v>2180</v>
      </c>
      <c r="B853" s="1">
        <v>46109</v>
      </c>
      <c r="C853" t="str">
        <f>TEXT(Amazon_Data_Set[[#This Row],[Order Date]],"mmm")</f>
        <v>Mar</v>
      </c>
      <c r="D853" t="s">
        <v>510</v>
      </c>
      <c r="E853" t="s">
        <v>109</v>
      </c>
      <c r="F853" t="s">
        <v>110</v>
      </c>
      <c r="G853" t="s">
        <v>111</v>
      </c>
      <c r="H853" t="s">
        <v>83</v>
      </c>
      <c r="I853" t="s">
        <v>102</v>
      </c>
      <c r="J853" t="s">
        <v>103</v>
      </c>
      <c r="K853" t="s">
        <v>104</v>
      </c>
      <c r="L853" t="s">
        <v>2181</v>
      </c>
      <c r="M853" t="s">
        <v>106</v>
      </c>
      <c r="N853" t="s">
        <v>44</v>
      </c>
      <c r="O853" t="s">
        <v>45</v>
      </c>
      <c r="P853">
        <v>5</v>
      </c>
      <c r="Q853">
        <v>612.61</v>
      </c>
      <c r="R853" s="19">
        <v>0.1</v>
      </c>
      <c r="S853" s="21">
        <v>306.31</v>
      </c>
      <c r="T853">
        <v>3063.05</v>
      </c>
      <c r="U853" s="2">
        <v>2756.74</v>
      </c>
      <c r="V853">
        <v>75.12</v>
      </c>
      <c r="W853">
        <v>1323.74</v>
      </c>
      <c r="X853" s="2">
        <v>1357.88</v>
      </c>
      <c r="Y853">
        <v>0.49259999999999998</v>
      </c>
      <c r="Z853">
        <v>4</v>
      </c>
      <c r="AA853" t="s">
        <v>46</v>
      </c>
      <c r="AB853" t="s">
        <v>47</v>
      </c>
      <c r="AD853">
        <v>3</v>
      </c>
      <c r="AE853" s="2">
        <v>2658.26</v>
      </c>
      <c r="AF853">
        <v>1.0369999999999999</v>
      </c>
      <c r="AG853" t="s">
        <v>49</v>
      </c>
      <c r="AH853" s="23">
        <f>SUM(Amazon_Data_Set[[#This Row],[Gross Sales]]-Amazon_Data_Set[[#This Row],[Discount Amount]])</f>
        <v>2756.7400000000002</v>
      </c>
    </row>
    <row r="854" spans="1:34">
      <c r="A854" t="s">
        <v>2182</v>
      </c>
      <c r="B854" s="1">
        <v>46310</v>
      </c>
      <c r="C854" t="str">
        <f>TEXT(Amazon_Data_Set[[#This Row],[Order Date]],"mmm")</f>
        <v>Oct</v>
      </c>
      <c r="D854" t="s">
        <v>527</v>
      </c>
      <c r="E854" t="s">
        <v>174</v>
      </c>
      <c r="F854" t="s">
        <v>175</v>
      </c>
      <c r="G854" t="s">
        <v>82</v>
      </c>
      <c r="H854" t="s">
        <v>38</v>
      </c>
      <c r="I854" t="s">
        <v>161</v>
      </c>
      <c r="J854" t="s">
        <v>297</v>
      </c>
      <c r="K854" t="s">
        <v>298</v>
      </c>
      <c r="L854" t="s">
        <v>2183</v>
      </c>
      <c r="M854" t="s">
        <v>43</v>
      </c>
      <c r="N854" t="s">
        <v>60</v>
      </c>
      <c r="O854" t="s">
        <v>45</v>
      </c>
      <c r="P854">
        <v>5</v>
      </c>
      <c r="Q854">
        <v>360.85</v>
      </c>
      <c r="R854" s="19">
        <v>0.15</v>
      </c>
      <c r="S854" s="21">
        <v>270.64</v>
      </c>
      <c r="T854">
        <v>1804.25</v>
      </c>
      <c r="U854" s="2">
        <v>1533.61</v>
      </c>
      <c r="V854">
        <v>217.94</v>
      </c>
      <c r="W854">
        <v>890.62</v>
      </c>
      <c r="X854" s="2">
        <v>425.05</v>
      </c>
      <c r="Y854">
        <v>0.2772</v>
      </c>
      <c r="Z854">
        <v>3</v>
      </c>
      <c r="AA854" t="s">
        <v>46</v>
      </c>
      <c r="AB854" t="s">
        <v>48</v>
      </c>
      <c r="AC854" t="s">
        <v>158</v>
      </c>
      <c r="AD854">
        <v>4</v>
      </c>
      <c r="AE854" s="2">
        <v>1750.97</v>
      </c>
      <c r="AF854">
        <v>0.87590000000000001</v>
      </c>
      <c r="AG854" t="s">
        <v>347</v>
      </c>
      <c r="AH854" s="23">
        <f>SUM(Amazon_Data_Set[[#This Row],[Gross Sales]]-Amazon_Data_Set[[#This Row],[Discount Amount]])</f>
        <v>1533.6100000000001</v>
      </c>
    </row>
    <row r="855" spans="1:34">
      <c r="A855" t="s">
        <v>2184</v>
      </c>
      <c r="B855" s="1">
        <v>46274</v>
      </c>
      <c r="C855" t="str">
        <f>TEXT(Amazon_Data_Set[[#This Row],[Order Date]],"mmm")</f>
        <v>Sep</v>
      </c>
      <c r="D855" t="s">
        <v>856</v>
      </c>
      <c r="E855" t="s">
        <v>235</v>
      </c>
      <c r="F855" t="s">
        <v>236</v>
      </c>
      <c r="G855" t="s">
        <v>82</v>
      </c>
      <c r="H855" t="s">
        <v>142</v>
      </c>
      <c r="I855" t="s">
        <v>209</v>
      </c>
      <c r="J855" t="s">
        <v>210</v>
      </c>
      <c r="K855" t="s">
        <v>201</v>
      </c>
      <c r="L855" t="s">
        <v>2185</v>
      </c>
      <c r="M855" t="s">
        <v>43</v>
      </c>
      <c r="N855" t="s">
        <v>124</v>
      </c>
      <c r="O855" t="s">
        <v>96</v>
      </c>
      <c r="P855">
        <v>4</v>
      </c>
      <c r="Q855">
        <v>3550.85</v>
      </c>
      <c r="R855" s="19">
        <v>0.1</v>
      </c>
      <c r="S855" s="21">
        <v>1420.34</v>
      </c>
      <c r="T855">
        <v>14203.4</v>
      </c>
      <c r="U855" s="2">
        <v>12783.06</v>
      </c>
      <c r="V855">
        <v>164.24</v>
      </c>
      <c r="W855">
        <v>7513.91</v>
      </c>
      <c r="X855" s="2">
        <v>5104.91</v>
      </c>
      <c r="Y855">
        <v>0.39929999999999999</v>
      </c>
      <c r="Z855">
        <v>0</v>
      </c>
      <c r="AA855" t="s">
        <v>97</v>
      </c>
      <c r="AB855" t="s">
        <v>47</v>
      </c>
      <c r="AE855" s="2">
        <v>13501.91</v>
      </c>
      <c r="AF855">
        <v>0.94679999999999997</v>
      </c>
      <c r="AG855" t="s">
        <v>49</v>
      </c>
      <c r="AH855" s="23">
        <f>SUM(Amazon_Data_Set[[#This Row],[Gross Sales]]-Amazon_Data_Set[[#This Row],[Discount Amount]])</f>
        <v>12783.06</v>
      </c>
    </row>
    <row r="856" spans="1:34">
      <c r="A856" t="s">
        <v>2186</v>
      </c>
      <c r="B856" s="1">
        <v>46210</v>
      </c>
      <c r="C856" t="str">
        <f>TEXT(Amazon_Data_Set[[#This Row],[Order Date]],"mmm")</f>
        <v>Jul</v>
      </c>
      <c r="D856" t="s">
        <v>1250</v>
      </c>
      <c r="E856" t="s">
        <v>109</v>
      </c>
      <c r="F856" t="s">
        <v>154</v>
      </c>
      <c r="G856" t="s">
        <v>111</v>
      </c>
      <c r="H856" t="s">
        <v>55</v>
      </c>
      <c r="I856" t="s">
        <v>120</v>
      </c>
      <c r="J856" t="s">
        <v>344</v>
      </c>
      <c r="K856" t="s">
        <v>345</v>
      </c>
      <c r="L856" t="s">
        <v>2187</v>
      </c>
      <c r="M856" t="s">
        <v>43</v>
      </c>
      <c r="N856" t="s">
        <v>77</v>
      </c>
      <c r="O856" t="s">
        <v>45</v>
      </c>
      <c r="P856">
        <v>1</v>
      </c>
      <c r="Q856">
        <v>3193.94</v>
      </c>
      <c r="R856" s="19">
        <v>0.1</v>
      </c>
      <c r="S856" s="21">
        <v>319.39</v>
      </c>
      <c r="T856">
        <v>3193.94</v>
      </c>
      <c r="U856" s="2">
        <v>2874.55</v>
      </c>
      <c r="V856">
        <v>183.15</v>
      </c>
      <c r="W856">
        <v>2211.48</v>
      </c>
      <c r="X856" s="2">
        <v>479.92</v>
      </c>
      <c r="Y856">
        <v>0.16700000000000001</v>
      </c>
      <c r="Z856">
        <v>8</v>
      </c>
      <c r="AA856" t="s">
        <v>61</v>
      </c>
      <c r="AB856" t="s">
        <v>47</v>
      </c>
      <c r="AD856">
        <v>4</v>
      </c>
      <c r="AE856" s="2">
        <v>2573.2600000000002</v>
      </c>
      <c r="AF856">
        <v>1.1171</v>
      </c>
      <c r="AG856" t="s">
        <v>49</v>
      </c>
      <c r="AH856" s="23">
        <f>SUM(Amazon_Data_Set[[#This Row],[Gross Sales]]-Amazon_Data_Set[[#This Row],[Discount Amount]])</f>
        <v>2874.55</v>
      </c>
    </row>
    <row r="857" spans="1:34">
      <c r="A857" t="s">
        <v>2188</v>
      </c>
      <c r="B857" s="1">
        <v>46231</v>
      </c>
      <c r="C857" t="str">
        <f>TEXT(Amazon_Data_Set[[#This Row],[Order Date]],"mmm")</f>
        <v>Jul</v>
      </c>
      <c r="D857" t="s">
        <v>213</v>
      </c>
      <c r="E857" t="s">
        <v>100</v>
      </c>
      <c r="F857" t="s">
        <v>179</v>
      </c>
      <c r="G857" t="s">
        <v>54</v>
      </c>
      <c r="H857" t="s">
        <v>55</v>
      </c>
      <c r="I857" t="s">
        <v>56</v>
      </c>
      <c r="J857" t="s">
        <v>366</v>
      </c>
      <c r="K857" t="s">
        <v>367</v>
      </c>
      <c r="L857" t="s">
        <v>2189</v>
      </c>
      <c r="M857" t="s">
        <v>106</v>
      </c>
      <c r="N857" t="s">
        <v>70</v>
      </c>
      <c r="O857" t="s">
        <v>45</v>
      </c>
      <c r="P857">
        <v>3</v>
      </c>
      <c r="Q857">
        <v>10167.86</v>
      </c>
      <c r="R857" s="19">
        <v>0.25</v>
      </c>
      <c r="S857" s="21">
        <v>7625.9</v>
      </c>
      <c r="T857">
        <v>30503.58</v>
      </c>
      <c r="U857" s="2">
        <v>22877.68</v>
      </c>
      <c r="V857">
        <v>21.98</v>
      </c>
      <c r="W857">
        <v>16025.93</v>
      </c>
      <c r="X857" s="2">
        <v>6829.77</v>
      </c>
      <c r="Y857">
        <v>0.29849999999999999</v>
      </c>
      <c r="Z857">
        <v>1</v>
      </c>
      <c r="AA857" t="s">
        <v>46</v>
      </c>
      <c r="AB857" t="s">
        <v>47</v>
      </c>
      <c r="AD857">
        <v>4</v>
      </c>
      <c r="AE857" s="2">
        <v>24002.47</v>
      </c>
      <c r="AF857">
        <v>0.95309999999999995</v>
      </c>
      <c r="AG857" t="s">
        <v>49</v>
      </c>
      <c r="AH857" s="23">
        <f>SUM(Amazon_Data_Set[[#This Row],[Gross Sales]]-Amazon_Data_Set[[#This Row],[Discount Amount]])</f>
        <v>22877.68</v>
      </c>
    </row>
    <row r="858" spans="1:34">
      <c r="A858" t="s">
        <v>2190</v>
      </c>
      <c r="B858" s="1">
        <v>46281</v>
      </c>
      <c r="C858" t="str">
        <f>TEXT(Amazon_Data_Set[[#This Row],[Order Date]],"mmm")</f>
        <v>Sep</v>
      </c>
      <c r="D858" t="s">
        <v>706</v>
      </c>
      <c r="E858" t="s">
        <v>235</v>
      </c>
      <c r="F858" t="s">
        <v>236</v>
      </c>
      <c r="G858" t="s">
        <v>82</v>
      </c>
      <c r="H858" t="s">
        <v>55</v>
      </c>
      <c r="I858" t="s">
        <v>56</v>
      </c>
      <c r="J858" t="s">
        <v>366</v>
      </c>
      <c r="K858" t="s">
        <v>367</v>
      </c>
      <c r="L858" t="s">
        <v>2191</v>
      </c>
      <c r="M858" t="s">
        <v>106</v>
      </c>
      <c r="N858" t="s">
        <v>60</v>
      </c>
      <c r="O858" t="s">
        <v>45</v>
      </c>
      <c r="P858">
        <v>3</v>
      </c>
      <c r="Q858">
        <v>7193.16</v>
      </c>
      <c r="R858" s="19">
        <v>0.3</v>
      </c>
      <c r="S858" s="21">
        <v>6473.84</v>
      </c>
      <c r="T858">
        <v>21579.48</v>
      </c>
      <c r="U858" s="2">
        <v>15105.64</v>
      </c>
      <c r="V858">
        <v>114.38</v>
      </c>
      <c r="W858">
        <v>11623.54</v>
      </c>
      <c r="X858" s="2">
        <v>3367.72</v>
      </c>
      <c r="Y858">
        <v>0.22289999999999999</v>
      </c>
      <c r="Z858">
        <v>3</v>
      </c>
      <c r="AA858" t="s">
        <v>46</v>
      </c>
      <c r="AB858" t="s">
        <v>47</v>
      </c>
      <c r="AD858">
        <v>5</v>
      </c>
      <c r="AE858" s="2">
        <v>15801.44</v>
      </c>
      <c r="AF858">
        <v>0.95599999999999996</v>
      </c>
      <c r="AG858" t="s">
        <v>49</v>
      </c>
      <c r="AH858" s="23">
        <f>SUM(Amazon_Data_Set[[#This Row],[Gross Sales]]-Amazon_Data_Set[[#This Row],[Discount Amount]])</f>
        <v>15105.64</v>
      </c>
    </row>
    <row r="859" spans="1:34">
      <c r="A859" t="s">
        <v>2192</v>
      </c>
      <c r="B859" s="1">
        <v>46023</v>
      </c>
      <c r="C859" t="str">
        <f>TEXT(Amazon_Data_Set[[#This Row],[Order Date]],"mmm")</f>
        <v>Jan</v>
      </c>
      <c r="D859" t="s">
        <v>504</v>
      </c>
      <c r="E859" t="s">
        <v>194</v>
      </c>
      <c r="F859" t="s">
        <v>195</v>
      </c>
      <c r="G859" t="s">
        <v>111</v>
      </c>
      <c r="H859" t="s">
        <v>38</v>
      </c>
      <c r="I859" t="s">
        <v>66</v>
      </c>
      <c r="J859" t="s">
        <v>337</v>
      </c>
      <c r="K859" t="s">
        <v>224</v>
      </c>
      <c r="L859" t="s">
        <v>2193</v>
      </c>
      <c r="M859" t="s">
        <v>43</v>
      </c>
      <c r="N859" t="s">
        <v>124</v>
      </c>
      <c r="O859" t="s">
        <v>45</v>
      </c>
      <c r="P859">
        <v>2</v>
      </c>
      <c r="Q859">
        <v>1727.98</v>
      </c>
      <c r="R859" s="19">
        <v>0.25</v>
      </c>
      <c r="S859" s="21">
        <v>863.99</v>
      </c>
      <c r="T859">
        <v>3455.96</v>
      </c>
      <c r="U859" s="2">
        <v>2591.9699999999998</v>
      </c>
      <c r="V859">
        <v>157.9</v>
      </c>
      <c r="W859">
        <v>1721.78</v>
      </c>
      <c r="X859" s="2">
        <v>712.29</v>
      </c>
      <c r="Y859">
        <v>0.27479999999999999</v>
      </c>
      <c r="Z859">
        <v>5</v>
      </c>
      <c r="AA859" t="s">
        <v>61</v>
      </c>
      <c r="AB859" t="s">
        <v>47</v>
      </c>
      <c r="AD859">
        <v>5</v>
      </c>
      <c r="AE859" s="2">
        <v>2394.96</v>
      </c>
      <c r="AF859">
        <v>1.0823</v>
      </c>
      <c r="AG859" t="s">
        <v>49</v>
      </c>
      <c r="AH859" s="23">
        <f>SUM(Amazon_Data_Set[[#This Row],[Gross Sales]]-Amazon_Data_Set[[#This Row],[Discount Amount]])</f>
        <v>2591.9700000000003</v>
      </c>
    </row>
    <row r="860" spans="1:34">
      <c r="A860" t="s">
        <v>2194</v>
      </c>
      <c r="B860" s="1">
        <v>46318</v>
      </c>
      <c r="C860" t="str">
        <f>TEXT(Amazon_Data_Set[[#This Row],[Order Date]],"mmm")</f>
        <v>Oct</v>
      </c>
      <c r="D860" t="s">
        <v>1415</v>
      </c>
      <c r="E860" t="s">
        <v>140</v>
      </c>
      <c r="F860" t="s">
        <v>141</v>
      </c>
      <c r="G860" t="s">
        <v>54</v>
      </c>
      <c r="H860" t="s">
        <v>90</v>
      </c>
      <c r="I860" t="s">
        <v>252</v>
      </c>
      <c r="J860" t="s">
        <v>528</v>
      </c>
      <c r="K860" t="s">
        <v>529</v>
      </c>
      <c r="L860" t="s">
        <v>2195</v>
      </c>
      <c r="M860" t="s">
        <v>106</v>
      </c>
      <c r="N860" t="s">
        <v>95</v>
      </c>
      <c r="O860" t="s">
        <v>45</v>
      </c>
      <c r="P860">
        <v>2</v>
      </c>
      <c r="Q860">
        <v>1360.09</v>
      </c>
      <c r="R860" s="19">
        <v>0</v>
      </c>
      <c r="S860" s="21">
        <v>0</v>
      </c>
      <c r="T860">
        <v>2720.18</v>
      </c>
      <c r="U860" s="2">
        <v>2720.18</v>
      </c>
      <c r="V860">
        <v>101.27</v>
      </c>
      <c r="W860">
        <v>1502.44</v>
      </c>
      <c r="X860" s="2">
        <v>1116.47</v>
      </c>
      <c r="Y860">
        <v>0.41039999999999999</v>
      </c>
      <c r="Z860">
        <v>5</v>
      </c>
      <c r="AA860" t="s">
        <v>61</v>
      </c>
      <c r="AB860" t="s">
        <v>47</v>
      </c>
      <c r="AD860">
        <v>3</v>
      </c>
      <c r="AE860" s="2">
        <v>2557.73</v>
      </c>
      <c r="AF860">
        <v>1.0634999999999999</v>
      </c>
      <c r="AG860" t="s">
        <v>49</v>
      </c>
      <c r="AH860" s="23">
        <f>SUM(Amazon_Data_Set[[#This Row],[Gross Sales]]-Amazon_Data_Set[[#This Row],[Discount Amount]])</f>
        <v>2720.18</v>
      </c>
    </row>
    <row r="861" spans="1:34">
      <c r="A861" t="s">
        <v>2196</v>
      </c>
      <c r="B861" s="1">
        <v>46181</v>
      </c>
      <c r="C861" t="str">
        <f>TEXT(Amazon_Data_Set[[#This Row],[Order Date]],"mmm")</f>
        <v>Jun</v>
      </c>
      <c r="D861" t="s">
        <v>362</v>
      </c>
      <c r="E861" t="s">
        <v>109</v>
      </c>
      <c r="F861" t="s">
        <v>154</v>
      </c>
      <c r="G861" t="s">
        <v>111</v>
      </c>
      <c r="H861" t="s">
        <v>83</v>
      </c>
      <c r="I861" t="s">
        <v>84</v>
      </c>
      <c r="J861" t="s">
        <v>332</v>
      </c>
      <c r="K861" t="s">
        <v>333</v>
      </c>
      <c r="L861" t="s">
        <v>2197</v>
      </c>
      <c r="M861" t="s">
        <v>106</v>
      </c>
      <c r="N861" t="s">
        <v>77</v>
      </c>
      <c r="O861" t="s">
        <v>45</v>
      </c>
      <c r="P861">
        <v>4</v>
      </c>
      <c r="Q861">
        <v>501.76</v>
      </c>
      <c r="R861" s="19">
        <v>0.25</v>
      </c>
      <c r="S861" s="21">
        <v>501.76</v>
      </c>
      <c r="T861">
        <v>2007.04</v>
      </c>
      <c r="U861" s="2">
        <v>1505.28</v>
      </c>
      <c r="V861">
        <v>1.23</v>
      </c>
      <c r="W861">
        <v>832.22</v>
      </c>
      <c r="X861" s="2">
        <v>671.83</v>
      </c>
      <c r="Y861">
        <v>0.44629999999999997</v>
      </c>
      <c r="Z861">
        <v>2</v>
      </c>
      <c r="AA861" t="s">
        <v>46</v>
      </c>
      <c r="AB861" t="s">
        <v>47</v>
      </c>
      <c r="AD861">
        <v>5</v>
      </c>
      <c r="AE861" s="2">
        <v>1797.21</v>
      </c>
      <c r="AF861">
        <v>0.83760000000000001</v>
      </c>
      <c r="AG861" t="s">
        <v>49</v>
      </c>
      <c r="AH861" s="23">
        <f>SUM(Amazon_Data_Set[[#This Row],[Gross Sales]]-Amazon_Data_Set[[#This Row],[Discount Amount]])</f>
        <v>1505.28</v>
      </c>
    </row>
    <row r="862" spans="1:34">
      <c r="A862" t="s">
        <v>2198</v>
      </c>
      <c r="B862" s="1">
        <v>46117</v>
      </c>
      <c r="C862" t="str">
        <f>TEXT(Amazon_Data_Set[[#This Row],[Order Date]],"mmm")</f>
        <v>Apr</v>
      </c>
      <c r="D862" t="s">
        <v>1126</v>
      </c>
      <c r="E862" t="s">
        <v>109</v>
      </c>
      <c r="F862" t="s">
        <v>154</v>
      </c>
      <c r="G862" t="s">
        <v>111</v>
      </c>
      <c r="H862" t="s">
        <v>38</v>
      </c>
      <c r="I862" t="s">
        <v>39</v>
      </c>
      <c r="J862" t="s">
        <v>40</v>
      </c>
      <c r="K862" t="s">
        <v>41</v>
      </c>
      <c r="L862" t="s">
        <v>2199</v>
      </c>
      <c r="M862" t="s">
        <v>106</v>
      </c>
      <c r="N862" t="s">
        <v>60</v>
      </c>
      <c r="O862" t="s">
        <v>45</v>
      </c>
      <c r="P862">
        <v>3</v>
      </c>
      <c r="Q862">
        <v>2780.33</v>
      </c>
      <c r="R862" s="19">
        <v>0</v>
      </c>
      <c r="S862" s="21">
        <v>0</v>
      </c>
      <c r="T862">
        <v>8340.99</v>
      </c>
      <c r="U862" s="2">
        <v>8340.99</v>
      </c>
      <c r="V862">
        <v>20.49</v>
      </c>
      <c r="W862">
        <v>5884.37</v>
      </c>
      <c r="X862" s="2">
        <v>2436.13</v>
      </c>
      <c r="Y862">
        <v>0.29210000000000003</v>
      </c>
      <c r="Z862">
        <v>5</v>
      </c>
      <c r="AA862" t="s">
        <v>61</v>
      </c>
      <c r="AB862" t="s">
        <v>48</v>
      </c>
      <c r="AC862" t="s">
        <v>158</v>
      </c>
      <c r="AD862">
        <v>5</v>
      </c>
      <c r="AE862" s="2">
        <v>7652.06</v>
      </c>
      <c r="AF862">
        <v>1.0900000000000001</v>
      </c>
      <c r="AG862" t="s">
        <v>49</v>
      </c>
      <c r="AH862" s="23">
        <f>SUM(Amazon_Data_Set[[#This Row],[Gross Sales]]-Amazon_Data_Set[[#This Row],[Discount Amount]])</f>
        <v>8340.99</v>
      </c>
    </row>
    <row r="863" spans="1:34">
      <c r="A863" t="s">
        <v>2200</v>
      </c>
      <c r="B863" s="1">
        <v>46282</v>
      </c>
      <c r="C863" t="str">
        <f>TEXT(Amazon_Data_Set[[#This Row],[Order Date]],"mmm")</f>
        <v>Sep</v>
      </c>
      <c r="D863" t="s">
        <v>1356</v>
      </c>
      <c r="E863" t="s">
        <v>167</v>
      </c>
      <c r="F863" t="s">
        <v>168</v>
      </c>
      <c r="G863" t="s">
        <v>111</v>
      </c>
      <c r="H863" t="s">
        <v>90</v>
      </c>
      <c r="I863" t="s">
        <v>112</v>
      </c>
      <c r="J863" t="s">
        <v>134</v>
      </c>
      <c r="K863" t="s">
        <v>135</v>
      </c>
      <c r="L863" t="s">
        <v>2201</v>
      </c>
      <c r="M863" t="s">
        <v>43</v>
      </c>
      <c r="N863" t="s">
        <v>95</v>
      </c>
      <c r="O863" t="s">
        <v>130</v>
      </c>
      <c r="P863">
        <v>3</v>
      </c>
      <c r="Q863">
        <v>87.82</v>
      </c>
      <c r="R863" s="19">
        <v>0.25</v>
      </c>
      <c r="S863" s="21">
        <v>65.86</v>
      </c>
      <c r="T863">
        <v>263.45999999999998</v>
      </c>
      <c r="U863" s="2">
        <v>197.6</v>
      </c>
      <c r="V863">
        <v>203.73</v>
      </c>
      <c r="W863">
        <v>96.96</v>
      </c>
      <c r="X863" s="2">
        <v>-103.09</v>
      </c>
      <c r="Y863">
        <v>-0.52170000000000005</v>
      </c>
      <c r="Z863">
        <v>3</v>
      </c>
      <c r="AA863" t="s">
        <v>131</v>
      </c>
      <c r="AB863" t="s">
        <v>47</v>
      </c>
      <c r="AE863" s="2">
        <v>186.06</v>
      </c>
      <c r="AF863">
        <v>1.0620000000000001</v>
      </c>
      <c r="AG863" t="s">
        <v>49</v>
      </c>
      <c r="AH863" s="23">
        <f>SUM(Amazon_Data_Set[[#This Row],[Gross Sales]]-Amazon_Data_Set[[#This Row],[Discount Amount]])</f>
        <v>197.59999999999997</v>
      </c>
    </row>
    <row r="864" spans="1:34">
      <c r="A864" t="s">
        <v>2202</v>
      </c>
      <c r="B864" s="1">
        <v>46119</v>
      </c>
      <c r="C864" t="str">
        <f>TEXT(Amazon_Data_Set[[#This Row],[Order Date]],"mmm")</f>
        <v>Apr</v>
      </c>
      <c r="D864" t="s">
        <v>796</v>
      </c>
      <c r="E864" t="s">
        <v>100</v>
      </c>
      <c r="F864" t="s">
        <v>179</v>
      </c>
      <c r="G864" t="s">
        <v>54</v>
      </c>
      <c r="H864" t="s">
        <v>142</v>
      </c>
      <c r="I864" t="s">
        <v>209</v>
      </c>
      <c r="J864" t="s">
        <v>243</v>
      </c>
      <c r="K864" t="s">
        <v>145</v>
      </c>
      <c r="L864" t="s">
        <v>2203</v>
      </c>
      <c r="M864" t="s">
        <v>106</v>
      </c>
      <c r="N864" t="s">
        <v>44</v>
      </c>
      <c r="O864" t="s">
        <v>45</v>
      </c>
      <c r="P864">
        <v>4</v>
      </c>
      <c r="Q864">
        <v>3536.43</v>
      </c>
      <c r="R864" s="19">
        <v>0.2</v>
      </c>
      <c r="S864" s="21">
        <v>2829.14</v>
      </c>
      <c r="T864">
        <v>14145.72</v>
      </c>
      <c r="U864" s="2">
        <v>11316.58</v>
      </c>
      <c r="V864">
        <v>115.18</v>
      </c>
      <c r="W864">
        <v>5901.41</v>
      </c>
      <c r="X864" s="2">
        <v>5299.99</v>
      </c>
      <c r="Y864">
        <v>0.46829999999999999</v>
      </c>
      <c r="Z864">
        <v>5</v>
      </c>
      <c r="AA864" t="s">
        <v>61</v>
      </c>
      <c r="AB864" t="s">
        <v>47</v>
      </c>
      <c r="AD864">
        <v>5</v>
      </c>
      <c r="AE864" s="2">
        <v>12129.58</v>
      </c>
      <c r="AF864">
        <v>0.93300000000000005</v>
      </c>
      <c r="AG864" t="s">
        <v>347</v>
      </c>
      <c r="AH864" s="23">
        <f>SUM(Amazon_Data_Set[[#This Row],[Gross Sales]]-Amazon_Data_Set[[#This Row],[Discount Amount]])</f>
        <v>11316.58</v>
      </c>
    </row>
    <row r="865" spans="1:34">
      <c r="A865" t="s">
        <v>2204</v>
      </c>
      <c r="B865" s="1">
        <v>46342</v>
      </c>
      <c r="C865" t="str">
        <f>TEXT(Amazon_Data_Set[[#This Row],[Order Date]],"mmm")</f>
        <v>Nov</v>
      </c>
      <c r="D865" t="s">
        <v>1010</v>
      </c>
      <c r="E865" t="s">
        <v>140</v>
      </c>
      <c r="F865" t="s">
        <v>141</v>
      </c>
      <c r="G865" t="s">
        <v>54</v>
      </c>
      <c r="H865" t="s">
        <v>142</v>
      </c>
      <c r="I865" t="s">
        <v>214</v>
      </c>
      <c r="J865" t="s">
        <v>308</v>
      </c>
      <c r="K865" t="s">
        <v>309</v>
      </c>
      <c r="L865" t="s">
        <v>2205</v>
      </c>
      <c r="M865" t="s">
        <v>43</v>
      </c>
      <c r="N865" t="s">
        <v>70</v>
      </c>
      <c r="O865" t="s">
        <v>45</v>
      </c>
      <c r="P865">
        <v>4</v>
      </c>
      <c r="Q865">
        <v>7158.95</v>
      </c>
      <c r="R865" s="19">
        <v>0.15</v>
      </c>
      <c r="S865" s="21">
        <v>4295.37</v>
      </c>
      <c r="T865">
        <v>28635.8</v>
      </c>
      <c r="U865" s="2">
        <v>24340.43</v>
      </c>
      <c r="V865">
        <v>105.35</v>
      </c>
      <c r="W865">
        <v>13698.99</v>
      </c>
      <c r="X865" s="2">
        <v>10536.09</v>
      </c>
      <c r="Y865">
        <v>0.43290000000000001</v>
      </c>
      <c r="Z865">
        <v>4</v>
      </c>
      <c r="AA865" t="s">
        <v>46</v>
      </c>
      <c r="AB865" t="s">
        <v>47</v>
      </c>
      <c r="AD865">
        <v>5</v>
      </c>
      <c r="AE865" s="2">
        <v>21707.17</v>
      </c>
      <c r="AF865">
        <v>1.1213</v>
      </c>
      <c r="AG865" t="s">
        <v>49</v>
      </c>
      <c r="AH865" s="23">
        <f>SUM(Amazon_Data_Set[[#This Row],[Gross Sales]]-Amazon_Data_Set[[#This Row],[Discount Amount]])</f>
        <v>24340.43</v>
      </c>
    </row>
    <row r="866" spans="1:34">
      <c r="A866" t="s">
        <v>2206</v>
      </c>
      <c r="B866" s="1">
        <v>46244</v>
      </c>
      <c r="C866" t="str">
        <f>TEXT(Amazon_Data_Set[[#This Row],[Order Date]],"mmm")</f>
        <v>Aug</v>
      </c>
      <c r="D866" t="s">
        <v>761</v>
      </c>
      <c r="E866" t="s">
        <v>235</v>
      </c>
      <c r="F866" t="s">
        <v>236</v>
      </c>
      <c r="G866" t="s">
        <v>82</v>
      </c>
      <c r="H866" t="s">
        <v>55</v>
      </c>
      <c r="I866" t="s">
        <v>56</v>
      </c>
      <c r="J866" t="s">
        <v>448</v>
      </c>
      <c r="K866" t="s">
        <v>170</v>
      </c>
      <c r="L866" t="s">
        <v>2207</v>
      </c>
      <c r="M866" t="s">
        <v>43</v>
      </c>
      <c r="N866" t="s">
        <v>60</v>
      </c>
      <c r="O866" t="s">
        <v>45</v>
      </c>
      <c r="P866">
        <v>3</v>
      </c>
      <c r="Q866">
        <v>8679.4500000000007</v>
      </c>
      <c r="R866" s="19">
        <v>0.3</v>
      </c>
      <c r="S866" s="21">
        <v>7811.5</v>
      </c>
      <c r="T866">
        <v>26038.35</v>
      </c>
      <c r="U866" s="2">
        <v>18226.849999999999</v>
      </c>
      <c r="V866">
        <v>218.83</v>
      </c>
      <c r="W866">
        <v>12884.44</v>
      </c>
      <c r="X866" s="2">
        <v>5123.58</v>
      </c>
      <c r="Y866">
        <v>0.28110000000000002</v>
      </c>
      <c r="Z866">
        <v>6</v>
      </c>
      <c r="AA866" t="s">
        <v>61</v>
      </c>
      <c r="AB866" t="s">
        <v>47</v>
      </c>
      <c r="AD866">
        <v>5</v>
      </c>
      <c r="AE866" s="2">
        <v>22545.26</v>
      </c>
      <c r="AF866">
        <v>0.8085</v>
      </c>
      <c r="AG866" t="s">
        <v>49</v>
      </c>
      <c r="AH866" s="23">
        <f>SUM(Amazon_Data_Set[[#This Row],[Gross Sales]]-Amazon_Data_Set[[#This Row],[Discount Amount]])</f>
        <v>18226.849999999999</v>
      </c>
    </row>
    <row r="867" spans="1:34">
      <c r="A867" t="s">
        <v>2208</v>
      </c>
      <c r="B867" s="1">
        <v>46272</v>
      </c>
      <c r="C867" t="str">
        <f>TEXT(Amazon_Data_Set[[#This Row],[Order Date]],"mmm")</f>
        <v>Sep</v>
      </c>
      <c r="D867" t="s">
        <v>1530</v>
      </c>
      <c r="E867" t="s">
        <v>194</v>
      </c>
      <c r="F867" t="s">
        <v>195</v>
      </c>
      <c r="G867" t="s">
        <v>111</v>
      </c>
      <c r="H867" t="s">
        <v>83</v>
      </c>
      <c r="I867" t="s">
        <v>102</v>
      </c>
      <c r="J867" t="s">
        <v>103</v>
      </c>
      <c r="K867" t="s">
        <v>104</v>
      </c>
      <c r="L867" t="s">
        <v>2209</v>
      </c>
      <c r="M867" t="s">
        <v>43</v>
      </c>
      <c r="N867" t="s">
        <v>44</v>
      </c>
      <c r="O867" t="s">
        <v>96</v>
      </c>
      <c r="P867">
        <v>1</v>
      </c>
      <c r="Q867">
        <v>153.15</v>
      </c>
      <c r="R867" s="19">
        <v>0.1</v>
      </c>
      <c r="S867" s="21">
        <v>15.32</v>
      </c>
      <c r="T867">
        <v>153.15</v>
      </c>
      <c r="U867" s="2">
        <v>137.83000000000001</v>
      </c>
      <c r="V867">
        <v>195.44</v>
      </c>
      <c r="W867">
        <v>90.94</v>
      </c>
      <c r="X867" s="2">
        <v>-148.55000000000001</v>
      </c>
      <c r="Y867">
        <v>-1.0778000000000001</v>
      </c>
      <c r="Z867">
        <v>0</v>
      </c>
      <c r="AA867" t="s">
        <v>97</v>
      </c>
      <c r="AB867" t="s">
        <v>47</v>
      </c>
      <c r="AE867" s="2">
        <v>133.44</v>
      </c>
      <c r="AF867">
        <v>1.0328999999999999</v>
      </c>
      <c r="AG867" t="s">
        <v>49</v>
      </c>
      <c r="AH867" s="23">
        <f>SUM(Amazon_Data_Set[[#This Row],[Gross Sales]]-Amazon_Data_Set[[#This Row],[Discount Amount]])</f>
        <v>137.83000000000001</v>
      </c>
    </row>
    <row r="868" spans="1:34">
      <c r="A868" t="s">
        <v>2210</v>
      </c>
      <c r="B868" s="1">
        <v>46205</v>
      </c>
      <c r="C868" t="str">
        <f>TEXT(Amazon_Data_Set[[#This Row],[Order Date]],"mmm")</f>
        <v>Jul</v>
      </c>
      <c r="D868" t="s">
        <v>2211</v>
      </c>
      <c r="E868" t="s">
        <v>235</v>
      </c>
      <c r="F868" t="s">
        <v>236</v>
      </c>
      <c r="G868" t="s">
        <v>82</v>
      </c>
      <c r="H868" t="s">
        <v>142</v>
      </c>
      <c r="I868" t="s">
        <v>214</v>
      </c>
      <c r="J868" t="s">
        <v>215</v>
      </c>
      <c r="K868" t="s">
        <v>216</v>
      </c>
      <c r="L868" t="s">
        <v>2212</v>
      </c>
      <c r="M868" t="s">
        <v>43</v>
      </c>
      <c r="N868" t="s">
        <v>60</v>
      </c>
      <c r="O868" t="s">
        <v>96</v>
      </c>
      <c r="P868">
        <v>3</v>
      </c>
      <c r="Q868">
        <v>2112.9</v>
      </c>
      <c r="R868" s="19">
        <v>0.15</v>
      </c>
      <c r="S868" s="21">
        <v>950.8</v>
      </c>
      <c r="T868">
        <v>6338.7</v>
      </c>
      <c r="U868" s="2">
        <v>5387.9</v>
      </c>
      <c r="V868">
        <v>32.6</v>
      </c>
      <c r="W868">
        <v>3739.93</v>
      </c>
      <c r="X868" s="2">
        <v>1615.37</v>
      </c>
      <c r="Y868">
        <v>0.29980000000000001</v>
      </c>
      <c r="Z868">
        <v>0</v>
      </c>
      <c r="AA868" t="s">
        <v>97</v>
      </c>
      <c r="AB868" t="s">
        <v>47</v>
      </c>
      <c r="AE868" s="2">
        <v>6538.77</v>
      </c>
      <c r="AF868">
        <v>0.82399999999999995</v>
      </c>
      <c r="AG868" t="s">
        <v>49</v>
      </c>
      <c r="AH868" s="23">
        <f>SUM(Amazon_Data_Set[[#This Row],[Gross Sales]]-Amazon_Data_Set[[#This Row],[Discount Amount]])</f>
        <v>5387.9</v>
      </c>
    </row>
    <row r="869" spans="1:34">
      <c r="A869" t="s">
        <v>2213</v>
      </c>
      <c r="B869" s="1">
        <v>46355</v>
      </c>
      <c r="C869" t="str">
        <f>TEXT(Amazon_Data_Set[[#This Row],[Order Date]],"mmm")</f>
        <v>Nov</v>
      </c>
      <c r="D869" t="s">
        <v>486</v>
      </c>
      <c r="E869" t="s">
        <v>80</v>
      </c>
      <c r="F869" t="s">
        <v>81</v>
      </c>
      <c r="G869" t="s">
        <v>82</v>
      </c>
      <c r="H869" t="s">
        <v>55</v>
      </c>
      <c r="I869" t="s">
        <v>56</v>
      </c>
      <c r="J869" t="s">
        <v>448</v>
      </c>
      <c r="K869" t="s">
        <v>170</v>
      </c>
      <c r="L869" t="s">
        <v>2214</v>
      </c>
      <c r="M869" t="s">
        <v>106</v>
      </c>
      <c r="N869" t="s">
        <v>44</v>
      </c>
      <c r="O869" t="s">
        <v>130</v>
      </c>
      <c r="P869">
        <v>1</v>
      </c>
      <c r="Q869">
        <v>4779.1899999999996</v>
      </c>
      <c r="R869" s="19">
        <v>0.25</v>
      </c>
      <c r="S869" s="21">
        <v>1194.8</v>
      </c>
      <c r="T869">
        <v>4779.1899999999996</v>
      </c>
      <c r="U869" s="2">
        <v>3584.39</v>
      </c>
      <c r="V869">
        <v>38.24</v>
      </c>
      <c r="W869">
        <v>2342.73</v>
      </c>
      <c r="X869" s="2">
        <v>1203.42</v>
      </c>
      <c r="Y869">
        <v>0.3357</v>
      </c>
      <c r="Z869">
        <v>3</v>
      </c>
      <c r="AA869" t="s">
        <v>131</v>
      </c>
      <c r="AB869" t="s">
        <v>47</v>
      </c>
      <c r="AE869" s="2">
        <v>3209.39</v>
      </c>
      <c r="AF869">
        <v>1.1168</v>
      </c>
      <c r="AG869" t="s">
        <v>49</v>
      </c>
      <c r="AH869" s="23">
        <f>SUM(Amazon_Data_Set[[#This Row],[Gross Sales]]-Amazon_Data_Set[[#This Row],[Discount Amount]])</f>
        <v>3584.3899999999994</v>
      </c>
    </row>
    <row r="870" spans="1:34">
      <c r="A870" t="s">
        <v>2215</v>
      </c>
      <c r="B870" s="1">
        <v>46239</v>
      </c>
      <c r="C870" t="str">
        <f>TEXT(Amazon_Data_Set[[#This Row],[Order Date]],"mmm")</f>
        <v>Aug</v>
      </c>
      <c r="D870" t="s">
        <v>2010</v>
      </c>
      <c r="E870" t="s">
        <v>149</v>
      </c>
      <c r="F870" t="s">
        <v>150</v>
      </c>
      <c r="G870" t="s">
        <v>37</v>
      </c>
      <c r="H870" t="s">
        <v>55</v>
      </c>
      <c r="I870" t="s">
        <v>56</v>
      </c>
      <c r="J870" t="s">
        <v>366</v>
      </c>
      <c r="K870" t="s">
        <v>367</v>
      </c>
      <c r="L870" t="s">
        <v>2216</v>
      </c>
      <c r="M870" t="s">
        <v>106</v>
      </c>
      <c r="N870" t="s">
        <v>95</v>
      </c>
      <c r="O870" t="s">
        <v>45</v>
      </c>
      <c r="P870">
        <v>3</v>
      </c>
      <c r="Q870">
        <v>28537.48</v>
      </c>
      <c r="R870" s="19">
        <v>0.1</v>
      </c>
      <c r="S870" s="21">
        <v>8561.24</v>
      </c>
      <c r="T870">
        <v>85612.44</v>
      </c>
      <c r="U870" s="2">
        <v>77051.199999999997</v>
      </c>
      <c r="V870">
        <v>97.76</v>
      </c>
      <c r="W870">
        <v>57909.81</v>
      </c>
      <c r="X870" s="2">
        <v>19043.63</v>
      </c>
      <c r="Y870">
        <v>0.2472</v>
      </c>
      <c r="Z870">
        <v>5</v>
      </c>
      <c r="AA870" t="s">
        <v>61</v>
      </c>
      <c r="AB870" t="s">
        <v>47</v>
      </c>
      <c r="AD870">
        <v>5</v>
      </c>
      <c r="AE870" s="2">
        <v>71264.31</v>
      </c>
      <c r="AF870">
        <v>1.0811999999999999</v>
      </c>
      <c r="AG870" t="s">
        <v>49</v>
      </c>
      <c r="AH870" s="23">
        <f>SUM(Amazon_Data_Set[[#This Row],[Gross Sales]]-Amazon_Data_Set[[#This Row],[Discount Amount]])</f>
        <v>77051.199999999997</v>
      </c>
    </row>
    <row r="871" spans="1:34">
      <c r="A871" t="s">
        <v>2217</v>
      </c>
      <c r="B871" s="1">
        <v>46079</v>
      </c>
      <c r="C871" t="str">
        <f>TEXT(Amazon_Data_Set[[#This Row],[Order Date]],"mmm")</f>
        <v>Feb</v>
      </c>
      <c r="D871" t="s">
        <v>775</v>
      </c>
      <c r="E871" t="s">
        <v>35</v>
      </c>
      <c r="F871" t="s">
        <v>36</v>
      </c>
      <c r="G871" t="s">
        <v>37</v>
      </c>
      <c r="H871" t="s">
        <v>55</v>
      </c>
      <c r="I871" t="s">
        <v>73</v>
      </c>
      <c r="J871" t="s">
        <v>230</v>
      </c>
      <c r="K871" t="s">
        <v>231</v>
      </c>
      <c r="L871" t="s">
        <v>2218</v>
      </c>
      <c r="M871" t="s">
        <v>106</v>
      </c>
      <c r="N871" t="s">
        <v>77</v>
      </c>
      <c r="O871" t="s">
        <v>130</v>
      </c>
      <c r="P871">
        <v>5</v>
      </c>
      <c r="Q871">
        <v>42218.47</v>
      </c>
      <c r="R871" s="19">
        <v>0</v>
      </c>
      <c r="S871" s="21">
        <v>0</v>
      </c>
      <c r="T871">
        <v>211092.35</v>
      </c>
      <c r="U871" s="2">
        <v>211092.35</v>
      </c>
      <c r="V871">
        <v>107.77</v>
      </c>
      <c r="W871">
        <v>129784.75</v>
      </c>
      <c r="X871" s="2">
        <v>81199.83</v>
      </c>
      <c r="Y871">
        <v>0.38469999999999999</v>
      </c>
      <c r="Z871">
        <v>1</v>
      </c>
      <c r="AA871" t="s">
        <v>131</v>
      </c>
      <c r="AB871" t="s">
        <v>47</v>
      </c>
      <c r="AE871" s="2">
        <v>248081.38</v>
      </c>
      <c r="AF871">
        <v>0.85089999999999999</v>
      </c>
      <c r="AG871" t="s">
        <v>49</v>
      </c>
      <c r="AH871" s="23">
        <f>SUM(Amazon_Data_Set[[#This Row],[Gross Sales]]-Amazon_Data_Set[[#This Row],[Discount Amount]])</f>
        <v>211092.35</v>
      </c>
    </row>
    <row r="872" spans="1:34">
      <c r="A872" t="s">
        <v>2219</v>
      </c>
      <c r="B872" s="1">
        <v>46184</v>
      </c>
      <c r="C872" t="str">
        <f>TEXT(Amazon_Data_Set[[#This Row],[Order Date]],"mmm")</f>
        <v>Jun</v>
      </c>
      <c r="D872" t="s">
        <v>362</v>
      </c>
      <c r="E872" t="s">
        <v>149</v>
      </c>
      <c r="F872" t="s">
        <v>150</v>
      </c>
      <c r="G872" t="s">
        <v>37</v>
      </c>
      <c r="H872" t="s">
        <v>83</v>
      </c>
      <c r="I872" t="s">
        <v>188</v>
      </c>
      <c r="J872" t="s">
        <v>189</v>
      </c>
      <c r="K872" t="s">
        <v>190</v>
      </c>
      <c r="L872" t="s">
        <v>2220</v>
      </c>
      <c r="M872" t="s">
        <v>43</v>
      </c>
      <c r="N872" t="s">
        <v>70</v>
      </c>
      <c r="O872" t="s">
        <v>96</v>
      </c>
      <c r="P872">
        <v>5</v>
      </c>
      <c r="Q872">
        <v>1840.71</v>
      </c>
      <c r="R872" s="19">
        <v>0.1</v>
      </c>
      <c r="S872" s="21">
        <v>920.36</v>
      </c>
      <c r="T872">
        <v>9203.5499999999993</v>
      </c>
      <c r="U872" s="2">
        <v>8283.19</v>
      </c>
      <c r="V872">
        <v>88.37</v>
      </c>
      <c r="W872">
        <v>5356.57</v>
      </c>
      <c r="X872" s="2">
        <v>2838.25</v>
      </c>
      <c r="Y872">
        <v>0.3427</v>
      </c>
      <c r="Z872">
        <v>0</v>
      </c>
      <c r="AA872" t="s">
        <v>97</v>
      </c>
      <c r="AB872" t="s">
        <v>47</v>
      </c>
      <c r="AE872" s="2">
        <v>9476.7199999999993</v>
      </c>
      <c r="AF872">
        <v>0.87409999999999999</v>
      </c>
      <c r="AG872" t="s">
        <v>49</v>
      </c>
      <c r="AH872" s="23">
        <f>SUM(Amazon_Data_Set[[#This Row],[Gross Sales]]-Amazon_Data_Set[[#This Row],[Discount Amount]])</f>
        <v>8283.1899999999987</v>
      </c>
    </row>
    <row r="873" spans="1:34">
      <c r="A873" t="s">
        <v>2221</v>
      </c>
      <c r="B873" s="1">
        <v>46113</v>
      </c>
      <c r="C873" t="str">
        <f>TEXT(Amazon_Data_Set[[#This Row],[Order Date]],"mmm")</f>
        <v>Apr</v>
      </c>
      <c r="D873" t="s">
        <v>1471</v>
      </c>
      <c r="E873" t="s">
        <v>167</v>
      </c>
      <c r="F873" t="s">
        <v>168</v>
      </c>
      <c r="G873" t="s">
        <v>111</v>
      </c>
      <c r="H873" t="s">
        <v>142</v>
      </c>
      <c r="I873" t="s">
        <v>209</v>
      </c>
      <c r="J873" t="s">
        <v>243</v>
      </c>
      <c r="K873" t="s">
        <v>145</v>
      </c>
      <c r="L873" t="s">
        <v>2222</v>
      </c>
      <c r="M873" t="s">
        <v>43</v>
      </c>
      <c r="N873" t="s">
        <v>95</v>
      </c>
      <c r="O873" t="s">
        <v>130</v>
      </c>
      <c r="P873">
        <v>3</v>
      </c>
      <c r="Q873">
        <v>7801.37</v>
      </c>
      <c r="R873" s="19">
        <v>0.1</v>
      </c>
      <c r="S873" s="21">
        <v>2340.41</v>
      </c>
      <c r="T873">
        <v>23404.11</v>
      </c>
      <c r="U873" s="2">
        <v>21063.7</v>
      </c>
      <c r="V873">
        <v>238.68</v>
      </c>
      <c r="W873">
        <v>15132.4</v>
      </c>
      <c r="X873" s="2">
        <v>5692.62</v>
      </c>
      <c r="Y873">
        <v>0.27029999999999998</v>
      </c>
      <c r="Z873">
        <v>3</v>
      </c>
      <c r="AA873" t="s">
        <v>131</v>
      </c>
      <c r="AB873" t="s">
        <v>47</v>
      </c>
      <c r="AE873" s="2">
        <v>23720.03</v>
      </c>
      <c r="AF873">
        <v>0.88800000000000001</v>
      </c>
      <c r="AG873" t="s">
        <v>49</v>
      </c>
      <c r="AH873" s="23">
        <f>SUM(Amazon_Data_Set[[#This Row],[Gross Sales]]-Amazon_Data_Set[[#This Row],[Discount Amount]])</f>
        <v>21063.7</v>
      </c>
    </row>
    <row r="874" spans="1:34">
      <c r="A874" t="s">
        <v>2223</v>
      </c>
      <c r="B874" s="1">
        <v>46202</v>
      </c>
      <c r="C874" t="str">
        <f>TEXT(Amazon_Data_Set[[#This Row],[Order Date]],"mmm")</f>
        <v>Jun</v>
      </c>
      <c r="D874" t="s">
        <v>291</v>
      </c>
      <c r="E874" t="s">
        <v>275</v>
      </c>
      <c r="F874" t="s">
        <v>276</v>
      </c>
      <c r="G874" t="s">
        <v>37</v>
      </c>
      <c r="H874" t="s">
        <v>142</v>
      </c>
      <c r="I874" t="s">
        <v>214</v>
      </c>
      <c r="J874" t="s">
        <v>308</v>
      </c>
      <c r="K874" t="s">
        <v>309</v>
      </c>
      <c r="L874" t="s">
        <v>2224</v>
      </c>
      <c r="M874" t="s">
        <v>43</v>
      </c>
      <c r="N874" t="s">
        <v>77</v>
      </c>
      <c r="O874" t="s">
        <v>130</v>
      </c>
      <c r="P874">
        <v>1</v>
      </c>
      <c r="Q874">
        <v>6748.32</v>
      </c>
      <c r="R874" s="19">
        <v>0.3</v>
      </c>
      <c r="S874" s="21">
        <v>2024.5</v>
      </c>
      <c r="T874">
        <v>6748.32</v>
      </c>
      <c r="U874" s="2">
        <v>4723.82</v>
      </c>
      <c r="V874">
        <v>159.94999999999999</v>
      </c>
      <c r="W874">
        <v>2437.39</v>
      </c>
      <c r="X874" s="2">
        <v>2126.48</v>
      </c>
      <c r="Y874">
        <v>0.45019999999999999</v>
      </c>
      <c r="Z874">
        <v>6</v>
      </c>
      <c r="AA874" t="s">
        <v>131</v>
      </c>
      <c r="AB874" t="s">
        <v>47</v>
      </c>
      <c r="AE874" s="2">
        <v>4498.3599999999997</v>
      </c>
      <c r="AF874">
        <v>1.0501</v>
      </c>
      <c r="AG874" t="s">
        <v>49</v>
      </c>
      <c r="AH874" s="23">
        <f>SUM(Amazon_Data_Set[[#This Row],[Gross Sales]]-Amazon_Data_Set[[#This Row],[Discount Amount]])</f>
        <v>4723.82</v>
      </c>
    </row>
    <row r="875" spans="1:34">
      <c r="A875" t="s">
        <v>2225</v>
      </c>
      <c r="B875" s="1">
        <v>46270</v>
      </c>
      <c r="C875" t="str">
        <f>TEXT(Amazon_Data_Set[[#This Row],[Order Date]],"mmm")</f>
        <v>Sep</v>
      </c>
      <c r="D875" t="s">
        <v>1113</v>
      </c>
      <c r="E875" t="s">
        <v>109</v>
      </c>
      <c r="F875" t="s">
        <v>110</v>
      </c>
      <c r="G875" t="s">
        <v>111</v>
      </c>
      <c r="H875" t="s">
        <v>142</v>
      </c>
      <c r="I875" t="s">
        <v>143</v>
      </c>
      <c r="J875" t="s">
        <v>200</v>
      </c>
      <c r="K875" t="s">
        <v>201</v>
      </c>
      <c r="L875" t="s">
        <v>2226</v>
      </c>
      <c r="M875" t="s">
        <v>43</v>
      </c>
      <c r="N875" t="s">
        <v>77</v>
      </c>
      <c r="O875" t="s">
        <v>45</v>
      </c>
      <c r="P875">
        <v>3</v>
      </c>
      <c r="Q875">
        <v>4197.9799999999996</v>
      </c>
      <c r="R875" s="19">
        <v>0.3</v>
      </c>
      <c r="S875" s="21">
        <v>3778.18</v>
      </c>
      <c r="T875">
        <v>12593.94</v>
      </c>
      <c r="U875" s="2">
        <v>8815.76</v>
      </c>
      <c r="V875">
        <v>18.38</v>
      </c>
      <c r="W875">
        <v>6521.99</v>
      </c>
      <c r="X875" s="2">
        <v>2275.39</v>
      </c>
      <c r="Y875">
        <v>0.2581</v>
      </c>
      <c r="Z875">
        <v>2</v>
      </c>
      <c r="AA875" t="s">
        <v>46</v>
      </c>
      <c r="AB875" t="s">
        <v>47</v>
      </c>
      <c r="AD875">
        <v>4</v>
      </c>
      <c r="AE875" s="2">
        <v>9560.75</v>
      </c>
      <c r="AF875">
        <v>0.92210000000000003</v>
      </c>
      <c r="AG875" t="s">
        <v>347</v>
      </c>
      <c r="AH875" s="23">
        <f>SUM(Amazon_Data_Set[[#This Row],[Gross Sales]]-Amazon_Data_Set[[#This Row],[Discount Amount]])</f>
        <v>8815.76</v>
      </c>
    </row>
    <row r="876" spans="1:34">
      <c r="A876" t="s">
        <v>2227</v>
      </c>
      <c r="B876" s="1">
        <v>46024</v>
      </c>
      <c r="C876" t="str">
        <f>TEXT(Amazon_Data_Set[[#This Row],[Order Date]],"mmm")</f>
        <v>Jan</v>
      </c>
      <c r="D876" t="s">
        <v>51</v>
      </c>
      <c r="E876" t="s">
        <v>118</v>
      </c>
      <c r="F876" t="s">
        <v>119</v>
      </c>
      <c r="G876" t="s">
        <v>82</v>
      </c>
      <c r="H876" t="s">
        <v>55</v>
      </c>
      <c r="I876" t="s">
        <v>120</v>
      </c>
      <c r="J876" t="s">
        <v>169</v>
      </c>
      <c r="K876" t="s">
        <v>170</v>
      </c>
      <c r="L876" t="s">
        <v>2228</v>
      </c>
      <c r="M876" t="s">
        <v>106</v>
      </c>
      <c r="N876" t="s">
        <v>60</v>
      </c>
      <c r="O876" t="s">
        <v>45</v>
      </c>
      <c r="P876">
        <v>1</v>
      </c>
      <c r="Q876">
        <v>25753.77</v>
      </c>
      <c r="R876" s="19">
        <v>0.15</v>
      </c>
      <c r="S876" s="21">
        <v>3863.07</v>
      </c>
      <c r="T876">
        <v>25753.77</v>
      </c>
      <c r="U876" s="2">
        <v>21890.7</v>
      </c>
      <c r="V876">
        <v>31.71</v>
      </c>
      <c r="W876">
        <v>13104.66</v>
      </c>
      <c r="X876" s="2">
        <v>8754.33</v>
      </c>
      <c r="Y876">
        <v>0.39989999999999998</v>
      </c>
      <c r="Z876">
        <v>8</v>
      </c>
      <c r="AA876" t="s">
        <v>61</v>
      </c>
      <c r="AB876" t="s">
        <v>47</v>
      </c>
      <c r="AD876">
        <v>3</v>
      </c>
      <c r="AE876" s="2">
        <v>20452.8</v>
      </c>
      <c r="AF876">
        <v>1.0703</v>
      </c>
      <c r="AG876" t="s">
        <v>49</v>
      </c>
      <c r="AH876" s="23">
        <f>SUM(Amazon_Data_Set[[#This Row],[Gross Sales]]-Amazon_Data_Set[[#This Row],[Discount Amount]])</f>
        <v>21890.7</v>
      </c>
    </row>
    <row r="877" spans="1:34">
      <c r="A877" t="s">
        <v>2229</v>
      </c>
      <c r="B877" s="1">
        <v>46165</v>
      </c>
      <c r="C877" t="str">
        <f>TEXT(Amazon_Data_Set[[#This Row],[Order Date]],"mmm")</f>
        <v>May</v>
      </c>
      <c r="D877" t="s">
        <v>681</v>
      </c>
      <c r="E877" t="s">
        <v>64</v>
      </c>
      <c r="F877" t="s">
        <v>65</v>
      </c>
      <c r="G877" t="s">
        <v>54</v>
      </c>
      <c r="H877" t="s">
        <v>90</v>
      </c>
      <c r="I877" t="s">
        <v>91</v>
      </c>
      <c r="J877" t="s">
        <v>92</v>
      </c>
      <c r="K877" t="s">
        <v>93</v>
      </c>
      <c r="L877" t="s">
        <v>2230</v>
      </c>
      <c r="M877" t="s">
        <v>106</v>
      </c>
      <c r="N877" t="s">
        <v>44</v>
      </c>
      <c r="O877" t="s">
        <v>45</v>
      </c>
      <c r="P877">
        <v>4</v>
      </c>
      <c r="Q877">
        <v>138.59</v>
      </c>
      <c r="R877" s="19">
        <v>0.25</v>
      </c>
      <c r="S877" s="21">
        <v>138.59</v>
      </c>
      <c r="T877">
        <v>554.36</v>
      </c>
      <c r="U877" s="2">
        <v>415.77</v>
      </c>
      <c r="V877">
        <v>109.88</v>
      </c>
      <c r="W877">
        <v>311.2</v>
      </c>
      <c r="X877" s="2">
        <v>-5.31</v>
      </c>
      <c r="Y877">
        <v>-1.2800000000000001E-2</v>
      </c>
      <c r="Z877">
        <v>1</v>
      </c>
      <c r="AA877" t="s">
        <v>46</v>
      </c>
      <c r="AB877" t="s">
        <v>47</v>
      </c>
      <c r="AD877">
        <v>4</v>
      </c>
      <c r="AE877" s="2">
        <v>445.62</v>
      </c>
      <c r="AF877">
        <v>0.93300000000000005</v>
      </c>
      <c r="AG877" t="s">
        <v>49</v>
      </c>
      <c r="AH877" s="23">
        <f>SUM(Amazon_Data_Set[[#This Row],[Gross Sales]]-Amazon_Data_Set[[#This Row],[Discount Amount]])</f>
        <v>415.77</v>
      </c>
    </row>
    <row r="878" spans="1:34">
      <c r="A878" t="s">
        <v>2231</v>
      </c>
      <c r="B878" s="1">
        <v>46268</v>
      </c>
      <c r="C878" t="str">
        <f>TEXT(Amazon_Data_Set[[#This Row],[Order Date]],"mmm")</f>
        <v>Sep</v>
      </c>
      <c r="D878" t="s">
        <v>1491</v>
      </c>
      <c r="E878" t="s">
        <v>52</v>
      </c>
      <c r="F878" t="s">
        <v>53</v>
      </c>
      <c r="G878" t="s">
        <v>54</v>
      </c>
      <c r="H878" t="s">
        <v>38</v>
      </c>
      <c r="I878" t="s">
        <v>66</v>
      </c>
      <c r="J878" t="s">
        <v>67</v>
      </c>
      <c r="K878" t="s">
        <v>68</v>
      </c>
      <c r="L878" t="s">
        <v>2232</v>
      </c>
      <c r="M878" t="s">
        <v>43</v>
      </c>
      <c r="N878" t="s">
        <v>70</v>
      </c>
      <c r="O878" t="s">
        <v>45</v>
      </c>
      <c r="P878">
        <v>2</v>
      </c>
      <c r="Q878">
        <v>2491.63</v>
      </c>
      <c r="R878" s="19">
        <v>0.1</v>
      </c>
      <c r="S878" s="21">
        <v>498.33</v>
      </c>
      <c r="T878">
        <v>4983.26</v>
      </c>
      <c r="U878" s="2">
        <v>4484.93</v>
      </c>
      <c r="V878">
        <v>235.9</v>
      </c>
      <c r="W878">
        <v>3152.21</v>
      </c>
      <c r="X878" s="2">
        <v>1096.82</v>
      </c>
      <c r="Y878">
        <v>0.24460000000000001</v>
      </c>
      <c r="Z878">
        <v>5</v>
      </c>
      <c r="AA878" t="s">
        <v>61</v>
      </c>
      <c r="AB878" t="s">
        <v>47</v>
      </c>
      <c r="AD878">
        <v>4</v>
      </c>
      <c r="AE878" s="2">
        <v>5348.64</v>
      </c>
      <c r="AF878">
        <v>0.83850000000000002</v>
      </c>
      <c r="AG878" t="s">
        <v>49</v>
      </c>
      <c r="AH878" s="23">
        <f>SUM(Amazon_Data_Set[[#This Row],[Gross Sales]]-Amazon_Data_Set[[#This Row],[Discount Amount]])</f>
        <v>4484.93</v>
      </c>
    </row>
    <row r="879" spans="1:34">
      <c r="A879" t="s">
        <v>2233</v>
      </c>
      <c r="B879" s="1">
        <v>46073</v>
      </c>
      <c r="C879" t="str">
        <f>TEXT(Amazon_Data_Set[[#This Row],[Order Date]],"mmm")</f>
        <v>Feb</v>
      </c>
      <c r="D879" t="s">
        <v>479</v>
      </c>
      <c r="E879" t="s">
        <v>100</v>
      </c>
      <c r="F879" t="s">
        <v>179</v>
      </c>
      <c r="G879" t="s">
        <v>54</v>
      </c>
      <c r="H879" t="s">
        <v>55</v>
      </c>
      <c r="I879" t="s">
        <v>120</v>
      </c>
      <c r="J879" t="s">
        <v>121</v>
      </c>
      <c r="K879" t="s">
        <v>122</v>
      </c>
      <c r="L879" t="s">
        <v>2234</v>
      </c>
      <c r="M879" t="s">
        <v>106</v>
      </c>
      <c r="N879" t="s">
        <v>77</v>
      </c>
      <c r="O879" t="s">
        <v>130</v>
      </c>
      <c r="P879">
        <v>1</v>
      </c>
      <c r="Q879">
        <v>18204.740000000002</v>
      </c>
      <c r="R879" s="19">
        <v>0.05</v>
      </c>
      <c r="S879" s="21">
        <v>910.24</v>
      </c>
      <c r="T879">
        <v>18204.740000000002</v>
      </c>
      <c r="U879" s="2">
        <v>17294.5</v>
      </c>
      <c r="V879">
        <v>26.66</v>
      </c>
      <c r="W879">
        <v>13479.27</v>
      </c>
      <c r="X879" s="2">
        <v>3788.57</v>
      </c>
      <c r="Y879">
        <v>0.21909999999999999</v>
      </c>
      <c r="Z879">
        <v>1</v>
      </c>
      <c r="AA879" t="s">
        <v>131</v>
      </c>
      <c r="AB879" t="s">
        <v>47</v>
      </c>
      <c r="AE879" s="2">
        <v>14735.69</v>
      </c>
      <c r="AF879">
        <v>1.1736</v>
      </c>
      <c r="AG879" t="s">
        <v>49</v>
      </c>
      <c r="AH879" s="23">
        <f>SUM(Amazon_Data_Set[[#This Row],[Gross Sales]]-Amazon_Data_Set[[#This Row],[Discount Amount]])</f>
        <v>17294.5</v>
      </c>
    </row>
    <row r="880" spans="1:34">
      <c r="A880" t="s">
        <v>2235</v>
      </c>
      <c r="B880" s="1">
        <v>46028</v>
      </c>
      <c r="C880" t="str">
        <f>TEXT(Amazon_Data_Set[[#This Row],[Order Date]],"mmm")</f>
        <v>Jan</v>
      </c>
      <c r="D880" t="s">
        <v>510</v>
      </c>
      <c r="E880" t="s">
        <v>167</v>
      </c>
      <c r="F880" t="s">
        <v>168</v>
      </c>
      <c r="G880" t="s">
        <v>111</v>
      </c>
      <c r="H880" t="s">
        <v>142</v>
      </c>
      <c r="I880" t="s">
        <v>209</v>
      </c>
      <c r="J880" t="s">
        <v>511</v>
      </c>
      <c r="K880" t="s">
        <v>512</v>
      </c>
      <c r="L880" t="s">
        <v>2236</v>
      </c>
      <c r="M880" t="s">
        <v>106</v>
      </c>
      <c r="N880" t="s">
        <v>70</v>
      </c>
      <c r="O880" t="s">
        <v>45</v>
      </c>
      <c r="P880">
        <v>4</v>
      </c>
      <c r="Q880">
        <v>3243.77</v>
      </c>
      <c r="R880" s="19">
        <v>0</v>
      </c>
      <c r="S880" s="21">
        <v>0</v>
      </c>
      <c r="T880">
        <v>12975.08</v>
      </c>
      <c r="U880" s="2">
        <v>12975.08</v>
      </c>
      <c r="V880">
        <v>146.72999999999999</v>
      </c>
      <c r="W880">
        <v>7465.13</v>
      </c>
      <c r="X880" s="2">
        <v>5363.22</v>
      </c>
      <c r="Y880">
        <v>0.4133</v>
      </c>
      <c r="Z880">
        <v>3</v>
      </c>
      <c r="AA880" t="s">
        <v>46</v>
      </c>
      <c r="AB880" t="s">
        <v>47</v>
      </c>
      <c r="AD880">
        <v>4</v>
      </c>
      <c r="AE880" s="2">
        <v>15834.41</v>
      </c>
      <c r="AF880">
        <v>0.81940000000000002</v>
      </c>
      <c r="AG880" t="s">
        <v>49</v>
      </c>
      <c r="AH880" s="23">
        <f>SUM(Amazon_Data_Set[[#This Row],[Gross Sales]]-Amazon_Data_Set[[#This Row],[Discount Amount]])</f>
        <v>12975.08</v>
      </c>
    </row>
    <row r="881" spans="1:34">
      <c r="A881" t="s">
        <v>2237</v>
      </c>
      <c r="B881" s="1">
        <v>46136</v>
      </c>
      <c r="C881" t="str">
        <f>TEXT(Amazon_Data_Set[[#This Row],[Order Date]],"mmm")</f>
        <v>Apr</v>
      </c>
      <c r="D881" t="s">
        <v>2010</v>
      </c>
      <c r="E881" t="s">
        <v>275</v>
      </c>
      <c r="F881" t="s">
        <v>276</v>
      </c>
      <c r="G881" t="s">
        <v>37</v>
      </c>
      <c r="H881" t="s">
        <v>90</v>
      </c>
      <c r="I881" t="s">
        <v>91</v>
      </c>
      <c r="J881" t="s">
        <v>92</v>
      </c>
      <c r="K881" t="s">
        <v>93</v>
      </c>
      <c r="L881" t="s">
        <v>2238</v>
      </c>
      <c r="M881" t="s">
        <v>43</v>
      </c>
      <c r="N881" t="s">
        <v>95</v>
      </c>
      <c r="O881" t="s">
        <v>130</v>
      </c>
      <c r="P881">
        <v>3</v>
      </c>
      <c r="Q881">
        <v>1631.57</v>
      </c>
      <c r="R881" s="19">
        <v>0.05</v>
      </c>
      <c r="S881" s="21">
        <v>244.74</v>
      </c>
      <c r="T881">
        <v>4894.71</v>
      </c>
      <c r="U881" s="2">
        <v>4649.97</v>
      </c>
      <c r="V881">
        <v>170.07</v>
      </c>
      <c r="W881">
        <v>3100.69</v>
      </c>
      <c r="X881" s="2">
        <v>1379.21</v>
      </c>
      <c r="Y881">
        <v>0.29659999999999997</v>
      </c>
      <c r="Z881">
        <v>6</v>
      </c>
      <c r="AA881" t="s">
        <v>131</v>
      </c>
      <c r="AB881" t="s">
        <v>47</v>
      </c>
      <c r="AE881" s="2">
        <v>4577.07</v>
      </c>
      <c r="AF881">
        <v>1.0159</v>
      </c>
      <c r="AG881" t="s">
        <v>49</v>
      </c>
      <c r="AH881" s="23">
        <f>SUM(Amazon_Data_Set[[#This Row],[Gross Sales]]-Amazon_Data_Set[[#This Row],[Discount Amount]])</f>
        <v>4649.97</v>
      </c>
    </row>
    <row r="882" spans="1:34">
      <c r="A882" t="s">
        <v>2239</v>
      </c>
      <c r="B882" s="1">
        <v>46200</v>
      </c>
      <c r="C882" t="str">
        <f>TEXT(Amazon_Data_Set[[#This Row],[Order Date]],"mmm")</f>
        <v>Jun</v>
      </c>
      <c r="D882" t="s">
        <v>2032</v>
      </c>
      <c r="E882" t="s">
        <v>80</v>
      </c>
      <c r="F882" t="s">
        <v>81</v>
      </c>
      <c r="G882" t="s">
        <v>82</v>
      </c>
      <c r="H882" t="s">
        <v>90</v>
      </c>
      <c r="I882" t="s">
        <v>252</v>
      </c>
      <c r="J882" t="s">
        <v>270</v>
      </c>
      <c r="K882" t="s">
        <v>271</v>
      </c>
      <c r="L882" t="s">
        <v>2240</v>
      </c>
      <c r="M882" t="s">
        <v>106</v>
      </c>
      <c r="N882" t="s">
        <v>77</v>
      </c>
      <c r="O882" t="s">
        <v>45</v>
      </c>
      <c r="P882">
        <v>4</v>
      </c>
      <c r="Q882">
        <v>756.44</v>
      </c>
      <c r="R882" s="19">
        <v>0</v>
      </c>
      <c r="S882" s="21">
        <v>0</v>
      </c>
      <c r="T882">
        <v>3025.76</v>
      </c>
      <c r="U882" s="2">
        <v>3025.76</v>
      </c>
      <c r="V882">
        <v>132.19999999999999</v>
      </c>
      <c r="W882">
        <v>1878.99</v>
      </c>
      <c r="X882" s="2">
        <v>1014.57</v>
      </c>
      <c r="Y882">
        <v>0.33529999999999999</v>
      </c>
      <c r="Z882">
        <v>2</v>
      </c>
      <c r="AA882" t="s">
        <v>46</v>
      </c>
      <c r="AB882" t="s">
        <v>47</v>
      </c>
      <c r="AD882">
        <v>4</v>
      </c>
      <c r="AE882" s="2">
        <v>2750.62</v>
      </c>
      <c r="AF882">
        <v>1.1000000000000001</v>
      </c>
      <c r="AG882" t="s">
        <v>49</v>
      </c>
      <c r="AH882" s="23">
        <f>SUM(Amazon_Data_Set[[#This Row],[Gross Sales]]-Amazon_Data_Set[[#This Row],[Discount Amount]])</f>
        <v>3025.76</v>
      </c>
    </row>
    <row r="883" spans="1:34">
      <c r="A883" t="s">
        <v>2241</v>
      </c>
      <c r="B883" s="1">
        <v>46385</v>
      </c>
      <c r="C883" t="str">
        <f>TEXT(Amazon_Data_Set[[#This Row],[Order Date]],"mmm")</f>
        <v>Dec</v>
      </c>
      <c r="D883" t="s">
        <v>1093</v>
      </c>
      <c r="E883" t="s">
        <v>149</v>
      </c>
      <c r="F883" t="s">
        <v>150</v>
      </c>
      <c r="G883" t="s">
        <v>37</v>
      </c>
      <c r="H883" t="s">
        <v>55</v>
      </c>
      <c r="I883" t="s">
        <v>120</v>
      </c>
      <c r="J883" t="s">
        <v>127</v>
      </c>
      <c r="K883" t="s">
        <v>128</v>
      </c>
      <c r="L883" t="s">
        <v>2242</v>
      </c>
      <c r="M883" t="s">
        <v>106</v>
      </c>
      <c r="N883" t="s">
        <v>77</v>
      </c>
      <c r="O883" t="s">
        <v>45</v>
      </c>
      <c r="P883">
        <v>2</v>
      </c>
      <c r="Q883">
        <v>42433.35</v>
      </c>
      <c r="R883" s="19">
        <v>0.05</v>
      </c>
      <c r="S883" s="21">
        <v>4243.34</v>
      </c>
      <c r="T883">
        <v>84866.7</v>
      </c>
      <c r="U883" s="2">
        <v>80623.360000000001</v>
      </c>
      <c r="V883">
        <v>185.92</v>
      </c>
      <c r="W883">
        <v>55325.47</v>
      </c>
      <c r="X883" s="2">
        <v>25111.97</v>
      </c>
      <c r="Y883">
        <v>0.3115</v>
      </c>
      <c r="Z883">
        <v>3</v>
      </c>
      <c r="AA883" t="s">
        <v>46</v>
      </c>
      <c r="AB883" t="s">
        <v>47</v>
      </c>
      <c r="AD883">
        <v>5</v>
      </c>
      <c r="AE883" s="2">
        <v>94972.67</v>
      </c>
      <c r="AF883">
        <v>0.84889999999999999</v>
      </c>
      <c r="AG883" t="s">
        <v>49</v>
      </c>
      <c r="AH883" s="23">
        <f>SUM(Amazon_Data_Set[[#This Row],[Gross Sales]]-Amazon_Data_Set[[#This Row],[Discount Amount]])</f>
        <v>80623.360000000001</v>
      </c>
    </row>
    <row r="884" spans="1:34">
      <c r="A884" t="s">
        <v>2243</v>
      </c>
      <c r="B884" s="1">
        <v>46180</v>
      </c>
      <c r="C884" t="str">
        <f>TEXT(Amazon_Data_Set[[#This Row],[Order Date]],"mmm")</f>
        <v>Jun</v>
      </c>
      <c r="D884" t="s">
        <v>133</v>
      </c>
      <c r="E884" t="s">
        <v>174</v>
      </c>
      <c r="F884" t="s">
        <v>175</v>
      </c>
      <c r="G884" t="s">
        <v>82</v>
      </c>
      <c r="H884" t="s">
        <v>83</v>
      </c>
      <c r="I884" t="s">
        <v>84</v>
      </c>
      <c r="J884" t="s">
        <v>85</v>
      </c>
      <c r="K884" t="s">
        <v>86</v>
      </c>
      <c r="L884" t="s">
        <v>2244</v>
      </c>
      <c r="M884" t="s">
        <v>106</v>
      </c>
      <c r="N884" t="s">
        <v>95</v>
      </c>
      <c r="O884" t="s">
        <v>45</v>
      </c>
      <c r="P884">
        <v>3</v>
      </c>
      <c r="Q884">
        <v>1089.3900000000001</v>
      </c>
      <c r="R884" s="19">
        <v>0</v>
      </c>
      <c r="S884" s="21">
        <v>0</v>
      </c>
      <c r="T884">
        <v>3268.17</v>
      </c>
      <c r="U884" s="2">
        <v>3268.17</v>
      </c>
      <c r="V884">
        <v>24.98</v>
      </c>
      <c r="W884">
        <v>2289.2199999999998</v>
      </c>
      <c r="X884" s="2">
        <v>953.97</v>
      </c>
      <c r="Y884">
        <v>0.29189999999999999</v>
      </c>
      <c r="Z884">
        <v>7</v>
      </c>
      <c r="AA884" t="s">
        <v>61</v>
      </c>
      <c r="AB884" t="s">
        <v>47</v>
      </c>
      <c r="AD884">
        <v>5</v>
      </c>
      <c r="AE884" s="2">
        <v>3241.99</v>
      </c>
      <c r="AF884">
        <v>1.0081</v>
      </c>
      <c r="AG884" t="s">
        <v>49</v>
      </c>
      <c r="AH884" s="23">
        <f>SUM(Amazon_Data_Set[[#This Row],[Gross Sales]]-Amazon_Data_Set[[#This Row],[Discount Amount]])</f>
        <v>3268.17</v>
      </c>
    </row>
    <row r="885" spans="1:34">
      <c r="A885" t="s">
        <v>2245</v>
      </c>
      <c r="B885" s="1">
        <v>46298</v>
      </c>
      <c r="C885" t="str">
        <f>TEXT(Amazon_Data_Set[[#This Row],[Order Date]],"mmm")</f>
        <v>Oct</v>
      </c>
      <c r="D885" t="s">
        <v>780</v>
      </c>
      <c r="E885" t="s">
        <v>174</v>
      </c>
      <c r="F885" t="s">
        <v>175</v>
      </c>
      <c r="G885" t="s">
        <v>82</v>
      </c>
      <c r="H885" t="s">
        <v>55</v>
      </c>
      <c r="I885" t="s">
        <v>120</v>
      </c>
      <c r="J885" t="s">
        <v>121</v>
      </c>
      <c r="K885" t="s">
        <v>122</v>
      </c>
      <c r="L885" t="s">
        <v>2246</v>
      </c>
      <c r="M885" t="s">
        <v>43</v>
      </c>
      <c r="N885" t="s">
        <v>60</v>
      </c>
      <c r="O885" t="s">
        <v>45</v>
      </c>
      <c r="P885">
        <v>3</v>
      </c>
      <c r="Q885">
        <v>1031.8499999999999</v>
      </c>
      <c r="R885" s="19">
        <v>0.05</v>
      </c>
      <c r="S885" s="21">
        <v>154.78</v>
      </c>
      <c r="T885">
        <v>3095.55</v>
      </c>
      <c r="U885" s="2">
        <v>2940.77</v>
      </c>
      <c r="V885">
        <v>122.1</v>
      </c>
      <c r="W885">
        <v>2103.25</v>
      </c>
      <c r="X885" s="2">
        <v>715.42</v>
      </c>
      <c r="Y885">
        <v>0.24329999999999999</v>
      </c>
      <c r="Z885">
        <v>1</v>
      </c>
      <c r="AA885" t="s">
        <v>46</v>
      </c>
      <c r="AB885" t="s">
        <v>47</v>
      </c>
      <c r="AD885">
        <v>5</v>
      </c>
      <c r="AE885" s="2">
        <v>2904.72</v>
      </c>
      <c r="AF885">
        <v>1.0124</v>
      </c>
      <c r="AG885" t="s">
        <v>347</v>
      </c>
      <c r="AH885" s="23">
        <f>SUM(Amazon_Data_Set[[#This Row],[Gross Sales]]-Amazon_Data_Set[[#This Row],[Discount Amount]])</f>
        <v>2940.77</v>
      </c>
    </row>
    <row r="886" spans="1:34">
      <c r="A886" t="s">
        <v>2247</v>
      </c>
      <c r="B886" s="1">
        <v>46311</v>
      </c>
      <c r="C886" t="str">
        <f>TEXT(Amazon_Data_Set[[#This Row],[Order Date]],"mmm")</f>
        <v>Oct</v>
      </c>
      <c r="D886" t="s">
        <v>842</v>
      </c>
      <c r="E886" t="s">
        <v>235</v>
      </c>
      <c r="F886" t="s">
        <v>236</v>
      </c>
      <c r="G886" t="s">
        <v>82</v>
      </c>
      <c r="H886" t="s">
        <v>142</v>
      </c>
      <c r="I886" t="s">
        <v>209</v>
      </c>
      <c r="J886" t="s">
        <v>243</v>
      </c>
      <c r="K886" t="s">
        <v>145</v>
      </c>
      <c r="L886" t="s">
        <v>2248</v>
      </c>
      <c r="M886" t="s">
        <v>106</v>
      </c>
      <c r="N886" t="s">
        <v>77</v>
      </c>
      <c r="O886" t="s">
        <v>45</v>
      </c>
      <c r="P886">
        <v>3</v>
      </c>
      <c r="Q886">
        <v>6322.02</v>
      </c>
      <c r="R886" s="19">
        <v>0</v>
      </c>
      <c r="S886" s="21">
        <v>0</v>
      </c>
      <c r="T886">
        <v>18966.060000000001</v>
      </c>
      <c r="U886" s="2">
        <v>18966.060000000001</v>
      </c>
      <c r="V886">
        <v>30.18</v>
      </c>
      <c r="W886">
        <v>10848.26</v>
      </c>
      <c r="X886" s="2">
        <v>8087.62</v>
      </c>
      <c r="Y886">
        <v>0.4264</v>
      </c>
      <c r="Z886">
        <v>1</v>
      </c>
      <c r="AA886" t="s">
        <v>46</v>
      </c>
      <c r="AB886" t="s">
        <v>47</v>
      </c>
      <c r="AD886">
        <v>3</v>
      </c>
      <c r="AE886" s="2">
        <v>20389.39</v>
      </c>
      <c r="AF886">
        <v>0.93020000000000003</v>
      </c>
      <c r="AG886" t="s">
        <v>49</v>
      </c>
      <c r="AH886" s="23">
        <f>SUM(Amazon_Data_Set[[#This Row],[Gross Sales]]-Amazon_Data_Set[[#This Row],[Discount Amount]])</f>
        <v>18966.060000000001</v>
      </c>
    </row>
    <row r="887" spans="1:34">
      <c r="A887" t="s">
        <v>2249</v>
      </c>
      <c r="B887" s="1">
        <v>46201</v>
      </c>
      <c r="C887" t="str">
        <f>TEXT(Amazon_Data_Set[[#This Row],[Order Date]],"mmm")</f>
        <v>Jun</v>
      </c>
      <c r="D887" t="s">
        <v>581</v>
      </c>
      <c r="E887" t="s">
        <v>149</v>
      </c>
      <c r="F887" t="s">
        <v>150</v>
      </c>
      <c r="G887" t="s">
        <v>37</v>
      </c>
      <c r="H887" t="s">
        <v>83</v>
      </c>
      <c r="I887" t="s">
        <v>102</v>
      </c>
      <c r="J887" t="s">
        <v>373</v>
      </c>
      <c r="K887" t="s">
        <v>374</v>
      </c>
      <c r="L887" t="s">
        <v>2250</v>
      </c>
      <c r="M887" t="s">
        <v>106</v>
      </c>
      <c r="N887" t="s">
        <v>70</v>
      </c>
      <c r="O887" t="s">
        <v>45</v>
      </c>
      <c r="P887">
        <v>1</v>
      </c>
      <c r="Q887">
        <v>445.98</v>
      </c>
      <c r="R887" s="19">
        <v>0.25</v>
      </c>
      <c r="S887" s="21">
        <v>111.5</v>
      </c>
      <c r="T887">
        <v>445.98</v>
      </c>
      <c r="U887" s="2">
        <v>334.48</v>
      </c>
      <c r="V887">
        <v>72.150000000000006</v>
      </c>
      <c r="W887">
        <v>218.31</v>
      </c>
      <c r="X887" s="2">
        <v>44.02</v>
      </c>
      <c r="Y887">
        <v>0.13159999999999999</v>
      </c>
      <c r="Z887">
        <v>5</v>
      </c>
      <c r="AA887" t="s">
        <v>61</v>
      </c>
      <c r="AB887" t="s">
        <v>47</v>
      </c>
      <c r="AD887">
        <v>4</v>
      </c>
      <c r="AE887" s="2">
        <v>355.04</v>
      </c>
      <c r="AF887">
        <v>0.94210000000000005</v>
      </c>
      <c r="AG887" t="s">
        <v>49</v>
      </c>
      <c r="AH887" s="23">
        <f>SUM(Amazon_Data_Set[[#This Row],[Gross Sales]]-Amazon_Data_Set[[#This Row],[Discount Amount]])</f>
        <v>334.48</v>
      </c>
    </row>
    <row r="888" spans="1:34">
      <c r="A888" t="s">
        <v>2251</v>
      </c>
      <c r="B888" s="1">
        <v>46148</v>
      </c>
      <c r="C888" t="str">
        <f>TEXT(Amazon_Data_Set[[#This Row],[Order Date]],"mmm")</f>
        <v>May</v>
      </c>
      <c r="D888" t="s">
        <v>1164</v>
      </c>
      <c r="E888" t="s">
        <v>235</v>
      </c>
      <c r="F888" t="s">
        <v>236</v>
      </c>
      <c r="G888" t="s">
        <v>82</v>
      </c>
      <c r="H888" t="s">
        <v>90</v>
      </c>
      <c r="I888" t="s">
        <v>252</v>
      </c>
      <c r="J888" t="s">
        <v>270</v>
      </c>
      <c r="K888" t="s">
        <v>271</v>
      </c>
      <c r="L888" t="s">
        <v>2252</v>
      </c>
      <c r="M888" t="s">
        <v>106</v>
      </c>
      <c r="N888" t="s">
        <v>44</v>
      </c>
      <c r="O888" t="s">
        <v>45</v>
      </c>
      <c r="P888">
        <v>2</v>
      </c>
      <c r="Q888">
        <v>1380.52</v>
      </c>
      <c r="R888" s="19">
        <v>0.25</v>
      </c>
      <c r="S888" s="21">
        <v>690.26</v>
      </c>
      <c r="T888">
        <v>2761.04</v>
      </c>
      <c r="U888" s="2">
        <v>2070.7800000000002</v>
      </c>
      <c r="V888">
        <v>100.33</v>
      </c>
      <c r="W888">
        <v>1281.2</v>
      </c>
      <c r="X888" s="2">
        <v>689.25</v>
      </c>
      <c r="Y888">
        <v>0.33279999999999998</v>
      </c>
      <c r="Z888">
        <v>6</v>
      </c>
      <c r="AA888" t="s">
        <v>61</v>
      </c>
      <c r="AB888" t="s">
        <v>47</v>
      </c>
      <c r="AD888">
        <v>3</v>
      </c>
      <c r="AE888" s="2">
        <v>2084.4499999999998</v>
      </c>
      <c r="AF888">
        <v>0.99339999999999995</v>
      </c>
      <c r="AG888" t="s">
        <v>49</v>
      </c>
      <c r="AH888" s="23">
        <f>SUM(Amazon_Data_Set[[#This Row],[Gross Sales]]-Amazon_Data_Set[[#This Row],[Discount Amount]])</f>
        <v>2070.7799999999997</v>
      </c>
    </row>
    <row r="889" spans="1:34">
      <c r="A889" t="s">
        <v>2253</v>
      </c>
      <c r="B889" s="1">
        <v>46302</v>
      </c>
      <c r="C889" t="str">
        <f>TEXT(Amazon_Data_Set[[#This Row],[Order Date]],"mmm")</f>
        <v>Oct</v>
      </c>
      <c r="D889" t="s">
        <v>787</v>
      </c>
      <c r="E889" t="s">
        <v>109</v>
      </c>
      <c r="F889" t="s">
        <v>154</v>
      </c>
      <c r="G889" t="s">
        <v>111</v>
      </c>
      <c r="H889" t="s">
        <v>38</v>
      </c>
      <c r="I889" t="s">
        <v>161</v>
      </c>
      <c r="J889" t="s">
        <v>162</v>
      </c>
      <c r="K889" t="s">
        <v>163</v>
      </c>
      <c r="L889" t="s">
        <v>2254</v>
      </c>
      <c r="M889" t="s">
        <v>43</v>
      </c>
      <c r="N889" t="s">
        <v>124</v>
      </c>
      <c r="O889" t="s">
        <v>45</v>
      </c>
      <c r="P889">
        <v>5</v>
      </c>
      <c r="Q889">
        <v>2513.11</v>
      </c>
      <c r="R889" s="19">
        <v>0.3</v>
      </c>
      <c r="S889" s="21">
        <v>3769.66</v>
      </c>
      <c r="T889">
        <v>12565.55</v>
      </c>
      <c r="U889" s="2">
        <v>8795.89</v>
      </c>
      <c r="V889">
        <v>85.52</v>
      </c>
      <c r="W889">
        <v>5180.76</v>
      </c>
      <c r="X889" s="2">
        <v>3529.61</v>
      </c>
      <c r="Y889">
        <v>0.40129999999999999</v>
      </c>
      <c r="Z889">
        <v>1</v>
      </c>
      <c r="AA889" t="s">
        <v>46</v>
      </c>
      <c r="AB889" t="s">
        <v>47</v>
      </c>
      <c r="AD889">
        <v>4</v>
      </c>
      <c r="AE889" s="2">
        <v>9587.93</v>
      </c>
      <c r="AF889">
        <v>0.91739999999999999</v>
      </c>
      <c r="AG889" t="s">
        <v>49</v>
      </c>
      <c r="AH889" s="23">
        <f>SUM(Amazon_Data_Set[[#This Row],[Gross Sales]]-Amazon_Data_Set[[#This Row],[Discount Amount]])</f>
        <v>8795.89</v>
      </c>
    </row>
    <row r="890" spans="1:34">
      <c r="A890" t="s">
        <v>2255</v>
      </c>
      <c r="B890" s="1">
        <v>46292</v>
      </c>
      <c r="C890" t="str">
        <f>TEXT(Amazon_Data_Set[[#This Row],[Order Date]],"mmm")</f>
        <v>Sep</v>
      </c>
      <c r="D890" t="s">
        <v>486</v>
      </c>
      <c r="E890" t="s">
        <v>228</v>
      </c>
      <c r="F890" t="s">
        <v>229</v>
      </c>
      <c r="G890" t="s">
        <v>37</v>
      </c>
      <c r="H890" t="s">
        <v>55</v>
      </c>
      <c r="I890" t="s">
        <v>73</v>
      </c>
      <c r="J890" t="s">
        <v>74</v>
      </c>
      <c r="K890" t="s">
        <v>75</v>
      </c>
      <c r="L890" t="s">
        <v>2256</v>
      </c>
      <c r="M890" t="s">
        <v>106</v>
      </c>
      <c r="N890" t="s">
        <v>60</v>
      </c>
      <c r="O890" t="s">
        <v>130</v>
      </c>
      <c r="P890">
        <v>4</v>
      </c>
      <c r="Q890">
        <v>44216.959999999999</v>
      </c>
      <c r="R890" s="19">
        <v>0.2</v>
      </c>
      <c r="S890" s="21">
        <v>35373.57</v>
      </c>
      <c r="T890">
        <v>176867.84</v>
      </c>
      <c r="U890" s="2">
        <v>141494.26999999999</v>
      </c>
      <c r="V890">
        <v>227.24</v>
      </c>
      <c r="W890">
        <v>77285.48</v>
      </c>
      <c r="X890" s="2">
        <v>63981.55</v>
      </c>
      <c r="Y890">
        <v>0.45219999999999999</v>
      </c>
      <c r="Z890">
        <v>5</v>
      </c>
      <c r="AA890" t="s">
        <v>131</v>
      </c>
      <c r="AB890" t="s">
        <v>47</v>
      </c>
      <c r="AE890" s="2">
        <v>163717.25</v>
      </c>
      <c r="AF890">
        <v>0.86429999999999996</v>
      </c>
      <c r="AG890" t="s">
        <v>49</v>
      </c>
      <c r="AH890" s="23">
        <f>SUM(Amazon_Data_Set[[#This Row],[Gross Sales]]-Amazon_Data_Set[[#This Row],[Discount Amount]])</f>
        <v>141494.26999999999</v>
      </c>
    </row>
    <row r="891" spans="1:34">
      <c r="A891" t="s">
        <v>2257</v>
      </c>
      <c r="B891" s="1">
        <v>46085</v>
      </c>
      <c r="C891" t="str">
        <f>TEXT(Amazon_Data_Set[[#This Row],[Order Date]],"mmm")</f>
        <v>Mar</v>
      </c>
      <c r="D891" t="s">
        <v>2047</v>
      </c>
      <c r="E891" t="s">
        <v>100</v>
      </c>
      <c r="F891" t="s">
        <v>179</v>
      </c>
      <c r="G891" t="s">
        <v>54</v>
      </c>
      <c r="H891" t="s">
        <v>142</v>
      </c>
      <c r="I891" t="s">
        <v>214</v>
      </c>
      <c r="J891" t="s">
        <v>350</v>
      </c>
      <c r="K891" t="s">
        <v>351</v>
      </c>
      <c r="L891" t="s">
        <v>2258</v>
      </c>
      <c r="M891" t="s">
        <v>106</v>
      </c>
      <c r="N891" t="s">
        <v>70</v>
      </c>
      <c r="O891" t="s">
        <v>45</v>
      </c>
      <c r="P891">
        <v>4</v>
      </c>
      <c r="Q891">
        <v>2012.66</v>
      </c>
      <c r="R891" s="19">
        <v>0.3</v>
      </c>
      <c r="S891" s="21">
        <v>2415.19</v>
      </c>
      <c r="T891">
        <v>8050.64</v>
      </c>
      <c r="U891" s="2">
        <v>5635.45</v>
      </c>
      <c r="V891">
        <v>21.1</v>
      </c>
      <c r="W891">
        <v>3523.3</v>
      </c>
      <c r="X891" s="2">
        <v>2091.0500000000002</v>
      </c>
      <c r="Y891">
        <v>0.37109999999999999</v>
      </c>
      <c r="Z891">
        <v>2</v>
      </c>
      <c r="AA891" t="s">
        <v>46</v>
      </c>
      <c r="AB891" t="s">
        <v>47</v>
      </c>
      <c r="AD891">
        <v>5</v>
      </c>
      <c r="AE891" s="2">
        <v>5469</v>
      </c>
      <c r="AF891">
        <v>1.0304</v>
      </c>
      <c r="AG891" t="s">
        <v>49</v>
      </c>
      <c r="AH891" s="23">
        <f>SUM(Amazon_Data_Set[[#This Row],[Gross Sales]]-Amazon_Data_Set[[#This Row],[Discount Amount]])</f>
        <v>5635.4500000000007</v>
      </c>
    </row>
    <row r="892" spans="1:34">
      <c r="A892" t="s">
        <v>2259</v>
      </c>
      <c r="B892" s="1">
        <v>46081</v>
      </c>
      <c r="C892" t="str">
        <f>TEXT(Amazon_Data_Set[[#This Row],[Order Date]],"mmm")</f>
        <v>Feb</v>
      </c>
      <c r="D892" t="s">
        <v>1206</v>
      </c>
      <c r="E892" t="s">
        <v>118</v>
      </c>
      <c r="F892" t="s">
        <v>119</v>
      </c>
      <c r="G892" t="s">
        <v>82</v>
      </c>
      <c r="H892" t="s">
        <v>142</v>
      </c>
      <c r="I892" t="s">
        <v>143</v>
      </c>
      <c r="J892" t="s">
        <v>200</v>
      </c>
      <c r="K892" t="s">
        <v>201</v>
      </c>
      <c r="L892" t="s">
        <v>2260</v>
      </c>
      <c r="M892" t="s">
        <v>106</v>
      </c>
      <c r="N892" t="s">
        <v>124</v>
      </c>
      <c r="O892" t="s">
        <v>45</v>
      </c>
      <c r="P892">
        <v>5</v>
      </c>
      <c r="Q892">
        <v>2057.5500000000002</v>
      </c>
      <c r="R892" s="19">
        <v>0.2</v>
      </c>
      <c r="S892" s="21">
        <v>2057.5500000000002</v>
      </c>
      <c r="T892">
        <v>10287.75</v>
      </c>
      <c r="U892" s="2">
        <v>8230.2000000000007</v>
      </c>
      <c r="V892">
        <v>30.33</v>
      </c>
      <c r="W892">
        <v>4973.6899999999996</v>
      </c>
      <c r="X892" s="2">
        <v>3226.18</v>
      </c>
      <c r="Y892">
        <v>0.39200000000000002</v>
      </c>
      <c r="Z892">
        <v>6</v>
      </c>
      <c r="AA892" t="s">
        <v>61</v>
      </c>
      <c r="AB892" t="s">
        <v>47</v>
      </c>
      <c r="AD892">
        <v>4</v>
      </c>
      <c r="AE892" s="2">
        <v>9502.33</v>
      </c>
      <c r="AF892">
        <v>0.86609999999999998</v>
      </c>
      <c r="AG892" t="s">
        <v>49</v>
      </c>
      <c r="AH892" s="23">
        <f>SUM(Amazon_Data_Set[[#This Row],[Gross Sales]]-Amazon_Data_Set[[#This Row],[Discount Amount]])</f>
        <v>8230.2000000000007</v>
      </c>
    </row>
    <row r="893" spans="1:34">
      <c r="A893" t="s">
        <v>2261</v>
      </c>
      <c r="B893" s="1">
        <v>46387</v>
      </c>
      <c r="C893" t="str">
        <f>TEXT(Amazon_Data_Set[[#This Row],[Order Date]],"mmm")</f>
        <v>Dec</v>
      </c>
      <c r="D893" t="s">
        <v>967</v>
      </c>
      <c r="E893" t="s">
        <v>52</v>
      </c>
      <c r="F893" t="s">
        <v>53</v>
      </c>
      <c r="G893" t="s">
        <v>54</v>
      </c>
      <c r="H893" t="s">
        <v>90</v>
      </c>
      <c r="I893" t="s">
        <v>252</v>
      </c>
      <c r="J893" t="s">
        <v>270</v>
      </c>
      <c r="K893" t="s">
        <v>271</v>
      </c>
      <c r="L893" t="s">
        <v>2262</v>
      </c>
      <c r="M893" t="s">
        <v>43</v>
      </c>
      <c r="N893" t="s">
        <v>70</v>
      </c>
      <c r="O893" t="s">
        <v>45</v>
      </c>
      <c r="P893">
        <v>2</v>
      </c>
      <c r="Q893">
        <v>865.9</v>
      </c>
      <c r="R893" s="19">
        <v>0</v>
      </c>
      <c r="S893" s="21">
        <v>0</v>
      </c>
      <c r="T893">
        <v>1731.8</v>
      </c>
      <c r="U893" s="2">
        <v>1731.8</v>
      </c>
      <c r="V893">
        <v>137.44999999999999</v>
      </c>
      <c r="W893">
        <v>1324.05</v>
      </c>
      <c r="X893" s="2">
        <v>270.3</v>
      </c>
      <c r="Y893">
        <v>0.15609999999999999</v>
      </c>
      <c r="Z893">
        <v>6</v>
      </c>
      <c r="AA893" t="s">
        <v>61</v>
      </c>
      <c r="AB893" t="s">
        <v>47</v>
      </c>
      <c r="AD893">
        <v>5</v>
      </c>
      <c r="AE893" s="2">
        <v>1657.87</v>
      </c>
      <c r="AF893">
        <v>1.0446</v>
      </c>
      <c r="AG893" t="s">
        <v>49</v>
      </c>
      <c r="AH893" s="23">
        <f>SUM(Amazon_Data_Set[[#This Row],[Gross Sales]]-Amazon_Data_Set[[#This Row],[Discount Amount]])</f>
        <v>1731.8</v>
      </c>
    </row>
    <row r="894" spans="1:34">
      <c r="A894" t="s">
        <v>2263</v>
      </c>
      <c r="B894" s="1">
        <v>46095</v>
      </c>
      <c r="C894" t="str">
        <f>TEXT(Amazon_Data_Set[[#This Row],[Order Date]],"mmm")</f>
        <v>Mar</v>
      </c>
      <c r="D894" t="s">
        <v>1037</v>
      </c>
      <c r="E894" t="s">
        <v>167</v>
      </c>
      <c r="F894" t="s">
        <v>168</v>
      </c>
      <c r="G894" t="s">
        <v>111</v>
      </c>
      <c r="H894" t="s">
        <v>55</v>
      </c>
      <c r="I894" t="s">
        <v>56</v>
      </c>
      <c r="J894" t="s">
        <v>448</v>
      </c>
      <c r="K894" t="s">
        <v>170</v>
      </c>
      <c r="L894" t="s">
        <v>2264</v>
      </c>
      <c r="M894" t="s">
        <v>106</v>
      </c>
      <c r="N894" t="s">
        <v>124</v>
      </c>
      <c r="O894" t="s">
        <v>96</v>
      </c>
      <c r="P894">
        <v>4</v>
      </c>
      <c r="Q894">
        <v>4659.3</v>
      </c>
      <c r="R894" s="19">
        <v>0.1</v>
      </c>
      <c r="S894" s="21">
        <v>1863.72</v>
      </c>
      <c r="T894">
        <v>18637.2</v>
      </c>
      <c r="U894" s="2">
        <v>16773.48</v>
      </c>
      <c r="V894">
        <v>27.06</v>
      </c>
      <c r="W894">
        <v>11549.77</v>
      </c>
      <c r="X894" s="2">
        <v>5196.6499999999996</v>
      </c>
      <c r="Y894">
        <v>0.30980000000000002</v>
      </c>
      <c r="Z894">
        <v>0</v>
      </c>
      <c r="AA894" t="s">
        <v>97</v>
      </c>
      <c r="AB894" t="s">
        <v>47</v>
      </c>
      <c r="AE894" s="2">
        <v>19782.93</v>
      </c>
      <c r="AF894">
        <v>0.84789999999999999</v>
      </c>
      <c r="AG894" t="s">
        <v>347</v>
      </c>
      <c r="AH894" s="23">
        <f>SUM(Amazon_Data_Set[[#This Row],[Gross Sales]]-Amazon_Data_Set[[#This Row],[Discount Amount]])</f>
        <v>16773.48</v>
      </c>
    </row>
    <row r="895" spans="1:34">
      <c r="A895" t="s">
        <v>2265</v>
      </c>
      <c r="B895" s="1">
        <v>46350</v>
      </c>
      <c r="C895" t="str">
        <f>TEXT(Amazon_Data_Set[[#This Row],[Order Date]],"mmm")</f>
        <v>Nov</v>
      </c>
      <c r="D895" t="s">
        <v>2266</v>
      </c>
      <c r="E895" t="s">
        <v>118</v>
      </c>
      <c r="F895" t="s">
        <v>119</v>
      </c>
      <c r="G895" t="s">
        <v>82</v>
      </c>
      <c r="H895" t="s">
        <v>90</v>
      </c>
      <c r="I895" t="s">
        <v>252</v>
      </c>
      <c r="J895" t="s">
        <v>270</v>
      </c>
      <c r="K895" t="s">
        <v>271</v>
      </c>
      <c r="L895" t="s">
        <v>2267</v>
      </c>
      <c r="M895" t="s">
        <v>43</v>
      </c>
      <c r="N895" t="s">
        <v>70</v>
      </c>
      <c r="O895" t="s">
        <v>45</v>
      </c>
      <c r="P895">
        <v>5</v>
      </c>
      <c r="Q895">
        <v>963.27</v>
      </c>
      <c r="R895" s="19">
        <v>0.05</v>
      </c>
      <c r="S895" s="21">
        <v>240.82</v>
      </c>
      <c r="T895">
        <v>4816.3500000000004</v>
      </c>
      <c r="U895" s="2">
        <v>4575.53</v>
      </c>
      <c r="V895">
        <v>129.76</v>
      </c>
      <c r="W895">
        <v>3305.88</v>
      </c>
      <c r="X895" s="2">
        <v>1139.8900000000001</v>
      </c>
      <c r="Y895">
        <v>0.24909999999999999</v>
      </c>
      <c r="Z895">
        <v>6</v>
      </c>
      <c r="AA895" t="s">
        <v>61</v>
      </c>
      <c r="AB895" t="s">
        <v>47</v>
      </c>
      <c r="AD895">
        <v>3</v>
      </c>
      <c r="AE895" s="2">
        <v>4865.57</v>
      </c>
      <c r="AF895">
        <v>0.94040000000000001</v>
      </c>
      <c r="AG895" t="s">
        <v>49</v>
      </c>
      <c r="AH895" s="23">
        <f>SUM(Amazon_Data_Set[[#This Row],[Gross Sales]]-Amazon_Data_Set[[#This Row],[Discount Amount]])</f>
        <v>4575.5300000000007</v>
      </c>
    </row>
    <row r="896" spans="1:34">
      <c r="A896" t="s">
        <v>2268</v>
      </c>
      <c r="B896" s="1">
        <v>46161</v>
      </c>
      <c r="C896" t="str">
        <f>TEXT(Amazon_Data_Set[[#This Row],[Order Date]],"mmm")</f>
        <v>May</v>
      </c>
      <c r="D896" t="s">
        <v>99</v>
      </c>
      <c r="E896" t="s">
        <v>228</v>
      </c>
      <c r="F896" t="s">
        <v>229</v>
      </c>
      <c r="G896" t="s">
        <v>37</v>
      </c>
      <c r="H896" t="s">
        <v>38</v>
      </c>
      <c r="I896" t="s">
        <v>39</v>
      </c>
      <c r="J896" t="s">
        <v>155</v>
      </c>
      <c r="K896" t="s">
        <v>156</v>
      </c>
      <c r="L896" t="s">
        <v>2269</v>
      </c>
      <c r="M896" t="s">
        <v>43</v>
      </c>
      <c r="N896" t="s">
        <v>124</v>
      </c>
      <c r="O896" t="s">
        <v>45</v>
      </c>
      <c r="P896">
        <v>4</v>
      </c>
      <c r="Q896">
        <v>4846.3</v>
      </c>
      <c r="R896" s="19">
        <v>0</v>
      </c>
      <c r="S896" s="21">
        <v>0</v>
      </c>
      <c r="T896">
        <v>19385.2</v>
      </c>
      <c r="U896" s="2">
        <v>19385.2</v>
      </c>
      <c r="V896">
        <v>223.51</v>
      </c>
      <c r="W896">
        <v>14563.77</v>
      </c>
      <c r="X896" s="2">
        <v>4597.92</v>
      </c>
      <c r="Y896">
        <v>0.23719999999999999</v>
      </c>
      <c r="Z896">
        <v>6</v>
      </c>
      <c r="AA896" t="s">
        <v>61</v>
      </c>
      <c r="AB896" t="s">
        <v>47</v>
      </c>
      <c r="AD896">
        <v>4</v>
      </c>
      <c r="AE896" s="2">
        <v>19390.04</v>
      </c>
      <c r="AF896">
        <v>0.99980000000000002</v>
      </c>
      <c r="AG896" t="s">
        <v>49</v>
      </c>
      <c r="AH896" s="23">
        <f>SUM(Amazon_Data_Set[[#This Row],[Gross Sales]]-Amazon_Data_Set[[#This Row],[Discount Amount]])</f>
        <v>19385.2</v>
      </c>
    </row>
    <row r="897" spans="1:34">
      <c r="A897" t="s">
        <v>2270</v>
      </c>
      <c r="B897" s="1">
        <v>46290</v>
      </c>
      <c r="C897" t="str">
        <f>TEXT(Amazon_Data_Set[[#This Row],[Order Date]],"mmm")</f>
        <v>Sep</v>
      </c>
      <c r="D897" t="s">
        <v>498</v>
      </c>
      <c r="E897" t="s">
        <v>174</v>
      </c>
      <c r="F897" t="s">
        <v>175</v>
      </c>
      <c r="G897" t="s">
        <v>82</v>
      </c>
      <c r="H897" t="s">
        <v>55</v>
      </c>
      <c r="I897" t="s">
        <v>73</v>
      </c>
      <c r="J897" t="s">
        <v>387</v>
      </c>
      <c r="K897" t="s">
        <v>388</v>
      </c>
      <c r="L897" t="s">
        <v>2271</v>
      </c>
      <c r="M897" t="s">
        <v>43</v>
      </c>
      <c r="N897" t="s">
        <v>70</v>
      </c>
      <c r="O897" t="s">
        <v>45</v>
      </c>
      <c r="P897">
        <v>2</v>
      </c>
      <c r="Q897">
        <v>48555.47</v>
      </c>
      <c r="R897" s="19">
        <v>0.3</v>
      </c>
      <c r="S897" s="21">
        <v>29133.279999999999</v>
      </c>
      <c r="T897">
        <v>97110.94</v>
      </c>
      <c r="U897" s="2">
        <v>67977.66</v>
      </c>
      <c r="V897">
        <v>18.850000000000001</v>
      </c>
      <c r="W897">
        <v>50847.82</v>
      </c>
      <c r="X897" s="2">
        <v>17110.990000000002</v>
      </c>
      <c r="Y897">
        <v>0.25169999999999998</v>
      </c>
      <c r="Z897">
        <v>6</v>
      </c>
      <c r="AA897" t="s">
        <v>61</v>
      </c>
      <c r="AB897" t="s">
        <v>47</v>
      </c>
      <c r="AD897">
        <v>4</v>
      </c>
      <c r="AE897" s="2">
        <v>60567.71</v>
      </c>
      <c r="AF897">
        <v>1.1223000000000001</v>
      </c>
      <c r="AG897" t="s">
        <v>347</v>
      </c>
      <c r="AH897" s="23">
        <f>SUM(Amazon_Data_Set[[#This Row],[Gross Sales]]-Amazon_Data_Set[[#This Row],[Discount Amount]])</f>
        <v>67977.66</v>
      </c>
    </row>
    <row r="898" spans="1:34">
      <c r="A898" t="s">
        <v>2272</v>
      </c>
      <c r="B898" s="1">
        <v>46220</v>
      </c>
      <c r="C898" t="str">
        <f>TEXT(Amazon_Data_Set[[#This Row],[Order Date]],"mmm")</f>
        <v>Jul</v>
      </c>
      <c r="D898" t="s">
        <v>1864</v>
      </c>
      <c r="E898" t="s">
        <v>64</v>
      </c>
      <c r="F898" t="s">
        <v>65</v>
      </c>
      <c r="G898" t="s">
        <v>54</v>
      </c>
      <c r="H898" t="s">
        <v>90</v>
      </c>
      <c r="I898" t="s">
        <v>112</v>
      </c>
      <c r="J898" t="s">
        <v>134</v>
      </c>
      <c r="K898" t="s">
        <v>135</v>
      </c>
      <c r="L898" t="s">
        <v>2273</v>
      </c>
      <c r="M898" t="s">
        <v>106</v>
      </c>
      <c r="N898" t="s">
        <v>124</v>
      </c>
      <c r="O898" t="s">
        <v>45</v>
      </c>
      <c r="P898">
        <v>4</v>
      </c>
      <c r="Q898">
        <v>638.05999999999995</v>
      </c>
      <c r="R898" s="19">
        <v>0.15</v>
      </c>
      <c r="S898" s="21">
        <v>382.84</v>
      </c>
      <c r="T898">
        <v>2552.2399999999998</v>
      </c>
      <c r="U898" s="2">
        <v>2169.4</v>
      </c>
      <c r="V898">
        <v>48.95</v>
      </c>
      <c r="W898">
        <v>1207.0999999999999</v>
      </c>
      <c r="X898" s="2">
        <v>913.35</v>
      </c>
      <c r="Y898">
        <v>0.42099999999999999</v>
      </c>
      <c r="Z898">
        <v>4</v>
      </c>
      <c r="AA898" t="s">
        <v>46</v>
      </c>
      <c r="AB898" t="s">
        <v>47</v>
      </c>
      <c r="AD898">
        <v>5</v>
      </c>
      <c r="AE898" s="2">
        <v>2486.16</v>
      </c>
      <c r="AF898">
        <v>0.87260000000000004</v>
      </c>
      <c r="AG898" t="s">
        <v>49</v>
      </c>
      <c r="AH898" s="23">
        <f>SUM(Amazon_Data_Set[[#This Row],[Gross Sales]]-Amazon_Data_Set[[#This Row],[Discount Amount]])</f>
        <v>2169.3999999999996</v>
      </c>
    </row>
    <row r="899" spans="1:34">
      <c r="A899" t="s">
        <v>2274</v>
      </c>
      <c r="B899" s="1">
        <v>46334</v>
      </c>
      <c r="C899" t="str">
        <f>TEXT(Amazon_Data_Set[[#This Row],[Order Date]],"mmm")</f>
        <v>Nov</v>
      </c>
      <c r="D899" t="s">
        <v>772</v>
      </c>
      <c r="E899" t="s">
        <v>100</v>
      </c>
      <c r="F899" t="s">
        <v>179</v>
      </c>
      <c r="G899" t="s">
        <v>54</v>
      </c>
      <c r="H899" t="s">
        <v>142</v>
      </c>
      <c r="I899" t="s">
        <v>209</v>
      </c>
      <c r="J899" t="s">
        <v>243</v>
      </c>
      <c r="K899" t="s">
        <v>145</v>
      </c>
      <c r="L899" t="s">
        <v>2275</v>
      </c>
      <c r="M899" t="s">
        <v>43</v>
      </c>
      <c r="N899" t="s">
        <v>124</v>
      </c>
      <c r="O899" t="s">
        <v>45</v>
      </c>
      <c r="P899">
        <v>1</v>
      </c>
      <c r="Q899">
        <v>6217.97</v>
      </c>
      <c r="R899" s="19">
        <v>0</v>
      </c>
      <c r="S899" s="21">
        <v>0</v>
      </c>
      <c r="T899">
        <v>6217.97</v>
      </c>
      <c r="U899" s="2">
        <v>6217.97</v>
      </c>
      <c r="V899">
        <v>57.8</v>
      </c>
      <c r="W899">
        <v>4432.8999999999996</v>
      </c>
      <c r="X899" s="2">
        <v>1727.27</v>
      </c>
      <c r="Y899">
        <v>0.27779999999999999</v>
      </c>
      <c r="Z899">
        <v>2</v>
      </c>
      <c r="AA899" t="s">
        <v>46</v>
      </c>
      <c r="AB899" t="s">
        <v>47</v>
      </c>
      <c r="AD899">
        <v>5</v>
      </c>
      <c r="AE899" s="2">
        <v>5636.53</v>
      </c>
      <c r="AF899">
        <v>1.1032</v>
      </c>
      <c r="AG899" t="s">
        <v>347</v>
      </c>
      <c r="AH899" s="23">
        <f>SUM(Amazon_Data_Set[[#This Row],[Gross Sales]]-Amazon_Data_Set[[#This Row],[Discount Amount]])</f>
        <v>6217.97</v>
      </c>
    </row>
    <row r="900" spans="1:34">
      <c r="A900" t="s">
        <v>2276</v>
      </c>
      <c r="B900" s="1">
        <v>46260</v>
      </c>
      <c r="C900" t="str">
        <f>TEXT(Amazon_Data_Set[[#This Row],[Order Date]],"mmm")</f>
        <v>Aug</v>
      </c>
      <c r="D900" t="s">
        <v>365</v>
      </c>
      <c r="E900" t="s">
        <v>149</v>
      </c>
      <c r="F900" t="s">
        <v>150</v>
      </c>
      <c r="G900" t="s">
        <v>37</v>
      </c>
      <c r="H900" t="s">
        <v>38</v>
      </c>
      <c r="I900" t="s">
        <v>161</v>
      </c>
      <c r="J900" t="s">
        <v>223</v>
      </c>
      <c r="K900" t="s">
        <v>224</v>
      </c>
      <c r="L900" t="s">
        <v>2277</v>
      </c>
      <c r="M900" t="s">
        <v>43</v>
      </c>
      <c r="N900" t="s">
        <v>77</v>
      </c>
      <c r="O900" t="s">
        <v>45</v>
      </c>
      <c r="P900">
        <v>4</v>
      </c>
      <c r="Q900">
        <v>4581.2</v>
      </c>
      <c r="R900" s="19">
        <v>0</v>
      </c>
      <c r="S900" s="21">
        <v>0</v>
      </c>
      <c r="T900">
        <v>18324.8</v>
      </c>
      <c r="U900" s="2">
        <v>18324.8</v>
      </c>
      <c r="V900">
        <v>58.21</v>
      </c>
      <c r="W900">
        <v>13271.32</v>
      </c>
      <c r="X900" s="2">
        <v>4995.2700000000004</v>
      </c>
      <c r="Y900">
        <v>0.27260000000000001</v>
      </c>
      <c r="Z900">
        <v>7</v>
      </c>
      <c r="AA900" t="s">
        <v>61</v>
      </c>
      <c r="AB900" t="s">
        <v>47</v>
      </c>
      <c r="AD900">
        <v>5</v>
      </c>
      <c r="AE900" s="2">
        <v>18427.150000000001</v>
      </c>
      <c r="AF900">
        <v>0.99439999999999995</v>
      </c>
      <c r="AG900" t="s">
        <v>49</v>
      </c>
      <c r="AH900" s="23">
        <f>SUM(Amazon_Data_Set[[#This Row],[Gross Sales]]-Amazon_Data_Set[[#This Row],[Discount Amount]])</f>
        <v>18324.8</v>
      </c>
    </row>
    <row r="901" spans="1:34">
      <c r="A901" t="s">
        <v>2278</v>
      </c>
      <c r="B901" s="1">
        <v>46246</v>
      </c>
      <c r="C901" t="str">
        <f>TEXT(Amazon_Data_Set[[#This Row],[Order Date]],"mmm")</f>
        <v>Aug</v>
      </c>
      <c r="D901" t="s">
        <v>1206</v>
      </c>
      <c r="E901" t="s">
        <v>228</v>
      </c>
      <c r="F901" t="s">
        <v>229</v>
      </c>
      <c r="G901" t="s">
        <v>37</v>
      </c>
      <c r="H901" t="s">
        <v>142</v>
      </c>
      <c r="I901" t="s">
        <v>209</v>
      </c>
      <c r="J901" t="s">
        <v>210</v>
      </c>
      <c r="K901" t="s">
        <v>201</v>
      </c>
      <c r="L901" t="s">
        <v>2279</v>
      </c>
      <c r="M901" t="s">
        <v>43</v>
      </c>
      <c r="N901" t="s">
        <v>77</v>
      </c>
      <c r="O901" t="s">
        <v>45</v>
      </c>
      <c r="P901">
        <v>4</v>
      </c>
      <c r="Q901">
        <v>3278</v>
      </c>
      <c r="R901" s="19">
        <v>0.05</v>
      </c>
      <c r="S901" s="21">
        <v>655.6</v>
      </c>
      <c r="T901">
        <v>13112</v>
      </c>
      <c r="U901" s="2">
        <v>12456.4</v>
      </c>
      <c r="V901">
        <v>208.46</v>
      </c>
      <c r="W901">
        <v>6721.6</v>
      </c>
      <c r="X901" s="2">
        <v>5526.34</v>
      </c>
      <c r="Y901">
        <v>0.44369999999999998</v>
      </c>
      <c r="Z901">
        <v>2</v>
      </c>
      <c r="AA901" t="s">
        <v>46</v>
      </c>
      <c r="AB901" t="s">
        <v>47</v>
      </c>
      <c r="AD901">
        <v>4</v>
      </c>
      <c r="AE901" s="2">
        <v>14923.72</v>
      </c>
      <c r="AF901">
        <v>0.8347</v>
      </c>
      <c r="AG901" t="s">
        <v>49</v>
      </c>
      <c r="AH901" s="23">
        <f>SUM(Amazon_Data_Set[[#This Row],[Gross Sales]]-Amazon_Data_Set[[#This Row],[Discount Amount]])</f>
        <v>12456.4</v>
      </c>
    </row>
    <row r="902" spans="1:34">
      <c r="A902" t="s">
        <v>2280</v>
      </c>
      <c r="B902" s="1">
        <v>46261</v>
      </c>
      <c r="C902" t="str">
        <f>TEXT(Amazon_Data_Set[[#This Row],[Order Date]],"mmm")</f>
        <v>Aug</v>
      </c>
      <c r="D902" t="s">
        <v>89</v>
      </c>
      <c r="E902" t="s">
        <v>118</v>
      </c>
      <c r="F902" t="s">
        <v>119</v>
      </c>
      <c r="G902" t="s">
        <v>82</v>
      </c>
      <c r="H902" t="s">
        <v>83</v>
      </c>
      <c r="I902" t="s">
        <v>84</v>
      </c>
      <c r="J902" t="s">
        <v>85</v>
      </c>
      <c r="K902" t="s">
        <v>86</v>
      </c>
      <c r="L902" t="s">
        <v>2281</v>
      </c>
      <c r="M902" t="s">
        <v>43</v>
      </c>
      <c r="N902" t="s">
        <v>70</v>
      </c>
      <c r="O902" t="s">
        <v>45</v>
      </c>
      <c r="P902">
        <v>3</v>
      </c>
      <c r="Q902">
        <v>654.19000000000005</v>
      </c>
      <c r="R902" s="19">
        <v>0.25</v>
      </c>
      <c r="S902" s="21">
        <v>490.64</v>
      </c>
      <c r="T902">
        <v>1962.57</v>
      </c>
      <c r="U902" s="2">
        <v>1471.93</v>
      </c>
      <c r="V902">
        <v>69.06</v>
      </c>
      <c r="W902">
        <v>1097.71</v>
      </c>
      <c r="X902" s="2">
        <v>305.16000000000003</v>
      </c>
      <c r="Y902">
        <v>0.20730000000000001</v>
      </c>
      <c r="Z902">
        <v>8</v>
      </c>
      <c r="AA902" t="s">
        <v>61</v>
      </c>
      <c r="AB902" t="s">
        <v>47</v>
      </c>
      <c r="AD902">
        <v>3</v>
      </c>
      <c r="AE902" s="2">
        <v>1686.52</v>
      </c>
      <c r="AF902">
        <v>0.87280000000000002</v>
      </c>
      <c r="AG902" t="s">
        <v>49</v>
      </c>
      <c r="AH902" s="23">
        <f>SUM(Amazon_Data_Set[[#This Row],[Gross Sales]]-Amazon_Data_Set[[#This Row],[Discount Amount]])</f>
        <v>1471.9299999999998</v>
      </c>
    </row>
    <row r="903" spans="1:34">
      <c r="A903" t="s">
        <v>2282</v>
      </c>
      <c r="B903" s="1">
        <v>46047</v>
      </c>
      <c r="C903" t="str">
        <f>TEXT(Amazon_Data_Set[[#This Row],[Order Date]],"mmm")</f>
        <v>Jan</v>
      </c>
      <c r="D903" t="s">
        <v>304</v>
      </c>
      <c r="E903" t="s">
        <v>275</v>
      </c>
      <c r="F903" t="s">
        <v>276</v>
      </c>
      <c r="G903" t="s">
        <v>37</v>
      </c>
      <c r="H903" t="s">
        <v>142</v>
      </c>
      <c r="I903" t="s">
        <v>209</v>
      </c>
      <c r="J903" t="s">
        <v>511</v>
      </c>
      <c r="K903" t="s">
        <v>512</v>
      </c>
      <c r="L903" t="s">
        <v>2283</v>
      </c>
      <c r="M903" t="s">
        <v>43</v>
      </c>
      <c r="N903" t="s">
        <v>70</v>
      </c>
      <c r="O903" t="s">
        <v>130</v>
      </c>
      <c r="P903">
        <v>3</v>
      </c>
      <c r="Q903">
        <v>355.03</v>
      </c>
      <c r="R903" s="19">
        <v>0</v>
      </c>
      <c r="S903" s="21">
        <v>0</v>
      </c>
      <c r="T903">
        <v>1065.0899999999999</v>
      </c>
      <c r="U903" s="2">
        <v>1065.0899999999999</v>
      </c>
      <c r="V903">
        <v>17.239999999999998</v>
      </c>
      <c r="W903">
        <v>822.63</v>
      </c>
      <c r="X903" s="2">
        <v>225.22</v>
      </c>
      <c r="Y903">
        <v>0.21149999999999999</v>
      </c>
      <c r="Z903">
        <v>4</v>
      </c>
      <c r="AA903" t="s">
        <v>131</v>
      </c>
      <c r="AB903" t="s">
        <v>47</v>
      </c>
      <c r="AE903" s="2">
        <v>1302.23</v>
      </c>
      <c r="AF903">
        <v>0.81789999999999996</v>
      </c>
      <c r="AG903" t="s">
        <v>347</v>
      </c>
      <c r="AH903" s="23">
        <f>SUM(Amazon_Data_Set[[#This Row],[Gross Sales]]-Amazon_Data_Set[[#This Row],[Discount Amount]])</f>
        <v>1065.0899999999999</v>
      </c>
    </row>
    <row r="904" spans="1:34">
      <c r="A904" t="s">
        <v>2284</v>
      </c>
      <c r="B904" s="1">
        <v>46369</v>
      </c>
      <c r="C904" t="str">
        <f>TEXT(Amazon_Data_Set[[#This Row],[Order Date]],"mmm")</f>
        <v>Dec</v>
      </c>
      <c r="D904" t="s">
        <v>1173</v>
      </c>
      <c r="E904" t="s">
        <v>35</v>
      </c>
      <c r="F904" t="s">
        <v>36</v>
      </c>
      <c r="G904" t="s">
        <v>37</v>
      </c>
      <c r="H904" t="s">
        <v>55</v>
      </c>
      <c r="I904" t="s">
        <v>56</v>
      </c>
      <c r="J904" t="s">
        <v>57</v>
      </c>
      <c r="K904" t="s">
        <v>58</v>
      </c>
      <c r="L904" t="s">
        <v>2285</v>
      </c>
      <c r="M904" t="s">
        <v>106</v>
      </c>
      <c r="N904" t="s">
        <v>44</v>
      </c>
      <c r="O904" t="s">
        <v>130</v>
      </c>
      <c r="P904">
        <v>4</v>
      </c>
      <c r="Q904">
        <v>25755.73</v>
      </c>
      <c r="R904" s="19">
        <v>0.2</v>
      </c>
      <c r="S904" s="21">
        <v>20604.580000000002</v>
      </c>
      <c r="T904">
        <v>103022.92</v>
      </c>
      <c r="U904" s="2">
        <v>82418.34</v>
      </c>
      <c r="V904">
        <v>158.41</v>
      </c>
      <c r="W904">
        <v>58412.89</v>
      </c>
      <c r="X904" s="2">
        <v>23847.040000000001</v>
      </c>
      <c r="Y904">
        <v>0.2893</v>
      </c>
      <c r="Z904">
        <v>1</v>
      </c>
      <c r="AA904" t="s">
        <v>131</v>
      </c>
      <c r="AB904" t="s">
        <v>47</v>
      </c>
      <c r="AE904" s="2">
        <v>70165.58</v>
      </c>
      <c r="AF904">
        <v>1.1746000000000001</v>
      </c>
      <c r="AG904" t="s">
        <v>49</v>
      </c>
      <c r="AH904" s="23">
        <f>SUM(Amazon_Data_Set[[#This Row],[Gross Sales]]-Amazon_Data_Set[[#This Row],[Discount Amount]])</f>
        <v>82418.34</v>
      </c>
    </row>
    <row r="905" spans="1:34">
      <c r="A905" t="s">
        <v>2286</v>
      </c>
      <c r="B905" s="1">
        <v>46326</v>
      </c>
      <c r="C905" t="str">
        <f>TEXT(Amazon_Data_Set[[#This Row],[Order Date]],"mmm")</f>
        <v>Oct</v>
      </c>
      <c r="D905" t="s">
        <v>1045</v>
      </c>
      <c r="E905" t="s">
        <v>52</v>
      </c>
      <c r="F905" t="s">
        <v>53</v>
      </c>
      <c r="G905" t="s">
        <v>54</v>
      </c>
      <c r="H905" t="s">
        <v>142</v>
      </c>
      <c r="I905" t="s">
        <v>214</v>
      </c>
      <c r="J905" t="s">
        <v>308</v>
      </c>
      <c r="K905" t="s">
        <v>309</v>
      </c>
      <c r="L905" t="s">
        <v>2287</v>
      </c>
      <c r="M905" t="s">
        <v>106</v>
      </c>
      <c r="N905" t="s">
        <v>95</v>
      </c>
      <c r="O905" t="s">
        <v>45</v>
      </c>
      <c r="P905">
        <v>1</v>
      </c>
      <c r="Q905">
        <v>7838.64</v>
      </c>
      <c r="R905" s="19">
        <v>0.3</v>
      </c>
      <c r="S905" s="21">
        <v>2351.59</v>
      </c>
      <c r="T905">
        <v>7838.64</v>
      </c>
      <c r="U905" s="2">
        <v>5487.05</v>
      </c>
      <c r="V905">
        <v>72.64</v>
      </c>
      <c r="W905">
        <v>2946.4</v>
      </c>
      <c r="X905" s="2">
        <v>2468.0100000000002</v>
      </c>
      <c r="Y905">
        <v>0.44979999999999998</v>
      </c>
      <c r="Z905">
        <v>3</v>
      </c>
      <c r="AA905" t="s">
        <v>46</v>
      </c>
      <c r="AB905" t="s">
        <v>47</v>
      </c>
      <c r="AD905">
        <v>5</v>
      </c>
      <c r="AE905" s="2">
        <v>6425.57</v>
      </c>
      <c r="AF905">
        <v>0.85389999999999999</v>
      </c>
      <c r="AG905" t="s">
        <v>49</v>
      </c>
      <c r="AH905" s="23">
        <f>SUM(Amazon_Data_Set[[#This Row],[Gross Sales]]-Amazon_Data_Set[[#This Row],[Discount Amount]])</f>
        <v>5487.05</v>
      </c>
    </row>
    <row r="906" spans="1:34">
      <c r="A906" t="s">
        <v>2288</v>
      </c>
      <c r="B906" s="1">
        <v>46169</v>
      </c>
      <c r="C906" t="str">
        <f>TEXT(Amazon_Data_Set[[#This Row],[Order Date]],"mmm")</f>
        <v>May</v>
      </c>
      <c r="D906" t="s">
        <v>1278</v>
      </c>
      <c r="E906" t="s">
        <v>109</v>
      </c>
      <c r="F906" t="s">
        <v>110</v>
      </c>
      <c r="G906" t="s">
        <v>111</v>
      </c>
      <c r="H906" t="s">
        <v>38</v>
      </c>
      <c r="I906" t="s">
        <v>161</v>
      </c>
      <c r="J906" t="s">
        <v>162</v>
      </c>
      <c r="K906" t="s">
        <v>163</v>
      </c>
      <c r="L906" t="s">
        <v>2289</v>
      </c>
      <c r="M906" t="s">
        <v>106</v>
      </c>
      <c r="N906" t="s">
        <v>77</v>
      </c>
      <c r="O906" t="s">
        <v>45</v>
      </c>
      <c r="P906">
        <v>1</v>
      </c>
      <c r="Q906">
        <v>577.46</v>
      </c>
      <c r="R906" s="19">
        <v>0.25</v>
      </c>
      <c r="S906" s="21">
        <v>144.37</v>
      </c>
      <c r="T906">
        <v>577.46</v>
      </c>
      <c r="U906" s="2">
        <v>433.09</v>
      </c>
      <c r="V906">
        <v>14.68</v>
      </c>
      <c r="W906">
        <v>273.61</v>
      </c>
      <c r="X906" s="2">
        <v>144.80000000000001</v>
      </c>
      <c r="Y906">
        <v>0.33429999999999999</v>
      </c>
      <c r="Z906">
        <v>6</v>
      </c>
      <c r="AA906" t="s">
        <v>61</v>
      </c>
      <c r="AB906" t="s">
        <v>47</v>
      </c>
      <c r="AD906">
        <v>3</v>
      </c>
      <c r="AE906" s="2">
        <v>370.91</v>
      </c>
      <c r="AF906">
        <v>1.1676</v>
      </c>
      <c r="AG906" t="s">
        <v>49</v>
      </c>
      <c r="AH906" s="23">
        <f>SUM(Amazon_Data_Set[[#This Row],[Gross Sales]]-Amazon_Data_Set[[#This Row],[Discount Amount]])</f>
        <v>433.09000000000003</v>
      </c>
    </row>
    <row r="907" spans="1:34">
      <c r="A907" t="s">
        <v>2290</v>
      </c>
      <c r="B907" s="1">
        <v>46059</v>
      </c>
      <c r="C907" t="str">
        <f>TEXT(Amazon_Data_Set[[#This Row],[Order Date]],"mmm")</f>
        <v>Feb</v>
      </c>
      <c r="D907" t="s">
        <v>2066</v>
      </c>
      <c r="E907" t="s">
        <v>118</v>
      </c>
      <c r="F907" t="s">
        <v>119</v>
      </c>
      <c r="G907" t="s">
        <v>82</v>
      </c>
      <c r="H907" t="s">
        <v>90</v>
      </c>
      <c r="I907" t="s">
        <v>112</v>
      </c>
      <c r="J907" t="s">
        <v>134</v>
      </c>
      <c r="K907" t="s">
        <v>135</v>
      </c>
      <c r="L907" t="s">
        <v>2291</v>
      </c>
      <c r="M907" t="s">
        <v>106</v>
      </c>
      <c r="N907" t="s">
        <v>70</v>
      </c>
      <c r="O907" t="s">
        <v>45</v>
      </c>
      <c r="P907">
        <v>2</v>
      </c>
      <c r="Q907">
        <v>436.91</v>
      </c>
      <c r="R907" s="19">
        <v>0.3</v>
      </c>
      <c r="S907" s="21">
        <v>262.14999999999998</v>
      </c>
      <c r="T907">
        <v>873.82</v>
      </c>
      <c r="U907" s="2">
        <v>611.66999999999996</v>
      </c>
      <c r="V907">
        <v>1.89</v>
      </c>
      <c r="W907">
        <v>412.09</v>
      </c>
      <c r="X907" s="2">
        <v>197.69</v>
      </c>
      <c r="Y907">
        <v>0.32319999999999999</v>
      </c>
      <c r="Z907">
        <v>6</v>
      </c>
      <c r="AA907" t="s">
        <v>61</v>
      </c>
      <c r="AB907" t="s">
        <v>47</v>
      </c>
      <c r="AD907">
        <v>4</v>
      </c>
      <c r="AE907" s="2">
        <v>625.39</v>
      </c>
      <c r="AF907">
        <v>0.97809999999999997</v>
      </c>
      <c r="AG907" t="s">
        <v>49</v>
      </c>
      <c r="AH907" s="23">
        <f>SUM(Amazon_Data_Set[[#This Row],[Gross Sales]]-Amazon_Data_Set[[#This Row],[Discount Amount]])</f>
        <v>611.67000000000007</v>
      </c>
    </row>
    <row r="908" spans="1:34">
      <c r="A908" t="s">
        <v>2292</v>
      </c>
      <c r="B908" s="1">
        <v>46359</v>
      </c>
      <c r="C908" t="str">
        <f>TEXT(Amazon_Data_Set[[#This Row],[Order Date]],"mmm")</f>
        <v>Dec</v>
      </c>
      <c r="D908" t="s">
        <v>586</v>
      </c>
      <c r="E908" t="s">
        <v>149</v>
      </c>
      <c r="F908" t="s">
        <v>150</v>
      </c>
      <c r="G908" t="s">
        <v>37</v>
      </c>
      <c r="H908" t="s">
        <v>90</v>
      </c>
      <c r="I908" t="s">
        <v>112</v>
      </c>
      <c r="J908" t="s">
        <v>134</v>
      </c>
      <c r="K908" t="s">
        <v>135</v>
      </c>
      <c r="L908" t="s">
        <v>2293</v>
      </c>
      <c r="M908" t="s">
        <v>43</v>
      </c>
      <c r="N908" t="s">
        <v>124</v>
      </c>
      <c r="O908" t="s">
        <v>45</v>
      </c>
      <c r="P908">
        <v>5</v>
      </c>
      <c r="Q908">
        <v>81.45</v>
      </c>
      <c r="R908" s="19">
        <v>0.05</v>
      </c>
      <c r="S908" s="21">
        <v>20.36</v>
      </c>
      <c r="T908">
        <v>407.25</v>
      </c>
      <c r="U908" s="2">
        <v>386.89</v>
      </c>
      <c r="V908">
        <v>142.78</v>
      </c>
      <c r="W908">
        <v>280.76</v>
      </c>
      <c r="X908" s="2">
        <v>-36.65</v>
      </c>
      <c r="Y908">
        <v>-9.4700000000000006E-2</v>
      </c>
      <c r="Z908">
        <v>1</v>
      </c>
      <c r="AA908" t="s">
        <v>46</v>
      </c>
      <c r="AB908" t="s">
        <v>47</v>
      </c>
      <c r="AD908">
        <v>4</v>
      </c>
      <c r="AE908" s="2">
        <v>471.3</v>
      </c>
      <c r="AF908">
        <v>0.82089999999999996</v>
      </c>
      <c r="AG908" t="s">
        <v>49</v>
      </c>
      <c r="AH908" s="23">
        <f>SUM(Amazon_Data_Set[[#This Row],[Gross Sales]]-Amazon_Data_Set[[#This Row],[Discount Amount]])</f>
        <v>386.89</v>
      </c>
    </row>
    <row r="909" spans="1:34">
      <c r="A909" t="s">
        <v>2294</v>
      </c>
      <c r="B909" s="1">
        <v>46083</v>
      </c>
      <c r="C909" t="str">
        <f>TEXT(Amazon_Data_Set[[#This Row],[Order Date]],"mmm")</f>
        <v>Mar</v>
      </c>
      <c r="D909" t="s">
        <v>437</v>
      </c>
      <c r="E909" t="s">
        <v>149</v>
      </c>
      <c r="F909" t="s">
        <v>150</v>
      </c>
      <c r="G909" t="s">
        <v>37</v>
      </c>
      <c r="H909" t="s">
        <v>55</v>
      </c>
      <c r="I909" t="s">
        <v>56</v>
      </c>
      <c r="J909" t="s">
        <v>57</v>
      </c>
      <c r="K909" t="s">
        <v>58</v>
      </c>
      <c r="L909" t="s">
        <v>2295</v>
      </c>
      <c r="M909" t="s">
        <v>106</v>
      </c>
      <c r="N909" t="s">
        <v>95</v>
      </c>
      <c r="O909" t="s">
        <v>96</v>
      </c>
      <c r="P909">
        <v>5</v>
      </c>
      <c r="Q909">
        <v>9812.02</v>
      </c>
      <c r="R909" s="19">
        <v>0.25</v>
      </c>
      <c r="S909" s="21">
        <v>12265.02</v>
      </c>
      <c r="T909">
        <v>49060.1</v>
      </c>
      <c r="U909" s="2">
        <v>36795.08</v>
      </c>
      <c r="V909">
        <v>130.16999999999999</v>
      </c>
      <c r="W909">
        <v>20421.060000000001</v>
      </c>
      <c r="X909" s="2">
        <v>16243.85</v>
      </c>
      <c r="Y909">
        <v>0.4415</v>
      </c>
      <c r="Z909">
        <v>0</v>
      </c>
      <c r="AA909" t="s">
        <v>97</v>
      </c>
      <c r="AB909" t="s">
        <v>47</v>
      </c>
      <c r="AE909" s="2">
        <v>31825.9</v>
      </c>
      <c r="AF909">
        <v>1.1560999999999999</v>
      </c>
      <c r="AG909" t="s">
        <v>49</v>
      </c>
      <c r="AH909" s="23">
        <f>SUM(Amazon_Data_Set[[#This Row],[Gross Sales]]-Amazon_Data_Set[[#This Row],[Discount Amount]])</f>
        <v>36795.08</v>
      </c>
    </row>
    <row r="910" spans="1:34">
      <c r="A910" t="s">
        <v>2296</v>
      </c>
      <c r="B910" s="1">
        <v>46048</v>
      </c>
      <c r="C910" t="str">
        <f>TEXT(Amazon_Data_Set[[#This Row],[Order Date]],"mmm")</f>
        <v>Jan</v>
      </c>
      <c r="D910" t="s">
        <v>1471</v>
      </c>
      <c r="E910" t="s">
        <v>140</v>
      </c>
      <c r="F910" t="s">
        <v>141</v>
      </c>
      <c r="G910" t="s">
        <v>54</v>
      </c>
      <c r="H910" t="s">
        <v>83</v>
      </c>
      <c r="I910" t="s">
        <v>102</v>
      </c>
      <c r="J910" t="s">
        <v>259</v>
      </c>
      <c r="K910" t="s">
        <v>260</v>
      </c>
      <c r="L910" t="s">
        <v>2297</v>
      </c>
      <c r="M910" t="s">
        <v>43</v>
      </c>
      <c r="N910" t="s">
        <v>70</v>
      </c>
      <c r="O910" t="s">
        <v>130</v>
      </c>
      <c r="P910">
        <v>4</v>
      </c>
      <c r="Q910">
        <v>1566.26</v>
      </c>
      <c r="R910" s="19">
        <v>0.15</v>
      </c>
      <c r="S910" s="21">
        <v>939.76</v>
      </c>
      <c r="T910">
        <v>6265.04</v>
      </c>
      <c r="U910" s="2">
        <v>5325.28</v>
      </c>
      <c r="V910">
        <v>2.48</v>
      </c>
      <c r="W910">
        <v>4022.82</v>
      </c>
      <c r="X910" s="2">
        <v>1299.98</v>
      </c>
      <c r="Y910">
        <v>0.24410000000000001</v>
      </c>
      <c r="Z910">
        <v>1</v>
      </c>
      <c r="AA910" t="s">
        <v>131</v>
      </c>
      <c r="AB910" t="s">
        <v>47</v>
      </c>
      <c r="AE910" s="2">
        <v>5597.89</v>
      </c>
      <c r="AF910">
        <v>0.95130000000000003</v>
      </c>
      <c r="AG910" t="s">
        <v>49</v>
      </c>
      <c r="AH910" s="23">
        <f>SUM(Amazon_Data_Set[[#This Row],[Gross Sales]]-Amazon_Data_Set[[#This Row],[Discount Amount]])</f>
        <v>5325.28</v>
      </c>
    </row>
    <row r="911" spans="1:34">
      <c r="A911" t="s">
        <v>2298</v>
      </c>
      <c r="B911" s="1">
        <v>46104</v>
      </c>
      <c r="C911" t="str">
        <f>TEXT(Amazon_Data_Set[[#This Row],[Order Date]],"mmm")</f>
        <v>Mar</v>
      </c>
      <c r="D911" t="s">
        <v>917</v>
      </c>
      <c r="E911" t="s">
        <v>80</v>
      </c>
      <c r="F911" t="s">
        <v>81</v>
      </c>
      <c r="G911" t="s">
        <v>82</v>
      </c>
      <c r="H911" t="s">
        <v>55</v>
      </c>
      <c r="I911" t="s">
        <v>73</v>
      </c>
      <c r="J911" t="s">
        <v>230</v>
      </c>
      <c r="K911" t="s">
        <v>231</v>
      </c>
      <c r="L911" t="s">
        <v>2299</v>
      </c>
      <c r="M911" t="s">
        <v>43</v>
      </c>
      <c r="N911" t="s">
        <v>95</v>
      </c>
      <c r="O911" t="s">
        <v>45</v>
      </c>
      <c r="P911">
        <v>3</v>
      </c>
      <c r="Q911">
        <v>32748.84</v>
      </c>
      <c r="R911" s="19">
        <v>0.1</v>
      </c>
      <c r="S911" s="21">
        <v>9824.65</v>
      </c>
      <c r="T911">
        <v>98246.52</v>
      </c>
      <c r="U911" s="2">
        <v>88421.87</v>
      </c>
      <c r="V911">
        <v>205.98</v>
      </c>
      <c r="W911">
        <v>53695.31</v>
      </c>
      <c r="X911" s="2">
        <v>34520.58</v>
      </c>
      <c r="Y911">
        <v>0.39040000000000002</v>
      </c>
      <c r="Z911">
        <v>2</v>
      </c>
      <c r="AA911" t="s">
        <v>46</v>
      </c>
      <c r="AB911" t="s">
        <v>47</v>
      </c>
      <c r="AD911">
        <v>5</v>
      </c>
      <c r="AE911" s="2">
        <v>89665.15</v>
      </c>
      <c r="AF911">
        <v>0.98609999999999998</v>
      </c>
      <c r="AG911" t="s">
        <v>347</v>
      </c>
      <c r="AH911" s="23">
        <f>SUM(Amazon_Data_Set[[#This Row],[Gross Sales]]-Amazon_Data_Set[[#This Row],[Discount Amount]])</f>
        <v>88421.87000000001</v>
      </c>
    </row>
    <row r="912" spans="1:34">
      <c r="A912" t="s">
        <v>2300</v>
      </c>
      <c r="B912" s="1">
        <v>46337</v>
      </c>
      <c r="C912" t="str">
        <f>TEXT(Amazon_Data_Set[[#This Row],[Order Date]],"mmm")</f>
        <v>Nov</v>
      </c>
      <c r="D912" t="s">
        <v>1263</v>
      </c>
      <c r="E912" t="s">
        <v>109</v>
      </c>
      <c r="F912" t="s">
        <v>110</v>
      </c>
      <c r="G912" t="s">
        <v>111</v>
      </c>
      <c r="H912" t="s">
        <v>142</v>
      </c>
      <c r="I912" t="s">
        <v>209</v>
      </c>
      <c r="J912" t="s">
        <v>511</v>
      </c>
      <c r="K912" t="s">
        <v>512</v>
      </c>
      <c r="L912" t="s">
        <v>2301</v>
      </c>
      <c r="M912" t="s">
        <v>43</v>
      </c>
      <c r="N912" t="s">
        <v>77</v>
      </c>
      <c r="O912" t="s">
        <v>45</v>
      </c>
      <c r="P912">
        <v>2</v>
      </c>
      <c r="Q912">
        <v>3038.74</v>
      </c>
      <c r="R912" s="19">
        <v>0.3</v>
      </c>
      <c r="S912" s="21">
        <v>1823.24</v>
      </c>
      <c r="T912">
        <v>6077.48</v>
      </c>
      <c r="U912" s="2">
        <v>4254.24</v>
      </c>
      <c r="V912">
        <v>216.24</v>
      </c>
      <c r="W912">
        <v>2854.09</v>
      </c>
      <c r="X912" s="2">
        <v>1183.9100000000001</v>
      </c>
      <c r="Y912">
        <v>0.27829999999999999</v>
      </c>
      <c r="Z912">
        <v>1</v>
      </c>
      <c r="AA912" t="s">
        <v>46</v>
      </c>
      <c r="AB912" t="s">
        <v>47</v>
      </c>
      <c r="AD912">
        <v>3</v>
      </c>
      <c r="AE912" s="2">
        <v>4775.38</v>
      </c>
      <c r="AF912">
        <v>0.89090000000000003</v>
      </c>
      <c r="AG912" t="s">
        <v>49</v>
      </c>
      <c r="AH912" s="23">
        <f>SUM(Amazon_Data_Set[[#This Row],[Gross Sales]]-Amazon_Data_Set[[#This Row],[Discount Amount]])</f>
        <v>4254.24</v>
      </c>
    </row>
    <row r="913" spans="1:34">
      <c r="A913" t="s">
        <v>2302</v>
      </c>
      <c r="B913" s="1">
        <v>46173</v>
      </c>
      <c r="C913" t="str">
        <f>TEXT(Amazon_Data_Set[[#This Row],[Order Date]],"mmm")</f>
        <v>May</v>
      </c>
      <c r="D913" t="s">
        <v>648</v>
      </c>
      <c r="E913" t="s">
        <v>35</v>
      </c>
      <c r="F913" t="s">
        <v>36</v>
      </c>
      <c r="G913" t="s">
        <v>37</v>
      </c>
      <c r="H913" t="s">
        <v>38</v>
      </c>
      <c r="I913" t="s">
        <v>161</v>
      </c>
      <c r="J913" t="s">
        <v>223</v>
      </c>
      <c r="K913" t="s">
        <v>224</v>
      </c>
      <c r="L913" t="s">
        <v>2303</v>
      </c>
      <c r="M913" t="s">
        <v>106</v>
      </c>
      <c r="N913" t="s">
        <v>95</v>
      </c>
      <c r="O913" t="s">
        <v>45</v>
      </c>
      <c r="P913">
        <v>4</v>
      </c>
      <c r="Q913">
        <v>391.82</v>
      </c>
      <c r="R913" s="19">
        <v>0.3</v>
      </c>
      <c r="S913" s="21">
        <v>470.18</v>
      </c>
      <c r="T913">
        <v>1567.28</v>
      </c>
      <c r="U913" s="2">
        <v>1097.0999999999999</v>
      </c>
      <c r="V913">
        <v>245.08</v>
      </c>
      <c r="W913">
        <v>597.47</v>
      </c>
      <c r="X913" s="2">
        <v>254.55</v>
      </c>
      <c r="Y913">
        <v>0.23200000000000001</v>
      </c>
      <c r="Z913">
        <v>8</v>
      </c>
      <c r="AA913" t="s">
        <v>61</v>
      </c>
      <c r="AB913" t="s">
        <v>48</v>
      </c>
      <c r="AC913" t="s">
        <v>158</v>
      </c>
      <c r="AD913">
        <v>4</v>
      </c>
      <c r="AE913" s="2">
        <v>1060.3399999999999</v>
      </c>
      <c r="AF913">
        <v>1.0347</v>
      </c>
      <c r="AG913" t="s">
        <v>49</v>
      </c>
      <c r="AH913" s="23">
        <f>SUM(Amazon_Data_Set[[#This Row],[Gross Sales]]-Amazon_Data_Set[[#This Row],[Discount Amount]])</f>
        <v>1097.0999999999999</v>
      </c>
    </row>
    <row r="914" spans="1:34">
      <c r="A914" t="s">
        <v>2304</v>
      </c>
      <c r="B914" s="1">
        <v>46099</v>
      </c>
      <c r="C914" t="str">
        <f>TEXT(Amazon_Data_Set[[#This Row],[Order Date]],"mmm")</f>
        <v>Mar</v>
      </c>
      <c r="D914" t="s">
        <v>1530</v>
      </c>
      <c r="E914" t="s">
        <v>35</v>
      </c>
      <c r="F914" t="s">
        <v>36</v>
      </c>
      <c r="G914" t="s">
        <v>37</v>
      </c>
      <c r="H914" t="s">
        <v>55</v>
      </c>
      <c r="I914" t="s">
        <v>73</v>
      </c>
      <c r="J914" t="s">
        <v>74</v>
      </c>
      <c r="K914" t="s">
        <v>75</v>
      </c>
      <c r="L914" t="s">
        <v>2305</v>
      </c>
      <c r="M914" t="s">
        <v>106</v>
      </c>
      <c r="N914" t="s">
        <v>60</v>
      </c>
      <c r="O914" t="s">
        <v>45</v>
      </c>
      <c r="P914">
        <v>2</v>
      </c>
      <c r="Q914">
        <v>33861.86</v>
      </c>
      <c r="R914" s="19">
        <v>0.05</v>
      </c>
      <c r="S914" s="21">
        <v>3386.19</v>
      </c>
      <c r="T914">
        <v>67723.72</v>
      </c>
      <c r="U914" s="2">
        <v>64337.53</v>
      </c>
      <c r="V914">
        <v>169.83</v>
      </c>
      <c r="W914">
        <v>39372.019999999997</v>
      </c>
      <c r="X914" s="2">
        <v>24795.68</v>
      </c>
      <c r="Y914">
        <v>0.38540000000000002</v>
      </c>
      <c r="Z914">
        <v>7</v>
      </c>
      <c r="AA914" t="s">
        <v>61</v>
      </c>
      <c r="AB914" t="s">
        <v>47</v>
      </c>
      <c r="AD914">
        <v>5</v>
      </c>
      <c r="AE914" s="2">
        <v>55692.35</v>
      </c>
      <c r="AF914">
        <v>1.1552</v>
      </c>
      <c r="AG914" t="s">
        <v>49</v>
      </c>
      <c r="AH914" s="23">
        <f>SUM(Amazon_Data_Set[[#This Row],[Gross Sales]]-Amazon_Data_Set[[#This Row],[Discount Amount]])</f>
        <v>64337.53</v>
      </c>
    </row>
    <row r="915" spans="1:34">
      <c r="A915" t="s">
        <v>2306</v>
      </c>
      <c r="B915" s="1">
        <v>46386</v>
      </c>
      <c r="C915" t="str">
        <f>TEXT(Amazon_Data_Set[[#This Row],[Order Date]],"mmm")</f>
        <v>Dec</v>
      </c>
      <c r="D915" t="s">
        <v>856</v>
      </c>
      <c r="E915" t="s">
        <v>194</v>
      </c>
      <c r="F915" t="s">
        <v>195</v>
      </c>
      <c r="G915" t="s">
        <v>111</v>
      </c>
      <c r="H915" t="s">
        <v>38</v>
      </c>
      <c r="I915" t="s">
        <v>161</v>
      </c>
      <c r="J915" t="s">
        <v>297</v>
      </c>
      <c r="K915" t="s">
        <v>298</v>
      </c>
      <c r="L915" t="s">
        <v>2307</v>
      </c>
      <c r="M915" t="s">
        <v>106</v>
      </c>
      <c r="N915" t="s">
        <v>124</v>
      </c>
      <c r="O915" t="s">
        <v>45</v>
      </c>
      <c r="P915">
        <v>4</v>
      </c>
      <c r="Q915">
        <v>4285.3999999999996</v>
      </c>
      <c r="R915" s="19">
        <v>0.2</v>
      </c>
      <c r="S915" s="21">
        <v>3428.32</v>
      </c>
      <c r="T915">
        <v>17141.599999999999</v>
      </c>
      <c r="U915" s="2">
        <v>13713.28</v>
      </c>
      <c r="V915">
        <v>54.96</v>
      </c>
      <c r="W915">
        <v>9978.26</v>
      </c>
      <c r="X915" s="2">
        <v>3680.06</v>
      </c>
      <c r="Y915">
        <v>0.26840000000000003</v>
      </c>
      <c r="Z915">
        <v>3</v>
      </c>
      <c r="AA915" t="s">
        <v>46</v>
      </c>
      <c r="AB915" t="s">
        <v>47</v>
      </c>
      <c r="AD915">
        <v>4</v>
      </c>
      <c r="AE915" s="2">
        <v>13078.46</v>
      </c>
      <c r="AF915">
        <v>1.0485</v>
      </c>
      <c r="AG915" t="s">
        <v>49</v>
      </c>
      <c r="AH915" s="23">
        <f>SUM(Amazon_Data_Set[[#This Row],[Gross Sales]]-Amazon_Data_Set[[#This Row],[Discount Amount]])</f>
        <v>13713.279999999999</v>
      </c>
    </row>
    <row r="916" spans="1:34">
      <c r="A916" t="s">
        <v>2308</v>
      </c>
      <c r="B916" s="1">
        <v>46136</v>
      </c>
      <c r="C916" t="str">
        <f>TEXT(Amazon_Data_Set[[#This Row],[Order Date]],"mmm")</f>
        <v>Apr</v>
      </c>
      <c r="D916" t="s">
        <v>501</v>
      </c>
      <c r="E916" t="s">
        <v>149</v>
      </c>
      <c r="F916" t="s">
        <v>150</v>
      </c>
      <c r="G916" t="s">
        <v>37</v>
      </c>
      <c r="H916" t="s">
        <v>38</v>
      </c>
      <c r="I916" t="s">
        <v>161</v>
      </c>
      <c r="J916" t="s">
        <v>297</v>
      </c>
      <c r="K916" t="s">
        <v>298</v>
      </c>
      <c r="L916" t="s">
        <v>2309</v>
      </c>
      <c r="M916" t="s">
        <v>43</v>
      </c>
      <c r="N916" t="s">
        <v>70</v>
      </c>
      <c r="O916" t="s">
        <v>45</v>
      </c>
      <c r="P916">
        <v>1</v>
      </c>
      <c r="Q916">
        <v>1448.16</v>
      </c>
      <c r="R916" s="19">
        <v>0.25</v>
      </c>
      <c r="S916" s="21">
        <v>362.04</v>
      </c>
      <c r="T916">
        <v>1448.16</v>
      </c>
      <c r="U916" s="2">
        <v>1086.1199999999999</v>
      </c>
      <c r="V916">
        <v>20.11</v>
      </c>
      <c r="W916">
        <v>761.8</v>
      </c>
      <c r="X916" s="2">
        <v>304.20999999999998</v>
      </c>
      <c r="Y916">
        <v>0.28010000000000002</v>
      </c>
      <c r="Z916">
        <v>7</v>
      </c>
      <c r="AA916" t="s">
        <v>61</v>
      </c>
      <c r="AB916" t="s">
        <v>47</v>
      </c>
      <c r="AD916">
        <v>5</v>
      </c>
      <c r="AE916" s="2">
        <v>1270.04</v>
      </c>
      <c r="AF916">
        <v>0.85519999999999996</v>
      </c>
      <c r="AG916" t="s">
        <v>49</v>
      </c>
      <c r="AH916" s="23">
        <f>SUM(Amazon_Data_Set[[#This Row],[Gross Sales]]-Amazon_Data_Set[[#This Row],[Discount Amount]])</f>
        <v>1086.1200000000001</v>
      </c>
    </row>
    <row r="917" spans="1:34">
      <c r="A917" t="s">
        <v>2310</v>
      </c>
      <c r="B917" s="1">
        <v>46297</v>
      </c>
      <c r="C917" t="str">
        <f>TEXT(Amazon_Data_Set[[#This Row],[Order Date]],"mmm")</f>
        <v>Oct</v>
      </c>
      <c r="D917" t="s">
        <v>2311</v>
      </c>
      <c r="E917" t="s">
        <v>109</v>
      </c>
      <c r="F917" t="s">
        <v>154</v>
      </c>
      <c r="G917" t="s">
        <v>111</v>
      </c>
      <c r="H917" t="s">
        <v>83</v>
      </c>
      <c r="I917" t="s">
        <v>84</v>
      </c>
      <c r="J917" t="s">
        <v>277</v>
      </c>
      <c r="K917" t="s">
        <v>86</v>
      </c>
      <c r="L917" t="s">
        <v>2312</v>
      </c>
      <c r="M917" t="s">
        <v>106</v>
      </c>
      <c r="N917" t="s">
        <v>60</v>
      </c>
      <c r="O917" t="s">
        <v>45</v>
      </c>
      <c r="P917">
        <v>3</v>
      </c>
      <c r="Q917">
        <v>1510.17</v>
      </c>
      <c r="R917" s="19">
        <v>0.05</v>
      </c>
      <c r="S917" s="21">
        <v>226.53</v>
      </c>
      <c r="T917">
        <v>4530.51</v>
      </c>
      <c r="U917" s="2">
        <v>4303.9799999999996</v>
      </c>
      <c r="V917">
        <v>119.66</v>
      </c>
      <c r="W917">
        <v>2940.17</v>
      </c>
      <c r="X917" s="2">
        <v>1244.1500000000001</v>
      </c>
      <c r="Y917">
        <v>0.28910000000000002</v>
      </c>
      <c r="Z917">
        <v>4</v>
      </c>
      <c r="AA917" t="s">
        <v>46</v>
      </c>
      <c r="AB917" t="s">
        <v>47</v>
      </c>
      <c r="AD917">
        <v>5</v>
      </c>
      <c r="AE917" s="2">
        <v>4499.2700000000004</v>
      </c>
      <c r="AF917">
        <v>0.95660000000000001</v>
      </c>
      <c r="AG917" t="s">
        <v>49</v>
      </c>
      <c r="AH917" s="23">
        <f>SUM(Amazon_Data_Set[[#This Row],[Gross Sales]]-Amazon_Data_Set[[#This Row],[Discount Amount]])</f>
        <v>4303.9800000000005</v>
      </c>
    </row>
    <row r="918" spans="1:34">
      <c r="A918" t="s">
        <v>2313</v>
      </c>
      <c r="B918" s="1">
        <v>46122</v>
      </c>
      <c r="C918" t="str">
        <f>TEXT(Amazon_Data_Set[[#This Row],[Order Date]],"mmm")</f>
        <v>Apr</v>
      </c>
      <c r="D918" t="s">
        <v>537</v>
      </c>
      <c r="E918" t="s">
        <v>149</v>
      </c>
      <c r="F918" t="s">
        <v>150</v>
      </c>
      <c r="G918" t="s">
        <v>37</v>
      </c>
      <c r="H918" t="s">
        <v>83</v>
      </c>
      <c r="I918" t="s">
        <v>84</v>
      </c>
      <c r="J918" t="s">
        <v>277</v>
      </c>
      <c r="K918" t="s">
        <v>86</v>
      </c>
      <c r="L918" t="s">
        <v>2314</v>
      </c>
      <c r="M918" t="s">
        <v>43</v>
      </c>
      <c r="N918" t="s">
        <v>70</v>
      </c>
      <c r="O918" t="s">
        <v>45</v>
      </c>
      <c r="P918">
        <v>4</v>
      </c>
      <c r="Q918">
        <v>934.44</v>
      </c>
      <c r="R918" s="19">
        <v>0.15</v>
      </c>
      <c r="S918" s="21">
        <v>560.66</v>
      </c>
      <c r="T918">
        <v>3737.76</v>
      </c>
      <c r="U918" s="2">
        <v>3177.1</v>
      </c>
      <c r="V918">
        <v>172.18</v>
      </c>
      <c r="W918">
        <v>2038.25</v>
      </c>
      <c r="X918" s="2">
        <v>966.67</v>
      </c>
      <c r="Y918">
        <v>0.30430000000000001</v>
      </c>
      <c r="Z918">
        <v>8</v>
      </c>
      <c r="AA918" t="s">
        <v>61</v>
      </c>
      <c r="AB918" t="s">
        <v>47</v>
      </c>
      <c r="AD918">
        <v>4</v>
      </c>
      <c r="AE918" s="2">
        <v>3422.08</v>
      </c>
      <c r="AF918">
        <v>0.9284</v>
      </c>
      <c r="AG918" t="s">
        <v>49</v>
      </c>
      <c r="AH918" s="23">
        <f>SUM(Amazon_Data_Set[[#This Row],[Gross Sales]]-Amazon_Data_Set[[#This Row],[Discount Amount]])</f>
        <v>3177.1000000000004</v>
      </c>
    </row>
    <row r="919" spans="1:34">
      <c r="A919" t="s">
        <v>2315</v>
      </c>
      <c r="B919" s="1">
        <v>46094</v>
      </c>
      <c r="C919" t="str">
        <f>TEXT(Amazon_Data_Set[[#This Row],[Order Date]],"mmm")</f>
        <v>Mar</v>
      </c>
      <c r="D919" t="s">
        <v>51</v>
      </c>
      <c r="E919" t="s">
        <v>109</v>
      </c>
      <c r="F919" t="s">
        <v>154</v>
      </c>
      <c r="G919" t="s">
        <v>111</v>
      </c>
      <c r="H919" t="s">
        <v>38</v>
      </c>
      <c r="I919" t="s">
        <v>161</v>
      </c>
      <c r="J919" t="s">
        <v>223</v>
      </c>
      <c r="K919" t="s">
        <v>224</v>
      </c>
      <c r="L919" t="s">
        <v>2316</v>
      </c>
      <c r="M919" t="s">
        <v>43</v>
      </c>
      <c r="N919" t="s">
        <v>60</v>
      </c>
      <c r="O919" t="s">
        <v>45</v>
      </c>
      <c r="P919">
        <v>1</v>
      </c>
      <c r="Q919">
        <v>989.48</v>
      </c>
      <c r="R919" s="19">
        <v>0.1</v>
      </c>
      <c r="S919" s="21">
        <v>98.95</v>
      </c>
      <c r="T919">
        <v>989.48</v>
      </c>
      <c r="U919" s="2">
        <v>890.53</v>
      </c>
      <c r="V919">
        <v>205.46</v>
      </c>
      <c r="W919">
        <v>490.68</v>
      </c>
      <c r="X919" s="2">
        <v>194.39</v>
      </c>
      <c r="Y919">
        <v>0.21829999999999999</v>
      </c>
      <c r="Z919">
        <v>8</v>
      </c>
      <c r="AA919" t="s">
        <v>61</v>
      </c>
      <c r="AB919" t="s">
        <v>47</v>
      </c>
      <c r="AD919">
        <v>4</v>
      </c>
      <c r="AE919" s="2">
        <v>980.76</v>
      </c>
      <c r="AF919">
        <v>0.90800000000000003</v>
      </c>
      <c r="AG919" t="s">
        <v>49</v>
      </c>
      <c r="AH919" s="23">
        <f>SUM(Amazon_Data_Set[[#This Row],[Gross Sales]]-Amazon_Data_Set[[#This Row],[Discount Amount]])</f>
        <v>890.53</v>
      </c>
    </row>
    <row r="920" spans="1:34">
      <c r="A920" t="s">
        <v>2317</v>
      </c>
      <c r="B920" s="1">
        <v>46178</v>
      </c>
      <c r="C920" t="str">
        <f>TEXT(Amazon_Data_Set[[#This Row],[Order Date]],"mmm")</f>
        <v>Jun</v>
      </c>
      <c r="D920" t="s">
        <v>1474</v>
      </c>
      <c r="E920" t="s">
        <v>52</v>
      </c>
      <c r="F920" t="s">
        <v>53</v>
      </c>
      <c r="G920" t="s">
        <v>54</v>
      </c>
      <c r="H920" t="s">
        <v>142</v>
      </c>
      <c r="I920" t="s">
        <v>209</v>
      </c>
      <c r="J920" t="s">
        <v>243</v>
      </c>
      <c r="K920" t="s">
        <v>145</v>
      </c>
      <c r="L920" t="s">
        <v>2318</v>
      </c>
      <c r="M920" t="s">
        <v>43</v>
      </c>
      <c r="N920" t="s">
        <v>44</v>
      </c>
      <c r="O920" t="s">
        <v>45</v>
      </c>
      <c r="P920">
        <v>1</v>
      </c>
      <c r="Q920">
        <v>4771.1000000000004</v>
      </c>
      <c r="R920" s="19">
        <v>0.2</v>
      </c>
      <c r="S920" s="21">
        <v>954.22</v>
      </c>
      <c r="T920">
        <v>4771.1000000000004</v>
      </c>
      <c r="U920" s="2">
        <v>3816.88</v>
      </c>
      <c r="V920">
        <v>93.6</v>
      </c>
      <c r="W920">
        <v>1832.81</v>
      </c>
      <c r="X920" s="2">
        <v>1890.47</v>
      </c>
      <c r="Y920">
        <v>0.49530000000000002</v>
      </c>
      <c r="Z920">
        <v>5</v>
      </c>
      <c r="AA920" t="s">
        <v>61</v>
      </c>
      <c r="AB920" t="s">
        <v>47</v>
      </c>
      <c r="AD920">
        <v>5</v>
      </c>
      <c r="AE920" s="2">
        <v>4106.87</v>
      </c>
      <c r="AF920">
        <v>0.9294</v>
      </c>
      <c r="AG920" t="s">
        <v>49</v>
      </c>
      <c r="AH920" s="23">
        <f>SUM(Amazon_Data_Set[[#This Row],[Gross Sales]]-Amazon_Data_Set[[#This Row],[Discount Amount]])</f>
        <v>3816.88</v>
      </c>
    </row>
    <row r="921" spans="1:34">
      <c r="A921" t="s">
        <v>2319</v>
      </c>
      <c r="B921" s="1">
        <v>46273</v>
      </c>
      <c r="C921" t="str">
        <f>TEXT(Amazon_Data_Set[[#This Row],[Order Date]],"mmm")</f>
        <v>Sep</v>
      </c>
      <c r="D921" t="s">
        <v>2211</v>
      </c>
      <c r="E921" t="s">
        <v>80</v>
      </c>
      <c r="F921" t="s">
        <v>81</v>
      </c>
      <c r="G921" t="s">
        <v>82</v>
      </c>
      <c r="H921" t="s">
        <v>90</v>
      </c>
      <c r="I921" t="s">
        <v>91</v>
      </c>
      <c r="J921" t="s">
        <v>313</v>
      </c>
      <c r="K921" t="s">
        <v>314</v>
      </c>
      <c r="L921" t="s">
        <v>2320</v>
      </c>
      <c r="M921" t="s">
        <v>106</v>
      </c>
      <c r="N921" t="s">
        <v>95</v>
      </c>
      <c r="O921" t="s">
        <v>45</v>
      </c>
      <c r="P921">
        <v>5</v>
      </c>
      <c r="Q921">
        <v>234.42</v>
      </c>
      <c r="R921" s="19">
        <v>0</v>
      </c>
      <c r="S921" s="21">
        <v>0</v>
      </c>
      <c r="T921">
        <v>1172.0999999999999</v>
      </c>
      <c r="U921" s="2">
        <v>1172.0999999999999</v>
      </c>
      <c r="V921">
        <v>43.99</v>
      </c>
      <c r="W921">
        <v>784.37</v>
      </c>
      <c r="X921" s="2">
        <v>343.74</v>
      </c>
      <c r="Y921">
        <v>0.29330000000000001</v>
      </c>
      <c r="Z921">
        <v>3</v>
      </c>
      <c r="AA921" t="s">
        <v>46</v>
      </c>
      <c r="AB921" t="s">
        <v>47</v>
      </c>
      <c r="AD921">
        <v>4</v>
      </c>
      <c r="AE921" s="2">
        <v>1267.56</v>
      </c>
      <c r="AF921">
        <v>0.92469999999999997</v>
      </c>
      <c r="AG921" t="s">
        <v>49</v>
      </c>
      <c r="AH921" s="23">
        <f>SUM(Amazon_Data_Set[[#This Row],[Gross Sales]]-Amazon_Data_Set[[#This Row],[Discount Amount]])</f>
        <v>1172.0999999999999</v>
      </c>
    </row>
    <row r="922" spans="1:34">
      <c r="A922" t="s">
        <v>2321</v>
      </c>
      <c r="B922" s="1">
        <v>46273</v>
      </c>
      <c r="C922" t="str">
        <f>TEXT(Amazon_Data_Set[[#This Row],[Order Date]],"mmm")</f>
        <v>Sep</v>
      </c>
      <c r="D922" t="s">
        <v>328</v>
      </c>
      <c r="E922" t="s">
        <v>109</v>
      </c>
      <c r="F922" t="s">
        <v>154</v>
      </c>
      <c r="G922" t="s">
        <v>111</v>
      </c>
      <c r="H922" t="s">
        <v>55</v>
      </c>
      <c r="I922" t="s">
        <v>56</v>
      </c>
      <c r="J922" t="s">
        <v>582</v>
      </c>
      <c r="K922" t="s">
        <v>583</v>
      </c>
      <c r="L922" t="s">
        <v>2322</v>
      </c>
      <c r="M922" t="s">
        <v>43</v>
      </c>
      <c r="N922" t="s">
        <v>70</v>
      </c>
      <c r="O922" t="s">
        <v>130</v>
      </c>
      <c r="P922">
        <v>3</v>
      </c>
      <c r="Q922">
        <v>62908.4</v>
      </c>
      <c r="R922" s="19">
        <v>0.25</v>
      </c>
      <c r="S922" s="21">
        <v>47181.3</v>
      </c>
      <c r="T922">
        <v>188725.2</v>
      </c>
      <c r="U922" s="2">
        <v>141543.9</v>
      </c>
      <c r="V922">
        <v>235.29</v>
      </c>
      <c r="W922">
        <v>105549.25</v>
      </c>
      <c r="X922" s="2">
        <v>35759.360000000001</v>
      </c>
      <c r="Y922">
        <v>0.25259999999999999</v>
      </c>
      <c r="Z922">
        <v>8</v>
      </c>
      <c r="AA922" t="s">
        <v>131</v>
      </c>
      <c r="AB922" t="s">
        <v>47</v>
      </c>
      <c r="AE922" s="2">
        <v>169798.47</v>
      </c>
      <c r="AF922">
        <v>0.83360000000000001</v>
      </c>
      <c r="AG922" t="s">
        <v>49</v>
      </c>
      <c r="AH922" s="23">
        <f>SUM(Amazon_Data_Set[[#This Row],[Gross Sales]]-Amazon_Data_Set[[#This Row],[Discount Amount]])</f>
        <v>141543.90000000002</v>
      </c>
    </row>
    <row r="923" spans="1:34">
      <c r="A923" t="s">
        <v>2323</v>
      </c>
      <c r="B923" s="1">
        <v>46171</v>
      </c>
      <c r="C923" t="str">
        <f>TEXT(Amazon_Data_Set[[#This Row],[Order Date]],"mmm")</f>
        <v>May</v>
      </c>
      <c r="D923" t="s">
        <v>1296</v>
      </c>
      <c r="E923" t="s">
        <v>228</v>
      </c>
      <c r="F923" t="s">
        <v>229</v>
      </c>
      <c r="G923" t="s">
        <v>37</v>
      </c>
      <c r="H923" t="s">
        <v>83</v>
      </c>
      <c r="I923" t="s">
        <v>188</v>
      </c>
      <c r="J923" t="s">
        <v>690</v>
      </c>
      <c r="K923" t="s">
        <v>691</v>
      </c>
      <c r="L923" t="s">
        <v>2324</v>
      </c>
      <c r="M923" t="s">
        <v>43</v>
      </c>
      <c r="N923" t="s">
        <v>124</v>
      </c>
      <c r="O923" t="s">
        <v>45</v>
      </c>
      <c r="P923">
        <v>2</v>
      </c>
      <c r="Q923">
        <v>2366.9699999999998</v>
      </c>
      <c r="R923" s="19">
        <v>0.3</v>
      </c>
      <c r="S923" s="21">
        <v>1420.18</v>
      </c>
      <c r="T923">
        <v>4733.9399999999996</v>
      </c>
      <c r="U923" s="2">
        <v>3313.76</v>
      </c>
      <c r="V923">
        <v>47.07</v>
      </c>
      <c r="W923">
        <v>2473.63</v>
      </c>
      <c r="X923" s="2">
        <v>793.06</v>
      </c>
      <c r="Y923">
        <v>0.23930000000000001</v>
      </c>
      <c r="Z923">
        <v>1</v>
      </c>
      <c r="AA923" t="s">
        <v>46</v>
      </c>
      <c r="AB923" t="s">
        <v>47</v>
      </c>
      <c r="AD923">
        <v>5</v>
      </c>
      <c r="AE923" s="2">
        <v>3940.13</v>
      </c>
      <c r="AF923">
        <v>0.84099999999999997</v>
      </c>
      <c r="AG923" t="s">
        <v>49</v>
      </c>
      <c r="AH923" s="23">
        <f>SUM(Amazon_Data_Set[[#This Row],[Gross Sales]]-Amazon_Data_Set[[#This Row],[Discount Amount]])</f>
        <v>3313.7599999999993</v>
      </c>
    </row>
    <row r="924" spans="1:34">
      <c r="A924" t="s">
        <v>2325</v>
      </c>
      <c r="B924" s="1">
        <v>46280</v>
      </c>
      <c r="C924" t="str">
        <f>TEXT(Amazon_Data_Set[[#This Row],[Order Date]],"mmm")</f>
        <v>Sep</v>
      </c>
      <c r="D924" t="s">
        <v>403</v>
      </c>
      <c r="E924" t="s">
        <v>118</v>
      </c>
      <c r="F924" t="s">
        <v>119</v>
      </c>
      <c r="G924" t="s">
        <v>82</v>
      </c>
      <c r="H924" t="s">
        <v>142</v>
      </c>
      <c r="I924" t="s">
        <v>143</v>
      </c>
      <c r="J924" t="s">
        <v>144</v>
      </c>
      <c r="K924" t="s">
        <v>145</v>
      </c>
      <c r="L924" t="s">
        <v>2326</v>
      </c>
      <c r="M924" t="s">
        <v>106</v>
      </c>
      <c r="N924" t="s">
        <v>95</v>
      </c>
      <c r="O924" t="s">
        <v>45</v>
      </c>
      <c r="P924">
        <v>2</v>
      </c>
      <c r="Q924">
        <v>3123.85</v>
      </c>
      <c r="R924" s="19">
        <v>0.1</v>
      </c>
      <c r="S924" s="21">
        <v>624.77</v>
      </c>
      <c r="T924">
        <v>6247.7</v>
      </c>
      <c r="U924" s="2">
        <v>5622.93</v>
      </c>
      <c r="V924">
        <v>171.15</v>
      </c>
      <c r="W924">
        <v>3379.59</v>
      </c>
      <c r="X924" s="2">
        <v>2072.19</v>
      </c>
      <c r="Y924">
        <v>0.36849999999999999</v>
      </c>
      <c r="Z924">
        <v>6</v>
      </c>
      <c r="AA924" t="s">
        <v>61</v>
      </c>
      <c r="AB924" t="s">
        <v>47</v>
      </c>
      <c r="AD924">
        <v>5</v>
      </c>
      <c r="AE924" s="2">
        <v>5721.81</v>
      </c>
      <c r="AF924">
        <v>0.98270000000000002</v>
      </c>
      <c r="AG924" t="s">
        <v>347</v>
      </c>
      <c r="AH924" s="23">
        <f>SUM(Amazon_Data_Set[[#This Row],[Gross Sales]]-Amazon_Data_Set[[#This Row],[Discount Amount]])</f>
        <v>5622.93</v>
      </c>
    </row>
    <row r="925" spans="1:34">
      <c r="A925" t="s">
        <v>2327</v>
      </c>
      <c r="B925" s="1">
        <v>46380</v>
      </c>
      <c r="C925" t="str">
        <f>TEXT(Amazon_Data_Set[[#This Row],[Order Date]],"mmm")</f>
        <v>Dec</v>
      </c>
      <c r="D925" t="s">
        <v>246</v>
      </c>
      <c r="E925" t="s">
        <v>149</v>
      </c>
      <c r="F925" t="s">
        <v>150</v>
      </c>
      <c r="G925" t="s">
        <v>37</v>
      </c>
      <c r="H925" t="s">
        <v>142</v>
      </c>
      <c r="I925" t="s">
        <v>209</v>
      </c>
      <c r="J925" t="s">
        <v>243</v>
      </c>
      <c r="K925" t="s">
        <v>145</v>
      </c>
      <c r="L925" t="s">
        <v>2328</v>
      </c>
      <c r="M925" t="s">
        <v>43</v>
      </c>
      <c r="N925" t="s">
        <v>44</v>
      </c>
      <c r="O925" t="s">
        <v>130</v>
      </c>
      <c r="P925">
        <v>5</v>
      </c>
      <c r="Q925">
        <v>1432.49</v>
      </c>
      <c r="R925" s="19">
        <v>0.05</v>
      </c>
      <c r="S925" s="21">
        <v>358.12</v>
      </c>
      <c r="T925">
        <v>7162.45</v>
      </c>
      <c r="U925" s="2">
        <v>6804.33</v>
      </c>
      <c r="V925">
        <v>67.09</v>
      </c>
      <c r="W925">
        <v>3494.32</v>
      </c>
      <c r="X925" s="2">
        <v>3242.92</v>
      </c>
      <c r="Y925">
        <v>0.47660000000000002</v>
      </c>
      <c r="Z925">
        <v>2</v>
      </c>
      <c r="AA925" t="s">
        <v>131</v>
      </c>
      <c r="AB925" t="s">
        <v>47</v>
      </c>
      <c r="AE925" s="2">
        <v>6060.9</v>
      </c>
      <c r="AF925">
        <v>1.1227</v>
      </c>
      <c r="AG925" t="s">
        <v>49</v>
      </c>
      <c r="AH925" s="23">
        <f>SUM(Amazon_Data_Set[[#This Row],[Gross Sales]]-Amazon_Data_Set[[#This Row],[Discount Amount]])</f>
        <v>6804.33</v>
      </c>
    </row>
    <row r="926" spans="1:34">
      <c r="A926" t="s">
        <v>2329</v>
      </c>
      <c r="B926" s="1">
        <v>46275</v>
      </c>
      <c r="C926" t="str">
        <f>TEXT(Amazon_Data_Set[[#This Row],[Order Date]],"mmm")</f>
        <v>Sep</v>
      </c>
      <c r="D926" t="s">
        <v>193</v>
      </c>
      <c r="E926" t="s">
        <v>109</v>
      </c>
      <c r="F926" t="s">
        <v>154</v>
      </c>
      <c r="G926" t="s">
        <v>111</v>
      </c>
      <c r="H926" t="s">
        <v>142</v>
      </c>
      <c r="I926" t="s">
        <v>209</v>
      </c>
      <c r="J926" t="s">
        <v>511</v>
      </c>
      <c r="K926" t="s">
        <v>512</v>
      </c>
      <c r="L926" t="s">
        <v>2330</v>
      </c>
      <c r="M926" t="s">
        <v>106</v>
      </c>
      <c r="N926" t="s">
        <v>77</v>
      </c>
      <c r="O926" t="s">
        <v>45</v>
      </c>
      <c r="P926">
        <v>2</v>
      </c>
      <c r="Q926">
        <v>6041.59</v>
      </c>
      <c r="R926" s="19">
        <v>0.15</v>
      </c>
      <c r="S926" s="21">
        <v>1812.48</v>
      </c>
      <c r="T926">
        <v>12083.18</v>
      </c>
      <c r="U926" s="2">
        <v>10270.700000000001</v>
      </c>
      <c r="V926">
        <v>31.25</v>
      </c>
      <c r="W926">
        <v>6349.87</v>
      </c>
      <c r="X926" s="2">
        <v>3889.58</v>
      </c>
      <c r="Y926">
        <v>0.37869999999999998</v>
      </c>
      <c r="Z926">
        <v>4</v>
      </c>
      <c r="AA926" t="s">
        <v>46</v>
      </c>
      <c r="AB926" t="s">
        <v>47</v>
      </c>
      <c r="AD926">
        <v>4</v>
      </c>
      <c r="AE926" s="2">
        <v>12355.33</v>
      </c>
      <c r="AF926">
        <v>0.83130000000000004</v>
      </c>
      <c r="AG926" t="s">
        <v>49</v>
      </c>
      <c r="AH926" s="23">
        <f>SUM(Amazon_Data_Set[[#This Row],[Gross Sales]]-Amazon_Data_Set[[#This Row],[Discount Amount]])</f>
        <v>10270.700000000001</v>
      </c>
    </row>
    <row r="927" spans="1:34">
      <c r="A927" t="s">
        <v>2331</v>
      </c>
      <c r="B927" s="1">
        <v>46110</v>
      </c>
      <c r="C927" t="str">
        <f>TEXT(Amazon_Data_Set[[#This Row],[Order Date]],"mmm")</f>
        <v>Mar</v>
      </c>
      <c r="D927" t="s">
        <v>787</v>
      </c>
      <c r="E927" t="s">
        <v>109</v>
      </c>
      <c r="F927" t="s">
        <v>110</v>
      </c>
      <c r="G927" t="s">
        <v>111</v>
      </c>
      <c r="H927" t="s">
        <v>55</v>
      </c>
      <c r="I927" t="s">
        <v>56</v>
      </c>
      <c r="J927" t="s">
        <v>57</v>
      </c>
      <c r="K927" t="s">
        <v>58</v>
      </c>
      <c r="L927" t="s">
        <v>2332</v>
      </c>
      <c r="M927" t="s">
        <v>106</v>
      </c>
      <c r="N927" t="s">
        <v>124</v>
      </c>
      <c r="O927" t="s">
        <v>45</v>
      </c>
      <c r="P927">
        <v>5</v>
      </c>
      <c r="Q927">
        <v>619.58000000000004</v>
      </c>
      <c r="R927" s="19">
        <v>0.3</v>
      </c>
      <c r="S927" s="21">
        <v>929.37</v>
      </c>
      <c r="T927">
        <v>3097.9</v>
      </c>
      <c r="U927" s="2">
        <v>2168.5300000000002</v>
      </c>
      <c r="V927">
        <v>66.150000000000006</v>
      </c>
      <c r="W927">
        <v>1333.83</v>
      </c>
      <c r="X927" s="2">
        <v>768.55</v>
      </c>
      <c r="Y927">
        <v>0.35439999999999999</v>
      </c>
      <c r="Z927">
        <v>8</v>
      </c>
      <c r="AA927" t="s">
        <v>61</v>
      </c>
      <c r="AB927" t="s">
        <v>47</v>
      </c>
      <c r="AD927">
        <v>5</v>
      </c>
      <c r="AE927" s="2">
        <v>2504.1799999999998</v>
      </c>
      <c r="AF927">
        <v>0.86599999999999999</v>
      </c>
      <c r="AG927" t="s">
        <v>49</v>
      </c>
      <c r="AH927" s="23">
        <f>SUM(Amazon_Data_Set[[#This Row],[Gross Sales]]-Amazon_Data_Set[[#This Row],[Discount Amount]])</f>
        <v>2168.5300000000002</v>
      </c>
    </row>
    <row r="928" spans="1:34">
      <c r="A928" t="s">
        <v>2333</v>
      </c>
      <c r="B928" s="1">
        <v>46088</v>
      </c>
      <c r="C928" t="str">
        <f>TEXT(Amazon_Data_Set[[#This Row],[Order Date]],"mmm")</f>
        <v>Mar</v>
      </c>
      <c r="D928" t="s">
        <v>884</v>
      </c>
      <c r="E928" t="s">
        <v>174</v>
      </c>
      <c r="F928" t="s">
        <v>175</v>
      </c>
      <c r="G928" t="s">
        <v>82</v>
      </c>
      <c r="H928" t="s">
        <v>142</v>
      </c>
      <c r="I928" t="s">
        <v>143</v>
      </c>
      <c r="J928" t="s">
        <v>183</v>
      </c>
      <c r="K928" t="s">
        <v>184</v>
      </c>
      <c r="L928" t="s">
        <v>2334</v>
      </c>
      <c r="M928" t="s">
        <v>43</v>
      </c>
      <c r="N928" t="s">
        <v>60</v>
      </c>
      <c r="O928" t="s">
        <v>45</v>
      </c>
      <c r="P928">
        <v>2</v>
      </c>
      <c r="Q928">
        <v>967.49</v>
      </c>
      <c r="R928" s="19">
        <v>0.05</v>
      </c>
      <c r="S928" s="21">
        <v>96.75</v>
      </c>
      <c r="T928">
        <v>1934.98</v>
      </c>
      <c r="U928" s="2">
        <v>1838.23</v>
      </c>
      <c r="V928">
        <v>97.8</v>
      </c>
      <c r="W928">
        <v>1076.71</v>
      </c>
      <c r="X928" s="2">
        <v>663.72</v>
      </c>
      <c r="Y928">
        <v>0.36109999999999998</v>
      </c>
      <c r="Z928">
        <v>1</v>
      </c>
      <c r="AA928" t="s">
        <v>46</v>
      </c>
      <c r="AB928" t="s">
        <v>47</v>
      </c>
      <c r="AD928">
        <v>4</v>
      </c>
      <c r="AE928" s="2">
        <v>2222.61</v>
      </c>
      <c r="AF928">
        <v>0.82709999999999995</v>
      </c>
      <c r="AG928" t="s">
        <v>49</v>
      </c>
      <c r="AH928" s="23">
        <f>SUM(Amazon_Data_Set[[#This Row],[Gross Sales]]-Amazon_Data_Set[[#This Row],[Discount Amount]])</f>
        <v>1838.23</v>
      </c>
    </row>
    <row r="929" spans="1:34">
      <c r="A929" t="s">
        <v>2335</v>
      </c>
      <c r="B929" s="1">
        <v>46228</v>
      </c>
      <c r="C929" t="str">
        <f>TEXT(Amazon_Data_Set[[#This Row],[Order Date]],"mmm")</f>
        <v>Jul</v>
      </c>
      <c r="D929" t="s">
        <v>758</v>
      </c>
      <c r="E929" t="s">
        <v>235</v>
      </c>
      <c r="F929" t="s">
        <v>236</v>
      </c>
      <c r="G929" t="s">
        <v>82</v>
      </c>
      <c r="H929" t="s">
        <v>83</v>
      </c>
      <c r="I929" t="s">
        <v>188</v>
      </c>
      <c r="J929" t="s">
        <v>690</v>
      </c>
      <c r="K929" t="s">
        <v>691</v>
      </c>
      <c r="L929" t="s">
        <v>2336</v>
      </c>
      <c r="M929" t="s">
        <v>43</v>
      </c>
      <c r="N929" t="s">
        <v>124</v>
      </c>
      <c r="O929" t="s">
        <v>96</v>
      </c>
      <c r="P929">
        <v>3</v>
      </c>
      <c r="Q929">
        <v>364.21</v>
      </c>
      <c r="R929" s="19">
        <v>0.25</v>
      </c>
      <c r="S929" s="21">
        <v>273.16000000000003</v>
      </c>
      <c r="T929">
        <v>1092.6300000000001</v>
      </c>
      <c r="U929" s="2">
        <v>819.47</v>
      </c>
      <c r="V929">
        <v>111.26</v>
      </c>
      <c r="W929">
        <v>424.36</v>
      </c>
      <c r="X929" s="2">
        <v>283.85000000000002</v>
      </c>
      <c r="Y929">
        <v>0.34639999999999999</v>
      </c>
      <c r="Z929">
        <v>0</v>
      </c>
      <c r="AA929" t="s">
        <v>97</v>
      </c>
      <c r="AB929" t="s">
        <v>47</v>
      </c>
      <c r="AE929" s="2">
        <v>740.94</v>
      </c>
      <c r="AF929">
        <v>1.1060000000000001</v>
      </c>
      <c r="AG929" t="s">
        <v>49</v>
      </c>
      <c r="AH929" s="23">
        <f>SUM(Amazon_Data_Set[[#This Row],[Gross Sales]]-Amazon_Data_Set[[#This Row],[Discount Amount]])</f>
        <v>819.47</v>
      </c>
    </row>
    <row r="930" spans="1:34">
      <c r="A930" t="s">
        <v>2337</v>
      </c>
      <c r="B930" s="1">
        <v>46158</v>
      </c>
      <c r="C930" t="str">
        <f>TEXT(Amazon_Data_Set[[#This Row],[Order Date]],"mmm")</f>
        <v>May</v>
      </c>
      <c r="D930" t="s">
        <v>586</v>
      </c>
      <c r="E930" t="s">
        <v>118</v>
      </c>
      <c r="F930" t="s">
        <v>119</v>
      </c>
      <c r="G930" t="s">
        <v>82</v>
      </c>
      <c r="H930" t="s">
        <v>90</v>
      </c>
      <c r="I930" t="s">
        <v>91</v>
      </c>
      <c r="J930" t="s">
        <v>313</v>
      </c>
      <c r="K930" t="s">
        <v>314</v>
      </c>
      <c r="L930" t="s">
        <v>2338</v>
      </c>
      <c r="M930" t="s">
        <v>106</v>
      </c>
      <c r="N930" t="s">
        <v>70</v>
      </c>
      <c r="O930" t="s">
        <v>45</v>
      </c>
      <c r="P930">
        <v>5</v>
      </c>
      <c r="Q930">
        <v>1199.6500000000001</v>
      </c>
      <c r="R930" s="19">
        <v>0</v>
      </c>
      <c r="S930" s="21">
        <v>0</v>
      </c>
      <c r="T930">
        <v>5998.25</v>
      </c>
      <c r="U930" s="2">
        <v>5998.25</v>
      </c>
      <c r="V930">
        <v>217.72</v>
      </c>
      <c r="W930">
        <v>3605.65</v>
      </c>
      <c r="X930" s="2">
        <v>2174.88</v>
      </c>
      <c r="Y930">
        <v>0.36259999999999998</v>
      </c>
      <c r="Z930">
        <v>4</v>
      </c>
      <c r="AA930" t="s">
        <v>46</v>
      </c>
      <c r="AB930" t="s">
        <v>47</v>
      </c>
      <c r="AD930">
        <v>5</v>
      </c>
      <c r="AE930" s="2">
        <v>7003.58</v>
      </c>
      <c r="AF930">
        <v>0.85650000000000004</v>
      </c>
      <c r="AG930" t="s">
        <v>49</v>
      </c>
      <c r="AH930" s="23">
        <f>SUM(Amazon_Data_Set[[#This Row],[Gross Sales]]-Amazon_Data_Set[[#This Row],[Discount Amount]])</f>
        <v>5998.25</v>
      </c>
    </row>
    <row r="931" spans="1:34">
      <c r="A931" t="s">
        <v>2339</v>
      </c>
      <c r="B931" s="1">
        <v>46131</v>
      </c>
      <c r="C931" t="str">
        <f>TEXT(Amazon_Data_Set[[#This Row],[Order Date]],"mmm")</f>
        <v>Apr</v>
      </c>
      <c r="D931" t="s">
        <v>285</v>
      </c>
      <c r="E931" t="s">
        <v>35</v>
      </c>
      <c r="F931" t="s">
        <v>36</v>
      </c>
      <c r="G931" t="s">
        <v>37</v>
      </c>
      <c r="H931" t="s">
        <v>142</v>
      </c>
      <c r="I931" t="s">
        <v>143</v>
      </c>
      <c r="J931" t="s">
        <v>144</v>
      </c>
      <c r="K931" t="s">
        <v>145</v>
      </c>
      <c r="L931" t="s">
        <v>2340</v>
      </c>
      <c r="M931" t="s">
        <v>43</v>
      </c>
      <c r="N931" t="s">
        <v>44</v>
      </c>
      <c r="O931" t="s">
        <v>45</v>
      </c>
      <c r="P931">
        <v>2</v>
      </c>
      <c r="Q931">
        <v>7973.18</v>
      </c>
      <c r="R931" s="19">
        <v>0.15</v>
      </c>
      <c r="S931" s="21">
        <v>2391.9499999999998</v>
      </c>
      <c r="T931">
        <v>15946.36</v>
      </c>
      <c r="U931" s="2">
        <v>13554.41</v>
      </c>
      <c r="V931">
        <v>130.32</v>
      </c>
      <c r="W931">
        <v>6964.31</v>
      </c>
      <c r="X931" s="2">
        <v>6459.78</v>
      </c>
      <c r="Y931">
        <v>0.47660000000000002</v>
      </c>
      <c r="Z931">
        <v>7</v>
      </c>
      <c r="AA931" t="s">
        <v>61</v>
      </c>
      <c r="AB931" t="s">
        <v>47</v>
      </c>
      <c r="AD931">
        <v>4</v>
      </c>
      <c r="AE931" s="2">
        <v>16790.45</v>
      </c>
      <c r="AF931">
        <v>0.80730000000000002</v>
      </c>
      <c r="AG931" t="s">
        <v>49</v>
      </c>
      <c r="AH931" s="23">
        <f>SUM(Amazon_Data_Set[[#This Row],[Gross Sales]]-Amazon_Data_Set[[#This Row],[Discount Amount]])</f>
        <v>13554.41</v>
      </c>
    </row>
    <row r="932" spans="1:34">
      <c r="A932" t="s">
        <v>2341</v>
      </c>
      <c r="B932" s="1">
        <v>46323</v>
      </c>
      <c r="C932" t="str">
        <f>TEXT(Amazon_Data_Set[[#This Row],[Order Date]],"mmm")</f>
        <v>Oct</v>
      </c>
      <c r="D932" t="s">
        <v>414</v>
      </c>
      <c r="E932" t="s">
        <v>194</v>
      </c>
      <c r="F932" t="s">
        <v>195</v>
      </c>
      <c r="G932" t="s">
        <v>111</v>
      </c>
      <c r="H932" t="s">
        <v>142</v>
      </c>
      <c r="I932" t="s">
        <v>214</v>
      </c>
      <c r="J932" t="s">
        <v>350</v>
      </c>
      <c r="K932" t="s">
        <v>351</v>
      </c>
      <c r="L932" t="s">
        <v>2342</v>
      </c>
      <c r="M932" t="s">
        <v>106</v>
      </c>
      <c r="N932" t="s">
        <v>44</v>
      </c>
      <c r="O932" t="s">
        <v>130</v>
      </c>
      <c r="P932">
        <v>1</v>
      </c>
      <c r="Q932">
        <v>2200.9699999999998</v>
      </c>
      <c r="R932" s="19">
        <v>0.15</v>
      </c>
      <c r="S932" s="21">
        <v>330.15</v>
      </c>
      <c r="T932">
        <v>2200.9699999999998</v>
      </c>
      <c r="U932" s="2">
        <v>1870.82</v>
      </c>
      <c r="V932">
        <v>193.64</v>
      </c>
      <c r="W932">
        <v>1240.21</v>
      </c>
      <c r="X932" s="2">
        <v>436.97</v>
      </c>
      <c r="Y932">
        <v>0.2336</v>
      </c>
      <c r="Z932">
        <v>1</v>
      </c>
      <c r="AA932" t="s">
        <v>131</v>
      </c>
      <c r="AB932" t="s">
        <v>47</v>
      </c>
      <c r="AE932" s="2">
        <v>2168.85</v>
      </c>
      <c r="AF932">
        <v>0.86260000000000003</v>
      </c>
      <c r="AG932" t="s">
        <v>347</v>
      </c>
      <c r="AH932" s="23">
        <f>SUM(Amazon_Data_Set[[#This Row],[Gross Sales]]-Amazon_Data_Set[[#This Row],[Discount Amount]])</f>
        <v>1870.8199999999997</v>
      </c>
    </row>
    <row r="933" spans="1:34">
      <c r="A933" t="s">
        <v>2343</v>
      </c>
      <c r="B933" s="1">
        <v>46277</v>
      </c>
      <c r="C933" t="str">
        <f>TEXT(Amazon_Data_Set[[#This Row],[Order Date]],"mmm")</f>
        <v>Sep</v>
      </c>
      <c r="D933" t="s">
        <v>638</v>
      </c>
      <c r="E933" t="s">
        <v>64</v>
      </c>
      <c r="F933" t="s">
        <v>65</v>
      </c>
      <c r="G933" t="s">
        <v>54</v>
      </c>
      <c r="H933" t="s">
        <v>83</v>
      </c>
      <c r="I933" t="s">
        <v>188</v>
      </c>
      <c r="J933" t="s">
        <v>189</v>
      </c>
      <c r="K933" t="s">
        <v>190</v>
      </c>
      <c r="L933" t="s">
        <v>2344</v>
      </c>
      <c r="M933" t="s">
        <v>43</v>
      </c>
      <c r="N933" t="s">
        <v>44</v>
      </c>
      <c r="O933" t="s">
        <v>45</v>
      </c>
      <c r="P933">
        <v>2</v>
      </c>
      <c r="Q933">
        <v>1258.99</v>
      </c>
      <c r="R933" s="19">
        <v>0.05</v>
      </c>
      <c r="S933" s="21">
        <v>125.9</v>
      </c>
      <c r="T933">
        <v>2517.98</v>
      </c>
      <c r="U933" s="2">
        <v>2392.08</v>
      </c>
      <c r="V933">
        <v>60.34</v>
      </c>
      <c r="W933">
        <v>1648.15</v>
      </c>
      <c r="X933" s="2">
        <v>683.59</v>
      </c>
      <c r="Y933">
        <v>0.2858</v>
      </c>
      <c r="Z933">
        <v>8</v>
      </c>
      <c r="AA933" t="s">
        <v>61</v>
      </c>
      <c r="AB933" t="s">
        <v>47</v>
      </c>
      <c r="AD933">
        <v>5</v>
      </c>
      <c r="AE933" s="2">
        <v>2953.56</v>
      </c>
      <c r="AF933">
        <v>0.80989999999999995</v>
      </c>
      <c r="AG933" t="s">
        <v>49</v>
      </c>
      <c r="AH933" s="23">
        <f>SUM(Amazon_Data_Set[[#This Row],[Gross Sales]]-Amazon_Data_Set[[#This Row],[Discount Amount]])</f>
        <v>2392.08</v>
      </c>
    </row>
    <row r="934" spans="1:34">
      <c r="A934" t="s">
        <v>2345</v>
      </c>
      <c r="B934" s="1">
        <v>46102</v>
      </c>
      <c r="C934" t="str">
        <f>TEXT(Amazon_Data_Set[[#This Row],[Order Date]],"mmm")</f>
        <v>Mar</v>
      </c>
      <c r="D934" t="s">
        <v>595</v>
      </c>
      <c r="E934" t="s">
        <v>149</v>
      </c>
      <c r="F934" t="s">
        <v>150</v>
      </c>
      <c r="G934" t="s">
        <v>37</v>
      </c>
      <c r="H934" t="s">
        <v>38</v>
      </c>
      <c r="I934" t="s">
        <v>161</v>
      </c>
      <c r="J934" t="s">
        <v>223</v>
      </c>
      <c r="K934" t="s">
        <v>224</v>
      </c>
      <c r="L934" t="s">
        <v>2346</v>
      </c>
      <c r="M934" t="s">
        <v>106</v>
      </c>
      <c r="N934" t="s">
        <v>70</v>
      </c>
      <c r="O934" t="s">
        <v>45</v>
      </c>
      <c r="P934">
        <v>3</v>
      </c>
      <c r="Q934">
        <v>1904.88</v>
      </c>
      <c r="R934" s="19">
        <v>0.25</v>
      </c>
      <c r="S934" s="21">
        <v>1428.66</v>
      </c>
      <c r="T934">
        <v>5714.64</v>
      </c>
      <c r="U934" s="2">
        <v>4285.9799999999996</v>
      </c>
      <c r="V934">
        <v>148.72999999999999</v>
      </c>
      <c r="W934">
        <v>2922.59</v>
      </c>
      <c r="X934" s="2">
        <v>1214.6600000000001</v>
      </c>
      <c r="Y934">
        <v>0.28339999999999999</v>
      </c>
      <c r="Z934">
        <v>1</v>
      </c>
      <c r="AA934" t="s">
        <v>46</v>
      </c>
      <c r="AB934" t="s">
        <v>48</v>
      </c>
      <c r="AC934" t="s">
        <v>520</v>
      </c>
      <c r="AD934">
        <v>5</v>
      </c>
      <c r="AE934" s="2">
        <v>4046.47</v>
      </c>
      <c r="AF934">
        <v>1.0591999999999999</v>
      </c>
      <c r="AG934" t="s">
        <v>49</v>
      </c>
      <c r="AH934" s="23">
        <f>SUM(Amazon_Data_Set[[#This Row],[Gross Sales]]-Amazon_Data_Set[[#This Row],[Discount Amount]])</f>
        <v>4285.9800000000005</v>
      </c>
    </row>
    <row r="935" spans="1:34">
      <c r="A935" t="s">
        <v>2347</v>
      </c>
      <c r="B935" s="1">
        <v>46192</v>
      </c>
      <c r="C935" t="str">
        <f>TEXT(Amazon_Data_Set[[#This Row],[Order Date]],"mmm")</f>
        <v>Jun</v>
      </c>
      <c r="D935" t="s">
        <v>108</v>
      </c>
      <c r="E935" t="s">
        <v>80</v>
      </c>
      <c r="F935" t="s">
        <v>81</v>
      </c>
      <c r="G935" t="s">
        <v>82</v>
      </c>
      <c r="H935" t="s">
        <v>55</v>
      </c>
      <c r="I935" t="s">
        <v>120</v>
      </c>
      <c r="J935" t="s">
        <v>169</v>
      </c>
      <c r="K935" t="s">
        <v>170</v>
      </c>
      <c r="L935" t="s">
        <v>2348</v>
      </c>
      <c r="M935" t="s">
        <v>43</v>
      </c>
      <c r="N935" t="s">
        <v>95</v>
      </c>
      <c r="O935" t="s">
        <v>130</v>
      </c>
      <c r="P935">
        <v>4</v>
      </c>
      <c r="Q935">
        <v>31824.63</v>
      </c>
      <c r="R935" s="19">
        <v>0.25</v>
      </c>
      <c r="S935" s="21">
        <v>31824.63</v>
      </c>
      <c r="T935">
        <v>127298.52</v>
      </c>
      <c r="U935" s="2">
        <v>95473.89</v>
      </c>
      <c r="V935">
        <v>172.53</v>
      </c>
      <c r="W935">
        <v>45871.89</v>
      </c>
      <c r="X935" s="2">
        <v>49429.47</v>
      </c>
      <c r="Y935">
        <v>0.51770000000000005</v>
      </c>
      <c r="Z935">
        <v>4</v>
      </c>
      <c r="AA935" t="s">
        <v>131</v>
      </c>
      <c r="AB935" t="s">
        <v>47</v>
      </c>
      <c r="AE935" s="2">
        <v>83204.56</v>
      </c>
      <c r="AF935">
        <v>1.1475</v>
      </c>
      <c r="AG935" t="s">
        <v>49</v>
      </c>
      <c r="AH935" s="23">
        <f>SUM(Amazon_Data_Set[[#This Row],[Gross Sales]]-Amazon_Data_Set[[#This Row],[Discount Amount]])</f>
        <v>95473.89</v>
      </c>
    </row>
    <row r="936" spans="1:34">
      <c r="A936" t="s">
        <v>2349</v>
      </c>
      <c r="B936" s="1">
        <v>46159</v>
      </c>
      <c r="C936" t="str">
        <f>TEXT(Amazon_Data_Set[[#This Row],[Order Date]],"mmm")</f>
        <v>May</v>
      </c>
      <c r="D936" t="s">
        <v>462</v>
      </c>
      <c r="E936" t="s">
        <v>275</v>
      </c>
      <c r="F936" t="s">
        <v>276</v>
      </c>
      <c r="G936" t="s">
        <v>37</v>
      </c>
      <c r="H936" t="s">
        <v>90</v>
      </c>
      <c r="I936" t="s">
        <v>91</v>
      </c>
      <c r="J936" t="s">
        <v>443</v>
      </c>
      <c r="K936" t="s">
        <v>444</v>
      </c>
      <c r="L936" t="s">
        <v>2350</v>
      </c>
      <c r="M936" t="s">
        <v>106</v>
      </c>
      <c r="N936" t="s">
        <v>124</v>
      </c>
      <c r="O936" t="s">
        <v>45</v>
      </c>
      <c r="P936">
        <v>4</v>
      </c>
      <c r="Q936">
        <v>788.19</v>
      </c>
      <c r="R936" s="19">
        <v>0</v>
      </c>
      <c r="S936" s="21">
        <v>0</v>
      </c>
      <c r="T936">
        <v>3152.76</v>
      </c>
      <c r="U936" s="2">
        <v>3152.76</v>
      </c>
      <c r="V936">
        <v>177.61</v>
      </c>
      <c r="W936">
        <v>1769.09</v>
      </c>
      <c r="X936" s="2">
        <v>1206.06</v>
      </c>
      <c r="Y936">
        <v>0.38250000000000001</v>
      </c>
      <c r="Z936">
        <v>1</v>
      </c>
      <c r="AA936" t="s">
        <v>46</v>
      </c>
      <c r="AB936" t="s">
        <v>47</v>
      </c>
      <c r="AD936">
        <v>5</v>
      </c>
      <c r="AE936" s="2">
        <v>3450.32</v>
      </c>
      <c r="AF936">
        <v>0.91379999999999995</v>
      </c>
      <c r="AG936" t="s">
        <v>49</v>
      </c>
      <c r="AH936" s="23">
        <f>SUM(Amazon_Data_Set[[#This Row],[Gross Sales]]-Amazon_Data_Set[[#This Row],[Discount Amount]])</f>
        <v>3152.76</v>
      </c>
    </row>
    <row r="937" spans="1:34">
      <c r="A937" t="s">
        <v>2351</v>
      </c>
      <c r="B937" s="1">
        <v>46203</v>
      </c>
      <c r="C937" t="str">
        <f>TEXT(Amazon_Data_Set[[#This Row],[Order Date]],"mmm")</f>
        <v>Jun</v>
      </c>
      <c r="D937" t="s">
        <v>2352</v>
      </c>
      <c r="E937" t="s">
        <v>35</v>
      </c>
      <c r="F937" t="s">
        <v>36</v>
      </c>
      <c r="G937" t="s">
        <v>37</v>
      </c>
      <c r="H937" t="s">
        <v>83</v>
      </c>
      <c r="I937" t="s">
        <v>188</v>
      </c>
      <c r="J937" t="s">
        <v>475</v>
      </c>
      <c r="K937" t="s">
        <v>476</v>
      </c>
      <c r="L937" t="s">
        <v>2353</v>
      </c>
      <c r="M937" t="s">
        <v>106</v>
      </c>
      <c r="N937" t="s">
        <v>44</v>
      </c>
      <c r="O937" t="s">
        <v>45</v>
      </c>
      <c r="P937">
        <v>1</v>
      </c>
      <c r="Q937">
        <v>2253.6799999999998</v>
      </c>
      <c r="R937" s="19">
        <v>0.25</v>
      </c>
      <c r="S937" s="21">
        <v>563.41999999999996</v>
      </c>
      <c r="T937">
        <v>2253.6799999999998</v>
      </c>
      <c r="U937" s="2">
        <v>1690.26</v>
      </c>
      <c r="V937">
        <v>153.75</v>
      </c>
      <c r="W937">
        <v>935.82</v>
      </c>
      <c r="X937" s="2">
        <v>600.69000000000005</v>
      </c>
      <c r="Y937">
        <v>0.35539999999999999</v>
      </c>
      <c r="Z937">
        <v>2</v>
      </c>
      <c r="AA937" t="s">
        <v>46</v>
      </c>
      <c r="AB937" t="s">
        <v>47</v>
      </c>
      <c r="AD937">
        <v>4</v>
      </c>
      <c r="AE937" s="2">
        <v>1716.41</v>
      </c>
      <c r="AF937">
        <v>0.98480000000000001</v>
      </c>
      <c r="AG937" t="s">
        <v>49</v>
      </c>
      <c r="AH937" s="23">
        <f>SUM(Amazon_Data_Set[[#This Row],[Gross Sales]]-Amazon_Data_Set[[#This Row],[Discount Amount]])</f>
        <v>1690.2599999999998</v>
      </c>
    </row>
    <row r="938" spans="1:34">
      <c r="A938" t="s">
        <v>2354</v>
      </c>
      <c r="B938" s="1">
        <v>46053</v>
      </c>
      <c r="C938" t="str">
        <f>TEXT(Amazon_Data_Set[[#This Row],[Order Date]],"mmm")</f>
        <v>Jan</v>
      </c>
      <c r="D938" t="s">
        <v>1826</v>
      </c>
      <c r="E938" t="s">
        <v>80</v>
      </c>
      <c r="F938" t="s">
        <v>81</v>
      </c>
      <c r="G938" t="s">
        <v>82</v>
      </c>
      <c r="H938" t="s">
        <v>55</v>
      </c>
      <c r="I938" t="s">
        <v>73</v>
      </c>
      <c r="J938" t="s">
        <v>247</v>
      </c>
      <c r="K938" t="s">
        <v>248</v>
      </c>
      <c r="L938" t="s">
        <v>2355</v>
      </c>
      <c r="M938" t="s">
        <v>106</v>
      </c>
      <c r="N938" t="s">
        <v>77</v>
      </c>
      <c r="O938" t="s">
        <v>130</v>
      </c>
      <c r="P938">
        <v>3</v>
      </c>
      <c r="Q938">
        <v>9128.43</v>
      </c>
      <c r="R938" s="19">
        <v>0.3</v>
      </c>
      <c r="S938" s="21">
        <v>8215.59</v>
      </c>
      <c r="T938">
        <v>27385.29</v>
      </c>
      <c r="U938" s="2">
        <v>19169.7</v>
      </c>
      <c r="V938">
        <v>80.180000000000007</v>
      </c>
      <c r="W938">
        <v>14171.36</v>
      </c>
      <c r="X938" s="2">
        <v>4918.16</v>
      </c>
      <c r="Y938">
        <v>0.25659999999999999</v>
      </c>
      <c r="Z938">
        <v>1</v>
      </c>
      <c r="AA938" t="s">
        <v>131</v>
      </c>
      <c r="AB938" t="s">
        <v>47</v>
      </c>
      <c r="AE938" s="2">
        <v>18292.04</v>
      </c>
      <c r="AF938">
        <v>1.048</v>
      </c>
      <c r="AG938" t="s">
        <v>49</v>
      </c>
      <c r="AH938" s="23">
        <f>SUM(Amazon_Data_Set[[#This Row],[Gross Sales]]-Amazon_Data_Set[[#This Row],[Discount Amount]])</f>
        <v>19169.7</v>
      </c>
    </row>
    <row r="939" spans="1:34">
      <c r="A939" t="s">
        <v>2356</v>
      </c>
      <c r="B939" s="1">
        <v>46068</v>
      </c>
      <c r="C939" t="str">
        <f>TEXT(Amazon_Data_Set[[#This Row],[Order Date]],"mmm")</f>
        <v>Feb</v>
      </c>
      <c r="D939" t="s">
        <v>706</v>
      </c>
      <c r="E939" t="s">
        <v>52</v>
      </c>
      <c r="F939" t="s">
        <v>53</v>
      </c>
      <c r="G939" t="s">
        <v>54</v>
      </c>
      <c r="H939" t="s">
        <v>38</v>
      </c>
      <c r="I939" t="s">
        <v>161</v>
      </c>
      <c r="J939" t="s">
        <v>223</v>
      </c>
      <c r="K939" t="s">
        <v>224</v>
      </c>
      <c r="L939" t="s">
        <v>2357</v>
      </c>
      <c r="M939" t="s">
        <v>43</v>
      </c>
      <c r="N939" t="s">
        <v>124</v>
      </c>
      <c r="O939" t="s">
        <v>96</v>
      </c>
      <c r="P939">
        <v>5</v>
      </c>
      <c r="Q939">
        <v>4089.13</v>
      </c>
      <c r="R939" s="19">
        <v>0.15</v>
      </c>
      <c r="S939" s="21">
        <v>3066.85</v>
      </c>
      <c r="T939">
        <v>20445.650000000001</v>
      </c>
      <c r="U939" s="2">
        <v>17378.8</v>
      </c>
      <c r="V939">
        <v>46.8</v>
      </c>
      <c r="W939">
        <v>8952.52</v>
      </c>
      <c r="X939" s="2">
        <v>8379.48</v>
      </c>
      <c r="Y939">
        <v>0.48220000000000002</v>
      </c>
      <c r="Z939">
        <v>0</v>
      </c>
      <c r="AA939" t="s">
        <v>97</v>
      </c>
      <c r="AB939" t="s">
        <v>47</v>
      </c>
      <c r="AE939" s="2">
        <v>17397.29</v>
      </c>
      <c r="AF939">
        <v>0.99890000000000001</v>
      </c>
      <c r="AG939" t="s">
        <v>49</v>
      </c>
      <c r="AH939" s="23">
        <f>SUM(Amazon_Data_Set[[#This Row],[Gross Sales]]-Amazon_Data_Set[[#This Row],[Discount Amount]])</f>
        <v>17378.800000000003</v>
      </c>
    </row>
    <row r="940" spans="1:34">
      <c r="A940" t="s">
        <v>2358</v>
      </c>
      <c r="B940" s="1">
        <v>46032</v>
      </c>
      <c r="C940" t="str">
        <f>TEXT(Amazon_Data_Set[[#This Row],[Order Date]],"mmm")</f>
        <v>Jan</v>
      </c>
      <c r="D940" t="s">
        <v>2359</v>
      </c>
      <c r="E940" t="s">
        <v>35</v>
      </c>
      <c r="F940" t="s">
        <v>36</v>
      </c>
      <c r="G940" t="s">
        <v>37</v>
      </c>
      <c r="H940" t="s">
        <v>83</v>
      </c>
      <c r="I940" t="s">
        <v>84</v>
      </c>
      <c r="J940" t="s">
        <v>85</v>
      </c>
      <c r="K940" t="s">
        <v>86</v>
      </c>
      <c r="L940" t="s">
        <v>2360</v>
      </c>
      <c r="M940" t="s">
        <v>106</v>
      </c>
      <c r="N940" t="s">
        <v>44</v>
      </c>
      <c r="O940" t="s">
        <v>45</v>
      </c>
      <c r="P940">
        <v>4</v>
      </c>
      <c r="Q940">
        <v>282.69</v>
      </c>
      <c r="R940" s="19">
        <v>0.2</v>
      </c>
      <c r="S940" s="21">
        <v>226.15</v>
      </c>
      <c r="T940">
        <v>1130.76</v>
      </c>
      <c r="U940" s="2">
        <v>904.61</v>
      </c>
      <c r="V940">
        <v>44.93</v>
      </c>
      <c r="W940">
        <v>654.03</v>
      </c>
      <c r="X940" s="2">
        <v>205.65</v>
      </c>
      <c r="Y940">
        <v>0.2273</v>
      </c>
      <c r="Z940">
        <v>2</v>
      </c>
      <c r="AA940" t="s">
        <v>46</v>
      </c>
      <c r="AB940" t="s">
        <v>47</v>
      </c>
      <c r="AD940">
        <v>4</v>
      </c>
      <c r="AE940" s="2">
        <v>1075</v>
      </c>
      <c r="AF940">
        <v>0.84150000000000003</v>
      </c>
      <c r="AG940" t="s">
        <v>49</v>
      </c>
      <c r="AH940" s="23">
        <f>SUM(Amazon_Data_Set[[#This Row],[Gross Sales]]-Amazon_Data_Set[[#This Row],[Discount Amount]])</f>
        <v>904.61</v>
      </c>
    </row>
    <row r="941" spans="1:34">
      <c r="A941" t="s">
        <v>2361</v>
      </c>
      <c r="B941" s="1">
        <v>46206</v>
      </c>
      <c r="C941" t="str">
        <f>TEXT(Amazon_Data_Set[[#This Row],[Order Date]],"mmm")</f>
        <v>Jul</v>
      </c>
      <c r="D941" t="s">
        <v>51</v>
      </c>
      <c r="E941" t="s">
        <v>118</v>
      </c>
      <c r="F941" t="s">
        <v>119</v>
      </c>
      <c r="G941" t="s">
        <v>82</v>
      </c>
      <c r="H941" t="s">
        <v>90</v>
      </c>
      <c r="I941" t="s">
        <v>112</v>
      </c>
      <c r="J941" t="s">
        <v>292</v>
      </c>
      <c r="K941" t="s">
        <v>293</v>
      </c>
      <c r="L941" t="s">
        <v>2362</v>
      </c>
      <c r="M941" t="s">
        <v>106</v>
      </c>
      <c r="N941" t="s">
        <v>60</v>
      </c>
      <c r="O941" t="s">
        <v>45</v>
      </c>
      <c r="P941">
        <v>1</v>
      </c>
      <c r="Q941">
        <v>323.02999999999997</v>
      </c>
      <c r="R941" s="19">
        <v>0.15</v>
      </c>
      <c r="S941" s="21">
        <v>48.45</v>
      </c>
      <c r="T941">
        <v>323.02999999999997</v>
      </c>
      <c r="U941" s="2">
        <v>274.58</v>
      </c>
      <c r="V941">
        <v>114.07</v>
      </c>
      <c r="W941">
        <v>148.47</v>
      </c>
      <c r="X941" s="2">
        <v>12.04</v>
      </c>
      <c r="Y941">
        <v>4.3799999999999999E-2</v>
      </c>
      <c r="Z941">
        <v>7</v>
      </c>
      <c r="AA941" t="s">
        <v>61</v>
      </c>
      <c r="AB941" t="s">
        <v>47</v>
      </c>
      <c r="AD941">
        <v>4</v>
      </c>
      <c r="AE941" s="2">
        <v>274.08999999999997</v>
      </c>
      <c r="AF941">
        <v>1.0018</v>
      </c>
      <c r="AG941" t="s">
        <v>49</v>
      </c>
      <c r="AH941" s="23">
        <f>SUM(Amazon_Data_Set[[#This Row],[Gross Sales]]-Amazon_Data_Set[[#This Row],[Discount Amount]])</f>
        <v>274.58</v>
      </c>
    </row>
    <row r="942" spans="1:34">
      <c r="A942" t="s">
        <v>2363</v>
      </c>
      <c r="B942" s="1">
        <v>46288</v>
      </c>
      <c r="C942" t="str">
        <f>TEXT(Amazon_Data_Set[[#This Row],[Order Date]],"mmm")</f>
        <v>Sep</v>
      </c>
      <c r="D942" t="s">
        <v>213</v>
      </c>
      <c r="E942" t="s">
        <v>118</v>
      </c>
      <c r="F942" t="s">
        <v>119</v>
      </c>
      <c r="G942" t="s">
        <v>82</v>
      </c>
      <c r="H942" t="s">
        <v>83</v>
      </c>
      <c r="I942" t="s">
        <v>84</v>
      </c>
      <c r="J942" t="s">
        <v>332</v>
      </c>
      <c r="K942" t="s">
        <v>333</v>
      </c>
      <c r="L942" t="s">
        <v>2364</v>
      </c>
      <c r="M942" t="s">
        <v>43</v>
      </c>
      <c r="N942" t="s">
        <v>124</v>
      </c>
      <c r="O942" t="s">
        <v>45</v>
      </c>
      <c r="P942">
        <v>5</v>
      </c>
      <c r="Q942">
        <v>2386.4299999999998</v>
      </c>
      <c r="R942" s="19">
        <v>0</v>
      </c>
      <c r="S942" s="21">
        <v>0</v>
      </c>
      <c r="T942">
        <v>11932.15</v>
      </c>
      <c r="U942" s="2">
        <v>11932.15</v>
      </c>
      <c r="V942">
        <v>87.03</v>
      </c>
      <c r="W942">
        <v>8645.84</v>
      </c>
      <c r="X942" s="2">
        <v>3199.28</v>
      </c>
      <c r="Y942">
        <v>0.2681</v>
      </c>
      <c r="Z942">
        <v>1</v>
      </c>
      <c r="AA942" t="s">
        <v>46</v>
      </c>
      <c r="AB942" t="s">
        <v>47</v>
      </c>
      <c r="AD942">
        <v>5</v>
      </c>
      <c r="AE942" s="2">
        <v>14220.49</v>
      </c>
      <c r="AF942">
        <v>0.83909999999999996</v>
      </c>
      <c r="AG942" t="s">
        <v>49</v>
      </c>
      <c r="AH942" s="23">
        <f>SUM(Amazon_Data_Set[[#This Row],[Gross Sales]]-Amazon_Data_Set[[#This Row],[Discount Amount]])</f>
        <v>11932.15</v>
      </c>
    </row>
    <row r="943" spans="1:34">
      <c r="A943" t="s">
        <v>2365</v>
      </c>
      <c r="B943" s="1">
        <v>46068</v>
      </c>
      <c r="C943" t="str">
        <f>TEXT(Amazon_Data_Set[[#This Row],[Order Date]],"mmm")</f>
        <v>Feb</v>
      </c>
      <c r="D943" t="s">
        <v>139</v>
      </c>
      <c r="E943" t="s">
        <v>118</v>
      </c>
      <c r="F943" t="s">
        <v>119</v>
      </c>
      <c r="G943" t="s">
        <v>82</v>
      </c>
      <c r="H943" t="s">
        <v>38</v>
      </c>
      <c r="I943" t="s">
        <v>161</v>
      </c>
      <c r="J943" t="s">
        <v>223</v>
      </c>
      <c r="K943" t="s">
        <v>224</v>
      </c>
      <c r="L943" t="s">
        <v>2366</v>
      </c>
      <c r="M943" t="s">
        <v>43</v>
      </c>
      <c r="N943" t="s">
        <v>60</v>
      </c>
      <c r="O943" t="s">
        <v>45</v>
      </c>
      <c r="P943">
        <v>2</v>
      </c>
      <c r="Q943">
        <v>2180.52</v>
      </c>
      <c r="R943" s="19">
        <v>0.3</v>
      </c>
      <c r="S943" s="21">
        <v>1308.31</v>
      </c>
      <c r="T943">
        <v>4361.04</v>
      </c>
      <c r="U943" s="2">
        <v>3052.73</v>
      </c>
      <c r="V943">
        <v>165.59</v>
      </c>
      <c r="W943">
        <v>1635.91</v>
      </c>
      <c r="X943" s="2">
        <v>1251.23</v>
      </c>
      <c r="Y943">
        <v>0.40989999999999999</v>
      </c>
      <c r="Z943">
        <v>6</v>
      </c>
      <c r="AA943" t="s">
        <v>61</v>
      </c>
      <c r="AB943" t="s">
        <v>47</v>
      </c>
      <c r="AD943">
        <v>5</v>
      </c>
      <c r="AE943" s="2">
        <v>2920.23</v>
      </c>
      <c r="AF943">
        <v>1.0454000000000001</v>
      </c>
      <c r="AG943" t="s">
        <v>347</v>
      </c>
      <c r="AH943" s="23">
        <f>SUM(Amazon_Data_Set[[#This Row],[Gross Sales]]-Amazon_Data_Set[[#This Row],[Discount Amount]])</f>
        <v>3052.73</v>
      </c>
    </row>
    <row r="944" spans="1:34">
      <c r="A944" t="s">
        <v>2367</v>
      </c>
      <c r="B944" s="1">
        <v>46367</v>
      </c>
      <c r="C944" t="str">
        <f>TEXT(Amazon_Data_Set[[#This Row],[Order Date]],"mmm")</f>
        <v>Dec</v>
      </c>
      <c r="D944" t="s">
        <v>515</v>
      </c>
      <c r="E944" t="s">
        <v>140</v>
      </c>
      <c r="F944" t="s">
        <v>141</v>
      </c>
      <c r="G944" t="s">
        <v>54</v>
      </c>
      <c r="H944" t="s">
        <v>38</v>
      </c>
      <c r="I944" t="s">
        <v>161</v>
      </c>
      <c r="J944" t="s">
        <v>297</v>
      </c>
      <c r="K944" t="s">
        <v>298</v>
      </c>
      <c r="L944" t="s">
        <v>2368</v>
      </c>
      <c r="M944" t="s">
        <v>106</v>
      </c>
      <c r="N944" t="s">
        <v>124</v>
      </c>
      <c r="O944" t="s">
        <v>96</v>
      </c>
      <c r="P944">
        <v>3</v>
      </c>
      <c r="Q944">
        <v>508.54</v>
      </c>
      <c r="R944" s="19">
        <v>0.1</v>
      </c>
      <c r="S944" s="21">
        <v>152.56</v>
      </c>
      <c r="T944">
        <v>1525.62</v>
      </c>
      <c r="U944" s="2">
        <v>1373.06</v>
      </c>
      <c r="V944">
        <v>25.13</v>
      </c>
      <c r="W944">
        <v>957.38</v>
      </c>
      <c r="X944" s="2">
        <v>390.55</v>
      </c>
      <c r="Y944">
        <v>0.28439999999999999</v>
      </c>
      <c r="Z944">
        <v>0</v>
      </c>
      <c r="AA944" t="s">
        <v>97</v>
      </c>
      <c r="AB944" t="s">
        <v>47</v>
      </c>
      <c r="AE944" s="2">
        <v>1703.98</v>
      </c>
      <c r="AF944">
        <v>0.80579999999999996</v>
      </c>
      <c r="AG944" t="s">
        <v>49</v>
      </c>
      <c r="AH944" s="23">
        <f>SUM(Amazon_Data_Set[[#This Row],[Gross Sales]]-Amazon_Data_Set[[#This Row],[Discount Amount]])</f>
        <v>1373.06</v>
      </c>
    </row>
    <row r="945" spans="1:34">
      <c r="A945" t="s">
        <v>2369</v>
      </c>
      <c r="B945" s="1">
        <v>46383</v>
      </c>
      <c r="C945" t="str">
        <f>TEXT(Amazon_Data_Set[[#This Row],[Order Date]],"mmm")</f>
        <v>Dec</v>
      </c>
      <c r="D945" t="s">
        <v>624</v>
      </c>
      <c r="E945" t="s">
        <v>275</v>
      </c>
      <c r="F945" t="s">
        <v>276</v>
      </c>
      <c r="G945" t="s">
        <v>37</v>
      </c>
      <c r="H945" t="s">
        <v>38</v>
      </c>
      <c r="I945" t="s">
        <v>161</v>
      </c>
      <c r="J945" t="s">
        <v>297</v>
      </c>
      <c r="K945" t="s">
        <v>298</v>
      </c>
      <c r="L945" t="s">
        <v>2370</v>
      </c>
      <c r="M945" t="s">
        <v>43</v>
      </c>
      <c r="N945" t="s">
        <v>70</v>
      </c>
      <c r="O945" t="s">
        <v>130</v>
      </c>
      <c r="P945">
        <v>4</v>
      </c>
      <c r="Q945">
        <v>2940.89</v>
      </c>
      <c r="R945" s="19">
        <v>0.25</v>
      </c>
      <c r="S945" s="21">
        <v>2940.89</v>
      </c>
      <c r="T945">
        <v>11763.56</v>
      </c>
      <c r="U945" s="2">
        <v>8822.67</v>
      </c>
      <c r="V945">
        <v>228.89</v>
      </c>
      <c r="W945">
        <v>4333.51</v>
      </c>
      <c r="X945" s="2">
        <v>4260.2700000000004</v>
      </c>
      <c r="Y945">
        <v>0.4829</v>
      </c>
      <c r="Z945">
        <v>2</v>
      </c>
      <c r="AA945" t="s">
        <v>131</v>
      </c>
      <c r="AB945" t="s">
        <v>47</v>
      </c>
      <c r="AE945" s="2">
        <v>7952.85</v>
      </c>
      <c r="AF945">
        <v>1.1093999999999999</v>
      </c>
      <c r="AG945" t="s">
        <v>49</v>
      </c>
      <c r="AH945" s="23">
        <f>SUM(Amazon_Data_Set[[#This Row],[Gross Sales]]-Amazon_Data_Set[[#This Row],[Discount Amount]])</f>
        <v>8822.67</v>
      </c>
    </row>
    <row r="946" spans="1:34">
      <c r="A946" t="s">
        <v>2371</v>
      </c>
      <c r="B946" s="1">
        <v>46178</v>
      </c>
      <c r="C946" t="str">
        <f>TEXT(Amazon_Data_Set[[#This Row],[Order Date]],"mmm")</f>
        <v>Jun</v>
      </c>
      <c r="D946" t="s">
        <v>63</v>
      </c>
      <c r="E946" t="s">
        <v>228</v>
      </c>
      <c r="F946" t="s">
        <v>229</v>
      </c>
      <c r="G946" t="s">
        <v>37</v>
      </c>
      <c r="H946" t="s">
        <v>142</v>
      </c>
      <c r="I946" t="s">
        <v>143</v>
      </c>
      <c r="J946" t="s">
        <v>183</v>
      </c>
      <c r="K946" t="s">
        <v>184</v>
      </c>
      <c r="L946" t="s">
        <v>2372</v>
      </c>
      <c r="M946" t="s">
        <v>43</v>
      </c>
      <c r="N946" t="s">
        <v>60</v>
      </c>
      <c r="O946" t="s">
        <v>130</v>
      </c>
      <c r="P946">
        <v>2</v>
      </c>
      <c r="Q946">
        <v>2039.83</v>
      </c>
      <c r="R946" s="19">
        <v>0.25</v>
      </c>
      <c r="S946" s="21">
        <v>1019.91</v>
      </c>
      <c r="T946">
        <v>4079.66</v>
      </c>
      <c r="U946" s="2">
        <v>3059.75</v>
      </c>
      <c r="V946">
        <v>76.069999999999993</v>
      </c>
      <c r="W946">
        <v>2007.86</v>
      </c>
      <c r="X946" s="2">
        <v>975.82</v>
      </c>
      <c r="Y946">
        <v>0.31890000000000002</v>
      </c>
      <c r="Z946">
        <v>7</v>
      </c>
      <c r="AA946" t="s">
        <v>131</v>
      </c>
      <c r="AB946" t="s">
        <v>47</v>
      </c>
      <c r="AE946" s="2">
        <v>3226.02</v>
      </c>
      <c r="AF946">
        <v>0.94850000000000001</v>
      </c>
      <c r="AG946" t="s">
        <v>49</v>
      </c>
      <c r="AH946" s="23">
        <f>SUM(Amazon_Data_Set[[#This Row],[Gross Sales]]-Amazon_Data_Set[[#This Row],[Discount Amount]])</f>
        <v>3059.75</v>
      </c>
    </row>
    <row r="947" spans="1:34">
      <c r="A947" t="s">
        <v>2373</v>
      </c>
      <c r="B947" s="1">
        <v>46090</v>
      </c>
      <c r="C947" t="str">
        <f>TEXT(Amazon_Data_Set[[#This Row],[Order Date]],"mmm")</f>
        <v>Mar</v>
      </c>
      <c r="D947" t="s">
        <v>173</v>
      </c>
      <c r="E947" t="s">
        <v>140</v>
      </c>
      <c r="F947" t="s">
        <v>141</v>
      </c>
      <c r="G947" t="s">
        <v>54</v>
      </c>
      <c r="H947" t="s">
        <v>55</v>
      </c>
      <c r="I947" t="s">
        <v>56</v>
      </c>
      <c r="J947" t="s">
        <v>57</v>
      </c>
      <c r="K947" t="s">
        <v>58</v>
      </c>
      <c r="L947" t="s">
        <v>2374</v>
      </c>
      <c r="M947" t="s">
        <v>43</v>
      </c>
      <c r="N947" t="s">
        <v>95</v>
      </c>
      <c r="O947" t="s">
        <v>45</v>
      </c>
      <c r="P947">
        <v>2</v>
      </c>
      <c r="Q947">
        <v>6598.66</v>
      </c>
      <c r="R947" s="19">
        <v>0.15</v>
      </c>
      <c r="S947" s="21">
        <v>1979.6</v>
      </c>
      <c r="T947">
        <v>13197.32</v>
      </c>
      <c r="U947" s="2">
        <v>11217.72</v>
      </c>
      <c r="V947">
        <v>153.94</v>
      </c>
      <c r="W947">
        <v>5609.25</v>
      </c>
      <c r="X947" s="2">
        <v>5454.53</v>
      </c>
      <c r="Y947">
        <v>0.48620000000000002</v>
      </c>
      <c r="Z947">
        <v>1</v>
      </c>
      <c r="AA947" t="s">
        <v>46</v>
      </c>
      <c r="AB947" t="s">
        <v>47</v>
      </c>
      <c r="AD947">
        <v>3</v>
      </c>
      <c r="AE947" s="2">
        <v>12334.65</v>
      </c>
      <c r="AF947">
        <v>0.90939999999999999</v>
      </c>
      <c r="AG947" t="s">
        <v>49</v>
      </c>
      <c r="AH947" s="23">
        <f>SUM(Amazon_Data_Set[[#This Row],[Gross Sales]]-Amazon_Data_Set[[#This Row],[Discount Amount]])</f>
        <v>11217.72</v>
      </c>
    </row>
    <row r="948" spans="1:34">
      <c r="A948" t="s">
        <v>2375</v>
      </c>
      <c r="B948" s="1">
        <v>46205</v>
      </c>
      <c r="C948" t="str">
        <f>TEXT(Amazon_Data_Set[[#This Row],[Order Date]],"mmm")</f>
        <v>Jul</v>
      </c>
      <c r="D948" t="s">
        <v>1206</v>
      </c>
      <c r="E948" t="s">
        <v>109</v>
      </c>
      <c r="F948" t="s">
        <v>110</v>
      </c>
      <c r="G948" t="s">
        <v>111</v>
      </c>
      <c r="H948" t="s">
        <v>83</v>
      </c>
      <c r="I948" t="s">
        <v>102</v>
      </c>
      <c r="J948" t="s">
        <v>103</v>
      </c>
      <c r="K948" t="s">
        <v>104</v>
      </c>
      <c r="L948" t="s">
        <v>2376</v>
      </c>
      <c r="M948" t="s">
        <v>106</v>
      </c>
      <c r="N948" t="s">
        <v>124</v>
      </c>
      <c r="O948" t="s">
        <v>45</v>
      </c>
      <c r="P948">
        <v>2</v>
      </c>
      <c r="Q948">
        <v>163.18</v>
      </c>
      <c r="R948" s="19">
        <v>0.2</v>
      </c>
      <c r="S948" s="21">
        <v>65.27</v>
      </c>
      <c r="T948">
        <v>326.36</v>
      </c>
      <c r="U948" s="2">
        <v>261.08999999999997</v>
      </c>
      <c r="V948">
        <v>102.71</v>
      </c>
      <c r="W948">
        <v>156.13999999999999</v>
      </c>
      <c r="X948" s="2">
        <v>2.2400000000000002</v>
      </c>
      <c r="Y948">
        <v>8.6E-3</v>
      </c>
      <c r="Z948">
        <v>2</v>
      </c>
      <c r="AA948" t="s">
        <v>46</v>
      </c>
      <c r="AB948" t="s">
        <v>47</v>
      </c>
      <c r="AD948">
        <v>5</v>
      </c>
      <c r="AE948" s="2">
        <v>318.39999999999998</v>
      </c>
      <c r="AF948">
        <v>0.82</v>
      </c>
      <c r="AG948" t="s">
        <v>347</v>
      </c>
      <c r="AH948" s="23">
        <f>SUM(Amazon_Data_Set[[#This Row],[Gross Sales]]-Amazon_Data_Set[[#This Row],[Discount Amount]])</f>
        <v>261.09000000000003</v>
      </c>
    </row>
    <row r="949" spans="1:34">
      <c r="A949" t="s">
        <v>2377</v>
      </c>
      <c r="B949" s="1">
        <v>46275</v>
      </c>
      <c r="C949" t="str">
        <f>TEXT(Amazon_Data_Set[[#This Row],[Order Date]],"mmm")</f>
        <v>Sep</v>
      </c>
      <c r="D949" t="s">
        <v>518</v>
      </c>
      <c r="E949" t="s">
        <v>109</v>
      </c>
      <c r="F949" t="s">
        <v>154</v>
      </c>
      <c r="G949" t="s">
        <v>111</v>
      </c>
      <c r="H949" t="s">
        <v>55</v>
      </c>
      <c r="I949" t="s">
        <v>120</v>
      </c>
      <c r="J949" t="s">
        <v>344</v>
      </c>
      <c r="K949" t="s">
        <v>345</v>
      </c>
      <c r="L949" t="s">
        <v>2378</v>
      </c>
      <c r="M949" t="s">
        <v>106</v>
      </c>
      <c r="N949" t="s">
        <v>70</v>
      </c>
      <c r="O949" t="s">
        <v>130</v>
      </c>
      <c r="P949">
        <v>1</v>
      </c>
      <c r="Q949">
        <v>43260.49</v>
      </c>
      <c r="R949" s="19">
        <v>0.2</v>
      </c>
      <c r="S949" s="21">
        <v>8652.1</v>
      </c>
      <c r="T949">
        <v>43260.49</v>
      </c>
      <c r="U949" s="2">
        <v>34608.39</v>
      </c>
      <c r="V949">
        <v>182.42</v>
      </c>
      <c r="W949">
        <v>24625.98</v>
      </c>
      <c r="X949" s="2">
        <v>9799.99</v>
      </c>
      <c r="Y949">
        <v>0.28320000000000001</v>
      </c>
      <c r="Z949">
        <v>3</v>
      </c>
      <c r="AA949" t="s">
        <v>131</v>
      </c>
      <c r="AB949" t="s">
        <v>47</v>
      </c>
      <c r="AE949" s="2">
        <v>33220.800000000003</v>
      </c>
      <c r="AF949">
        <v>1.0418000000000001</v>
      </c>
      <c r="AG949" t="s">
        <v>49</v>
      </c>
      <c r="AH949" s="23">
        <f>SUM(Amazon_Data_Set[[#This Row],[Gross Sales]]-Amazon_Data_Set[[#This Row],[Discount Amount]])</f>
        <v>34608.39</v>
      </c>
    </row>
    <row r="950" spans="1:34">
      <c r="A950" t="s">
        <v>2379</v>
      </c>
      <c r="B950" s="1">
        <v>46191</v>
      </c>
      <c r="C950" t="str">
        <f>TEXT(Amazon_Data_Set[[#This Row],[Order Date]],"mmm")</f>
        <v>Jun</v>
      </c>
      <c r="D950" t="s">
        <v>1250</v>
      </c>
      <c r="E950" t="s">
        <v>167</v>
      </c>
      <c r="F950" t="s">
        <v>168</v>
      </c>
      <c r="G950" t="s">
        <v>111</v>
      </c>
      <c r="H950" t="s">
        <v>142</v>
      </c>
      <c r="I950" t="s">
        <v>143</v>
      </c>
      <c r="J950" t="s">
        <v>144</v>
      </c>
      <c r="K950" t="s">
        <v>145</v>
      </c>
      <c r="L950" t="s">
        <v>2380</v>
      </c>
      <c r="M950" t="s">
        <v>43</v>
      </c>
      <c r="N950" t="s">
        <v>70</v>
      </c>
      <c r="O950" t="s">
        <v>45</v>
      </c>
      <c r="P950">
        <v>2</v>
      </c>
      <c r="Q950">
        <v>6030.88</v>
      </c>
      <c r="R950" s="19">
        <v>0.25</v>
      </c>
      <c r="S950" s="21">
        <v>3015.44</v>
      </c>
      <c r="T950">
        <v>12061.76</v>
      </c>
      <c r="U950" s="2">
        <v>9046.32</v>
      </c>
      <c r="V950">
        <v>90.89</v>
      </c>
      <c r="W950">
        <v>5988.95</v>
      </c>
      <c r="X950" s="2">
        <v>2966.48</v>
      </c>
      <c r="Y950">
        <v>0.32790000000000002</v>
      </c>
      <c r="Z950">
        <v>7</v>
      </c>
      <c r="AA950" t="s">
        <v>61</v>
      </c>
      <c r="AB950" t="s">
        <v>47</v>
      </c>
      <c r="AD950">
        <v>4</v>
      </c>
      <c r="AE950" s="2">
        <v>9830.61</v>
      </c>
      <c r="AF950">
        <v>0.92020000000000002</v>
      </c>
      <c r="AG950" t="s">
        <v>49</v>
      </c>
      <c r="AH950" s="23">
        <f>SUM(Amazon_Data_Set[[#This Row],[Gross Sales]]-Amazon_Data_Set[[#This Row],[Discount Amount]])</f>
        <v>9046.32</v>
      </c>
    </row>
    <row r="951" spans="1:34">
      <c r="A951" t="s">
        <v>2381</v>
      </c>
      <c r="B951" s="1">
        <v>46176</v>
      </c>
      <c r="C951" t="str">
        <f>TEXT(Amazon_Data_Set[[#This Row],[Order Date]],"mmm")</f>
        <v>Jun</v>
      </c>
      <c r="D951" t="s">
        <v>1710</v>
      </c>
      <c r="E951" t="s">
        <v>140</v>
      </c>
      <c r="F951" t="s">
        <v>141</v>
      </c>
      <c r="G951" t="s">
        <v>54</v>
      </c>
      <c r="H951" t="s">
        <v>83</v>
      </c>
      <c r="I951" t="s">
        <v>188</v>
      </c>
      <c r="J951" t="s">
        <v>690</v>
      </c>
      <c r="K951" t="s">
        <v>691</v>
      </c>
      <c r="L951" t="s">
        <v>2382</v>
      </c>
      <c r="M951" t="s">
        <v>43</v>
      </c>
      <c r="N951" t="s">
        <v>60</v>
      </c>
      <c r="O951" t="s">
        <v>45</v>
      </c>
      <c r="P951">
        <v>1</v>
      </c>
      <c r="Q951">
        <v>309.45</v>
      </c>
      <c r="R951" s="19">
        <v>0.05</v>
      </c>
      <c r="S951" s="21">
        <v>15.47</v>
      </c>
      <c r="T951">
        <v>309.45</v>
      </c>
      <c r="U951" s="2">
        <v>293.98</v>
      </c>
      <c r="V951">
        <v>114.83</v>
      </c>
      <c r="W951">
        <v>192.84</v>
      </c>
      <c r="X951" s="2">
        <v>-13.69</v>
      </c>
      <c r="Y951">
        <v>-4.6600000000000003E-2</v>
      </c>
      <c r="Z951">
        <v>1</v>
      </c>
      <c r="AA951" t="s">
        <v>46</v>
      </c>
      <c r="AB951" t="s">
        <v>47</v>
      </c>
      <c r="AD951">
        <v>4</v>
      </c>
      <c r="AE951" s="2">
        <v>287.05</v>
      </c>
      <c r="AF951">
        <v>1.0241</v>
      </c>
      <c r="AG951" t="s">
        <v>49</v>
      </c>
      <c r="AH951" s="23">
        <f>SUM(Amazon_Data_Set[[#This Row],[Gross Sales]]-Amazon_Data_Set[[#This Row],[Discount Amount]])</f>
        <v>293.97999999999996</v>
      </c>
    </row>
    <row r="952" spans="1:34">
      <c r="A952" t="s">
        <v>2383</v>
      </c>
      <c r="B952" s="1">
        <v>46328</v>
      </c>
      <c r="C952" t="str">
        <f>TEXT(Amazon_Data_Set[[#This Row],[Order Date]],"mmm")</f>
        <v>Nov</v>
      </c>
      <c r="D952" t="s">
        <v>312</v>
      </c>
      <c r="E952" t="s">
        <v>80</v>
      </c>
      <c r="F952" t="s">
        <v>81</v>
      </c>
      <c r="G952" t="s">
        <v>82</v>
      </c>
      <c r="H952" t="s">
        <v>38</v>
      </c>
      <c r="I952" t="s">
        <v>161</v>
      </c>
      <c r="J952" t="s">
        <v>223</v>
      </c>
      <c r="K952" t="s">
        <v>224</v>
      </c>
      <c r="L952" t="s">
        <v>2384</v>
      </c>
      <c r="M952" t="s">
        <v>106</v>
      </c>
      <c r="N952" t="s">
        <v>60</v>
      </c>
      <c r="O952" t="s">
        <v>45</v>
      </c>
      <c r="P952">
        <v>4</v>
      </c>
      <c r="Q952">
        <v>739.23</v>
      </c>
      <c r="R952" s="19">
        <v>0.25</v>
      </c>
      <c r="S952" s="21">
        <v>739.23</v>
      </c>
      <c r="T952">
        <v>2956.92</v>
      </c>
      <c r="U952" s="2">
        <v>2217.69</v>
      </c>
      <c r="V952">
        <v>105.92</v>
      </c>
      <c r="W952">
        <v>1567.38</v>
      </c>
      <c r="X952" s="2">
        <v>544.39</v>
      </c>
      <c r="Y952">
        <v>0.2455</v>
      </c>
      <c r="Z952">
        <v>6</v>
      </c>
      <c r="AA952" t="s">
        <v>61</v>
      </c>
      <c r="AB952" t="s">
        <v>47</v>
      </c>
      <c r="AD952">
        <v>5</v>
      </c>
      <c r="AE952" s="2">
        <v>2063.02</v>
      </c>
      <c r="AF952">
        <v>1.075</v>
      </c>
      <c r="AG952" t="s">
        <v>49</v>
      </c>
      <c r="AH952" s="23">
        <f>SUM(Amazon_Data_Set[[#This Row],[Gross Sales]]-Amazon_Data_Set[[#This Row],[Discount Amount]])</f>
        <v>2217.69</v>
      </c>
    </row>
    <row r="953" spans="1:34">
      <c r="A953" t="s">
        <v>2385</v>
      </c>
      <c r="B953" s="1">
        <v>46346</v>
      </c>
      <c r="C953" t="str">
        <f>TEXT(Amazon_Data_Set[[#This Row],[Order Date]],"mmm")</f>
        <v>Nov</v>
      </c>
      <c r="D953" t="s">
        <v>990</v>
      </c>
      <c r="E953" t="s">
        <v>100</v>
      </c>
      <c r="F953" t="s">
        <v>101</v>
      </c>
      <c r="G953" t="s">
        <v>54</v>
      </c>
      <c r="H953" t="s">
        <v>142</v>
      </c>
      <c r="I953" t="s">
        <v>209</v>
      </c>
      <c r="J953" t="s">
        <v>243</v>
      </c>
      <c r="K953" t="s">
        <v>145</v>
      </c>
      <c r="L953" t="s">
        <v>2386</v>
      </c>
      <c r="M953" t="s">
        <v>106</v>
      </c>
      <c r="N953" t="s">
        <v>95</v>
      </c>
      <c r="O953" t="s">
        <v>45</v>
      </c>
      <c r="P953">
        <v>2</v>
      </c>
      <c r="Q953">
        <v>1698.32</v>
      </c>
      <c r="R953" s="19">
        <v>0.05</v>
      </c>
      <c r="S953" s="21">
        <v>169.83</v>
      </c>
      <c r="T953">
        <v>3396.64</v>
      </c>
      <c r="U953" s="2">
        <v>3226.81</v>
      </c>
      <c r="V953">
        <v>205.3</v>
      </c>
      <c r="W953">
        <v>2059.06</v>
      </c>
      <c r="X953" s="2">
        <v>962.45</v>
      </c>
      <c r="Y953">
        <v>0.29830000000000001</v>
      </c>
      <c r="Z953">
        <v>5</v>
      </c>
      <c r="AA953" t="s">
        <v>61</v>
      </c>
      <c r="AB953" t="s">
        <v>47</v>
      </c>
      <c r="AD953">
        <v>4</v>
      </c>
      <c r="AE953" s="2">
        <v>3677.17</v>
      </c>
      <c r="AF953">
        <v>0.87749999999999995</v>
      </c>
      <c r="AG953" t="s">
        <v>49</v>
      </c>
      <c r="AH953" s="23">
        <f>SUM(Amazon_Data_Set[[#This Row],[Gross Sales]]-Amazon_Data_Set[[#This Row],[Discount Amount]])</f>
        <v>3226.81</v>
      </c>
    </row>
    <row r="954" spans="1:34">
      <c r="A954" t="s">
        <v>2387</v>
      </c>
      <c r="B954" s="1">
        <v>46251</v>
      </c>
      <c r="C954" t="str">
        <f>TEXT(Amazon_Data_Set[[#This Row],[Order Date]],"mmm")</f>
        <v>Aug</v>
      </c>
      <c r="D954" t="s">
        <v>1435</v>
      </c>
      <c r="E954" t="s">
        <v>167</v>
      </c>
      <c r="F954" t="s">
        <v>168</v>
      </c>
      <c r="G954" t="s">
        <v>111</v>
      </c>
      <c r="H954" t="s">
        <v>90</v>
      </c>
      <c r="I954" t="s">
        <v>91</v>
      </c>
      <c r="J954" t="s">
        <v>92</v>
      </c>
      <c r="K954" t="s">
        <v>93</v>
      </c>
      <c r="L954" t="s">
        <v>2388</v>
      </c>
      <c r="M954" t="s">
        <v>43</v>
      </c>
      <c r="N954" t="s">
        <v>77</v>
      </c>
      <c r="O954" t="s">
        <v>45</v>
      </c>
      <c r="P954">
        <v>2</v>
      </c>
      <c r="Q954">
        <v>1783.77</v>
      </c>
      <c r="R954" s="19">
        <v>0.2</v>
      </c>
      <c r="S954" s="21">
        <v>713.51</v>
      </c>
      <c r="T954">
        <v>3567.54</v>
      </c>
      <c r="U954" s="2">
        <v>2854.03</v>
      </c>
      <c r="V954">
        <v>71.989999999999995</v>
      </c>
      <c r="W954">
        <v>1910.58</v>
      </c>
      <c r="X954" s="2">
        <v>871.46</v>
      </c>
      <c r="Y954">
        <v>0.30530000000000002</v>
      </c>
      <c r="Z954">
        <v>5</v>
      </c>
      <c r="AA954" t="s">
        <v>61</v>
      </c>
      <c r="AB954" t="s">
        <v>47</v>
      </c>
      <c r="AD954">
        <v>5</v>
      </c>
      <c r="AE954" s="2">
        <v>3429.25</v>
      </c>
      <c r="AF954">
        <v>0.83230000000000004</v>
      </c>
      <c r="AG954" t="s">
        <v>49</v>
      </c>
      <c r="AH954" s="23">
        <f>SUM(Amazon_Data_Set[[#This Row],[Gross Sales]]-Amazon_Data_Set[[#This Row],[Discount Amount]])</f>
        <v>2854.0299999999997</v>
      </c>
    </row>
    <row r="955" spans="1:34">
      <c r="A955" t="s">
        <v>2389</v>
      </c>
      <c r="B955" s="1">
        <v>46278</v>
      </c>
      <c r="C955" t="str">
        <f>TEXT(Amazon_Data_Set[[#This Row],[Order Date]],"mmm")</f>
        <v>Sep</v>
      </c>
      <c r="D955" t="s">
        <v>663</v>
      </c>
      <c r="E955" t="s">
        <v>228</v>
      </c>
      <c r="F955" t="s">
        <v>229</v>
      </c>
      <c r="G955" t="s">
        <v>37</v>
      </c>
      <c r="H955" t="s">
        <v>38</v>
      </c>
      <c r="I955" t="s">
        <v>161</v>
      </c>
      <c r="J955" t="s">
        <v>162</v>
      </c>
      <c r="K955" t="s">
        <v>163</v>
      </c>
      <c r="L955" t="s">
        <v>2390</v>
      </c>
      <c r="M955" t="s">
        <v>106</v>
      </c>
      <c r="N955" t="s">
        <v>60</v>
      </c>
      <c r="O955" t="s">
        <v>130</v>
      </c>
      <c r="P955">
        <v>5</v>
      </c>
      <c r="Q955">
        <v>2571.58</v>
      </c>
      <c r="R955" s="19">
        <v>0</v>
      </c>
      <c r="S955" s="21">
        <v>0</v>
      </c>
      <c r="T955">
        <v>12857.9</v>
      </c>
      <c r="U955" s="2">
        <v>12857.9</v>
      </c>
      <c r="V955">
        <v>202.28</v>
      </c>
      <c r="W955">
        <v>7305.58</v>
      </c>
      <c r="X955" s="2">
        <v>5350.04</v>
      </c>
      <c r="Y955">
        <v>0.41610000000000003</v>
      </c>
      <c r="Z955">
        <v>4</v>
      </c>
      <c r="AA955" t="s">
        <v>131</v>
      </c>
      <c r="AB955" t="s">
        <v>47</v>
      </c>
      <c r="AE955" s="2">
        <v>14077.06</v>
      </c>
      <c r="AF955">
        <v>0.91339999999999999</v>
      </c>
      <c r="AG955" t="s">
        <v>49</v>
      </c>
      <c r="AH955" s="23">
        <f>SUM(Amazon_Data_Set[[#This Row],[Gross Sales]]-Amazon_Data_Set[[#This Row],[Discount Amount]])</f>
        <v>12857.9</v>
      </c>
    </row>
    <row r="956" spans="1:34">
      <c r="A956" t="s">
        <v>2391</v>
      </c>
      <c r="B956" s="1">
        <v>46237</v>
      </c>
      <c r="C956" t="str">
        <f>TEXT(Amazon_Data_Set[[#This Row],[Order Date]],"mmm")</f>
        <v>Aug</v>
      </c>
      <c r="D956" t="s">
        <v>1931</v>
      </c>
      <c r="E956" t="s">
        <v>275</v>
      </c>
      <c r="F956" t="s">
        <v>276</v>
      </c>
      <c r="G956" t="s">
        <v>37</v>
      </c>
      <c r="H956" t="s">
        <v>142</v>
      </c>
      <c r="I956" t="s">
        <v>214</v>
      </c>
      <c r="J956" t="s">
        <v>308</v>
      </c>
      <c r="K956" t="s">
        <v>309</v>
      </c>
      <c r="L956" t="s">
        <v>2392</v>
      </c>
      <c r="M956" t="s">
        <v>43</v>
      </c>
      <c r="N956" t="s">
        <v>77</v>
      </c>
      <c r="O956" t="s">
        <v>45</v>
      </c>
      <c r="P956">
        <v>3</v>
      </c>
      <c r="Q956">
        <v>3669.83</v>
      </c>
      <c r="R956" s="19">
        <v>0.2</v>
      </c>
      <c r="S956" s="21">
        <v>2201.9</v>
      </c>
      <c r="T956">
        <v>11009.49</v>
      </c>
      <c r="U956" s="2">
        <v>8807.59</v>
      </c>
      <c r="V956">
        <v>48.55</v>
      </c>
      <c r="W956">
        <v>5012.8100000000004</v>
      </c>
      <c r="X956" s="2">
        <v>3746.23</v>
      </c>
      <c r="Y956">
        <v>0.42530000000000001</v>
      </c>
      <c r="Z956">
        <v>4</v>
      </c>
      <c r="AA956" t="s">
        <v>46</v>
      </c>
      <c r="AB956" t="s">
        <v>47</v>
      </c>
      <c r="AD956">
        <v>4</v>
      </c>
      <c r="AE956" s="2">
        <v>9526.26</v>
      </c>
      <c r="AF956">
        <v>0.92459999999999998</v>
      </c>
      <c r="AG956" t="s">
        <v>49</v>
      </c>
      <c r="AH956" s="23">
        <f>SUM(Amazon_Data_Set[[#This Row],[Gross Sales]]-Amazon_Data_Set[[#This Row],[Discount Amount]])</f>
        <v>8807.59</v>
      </c>
    </row>
    <row r="957" spans="1:34">
      <c r="A957" t="s">
        <v>2393</v>
      </c>
      <c r="B957" s="1">
        <v>46101</v>
      </c>
      <c r="C957" t="str">
        <f>TEXT(Amazon_Data_Set[[#This Row],[Order Date]],"mmm")</f>
        <v>Mar</v>
      </c>
      <c r="D957" t="s">
        <v>266</v>
      </c>
      <c r="E957" t="s">
        <v>80</v>
      </c>
      <c r="F957" t="s">
        <v>81</v>
      </c>
      <c r="G957" t="s">
        <v>82</v>
      </c>
      <c r="H957" t="s">
        <v>83</v>
      </c>
      <c r="I957" t="s">
        <v>84</v>
      </c>
      <c r="J957" t="s">
        <v>277</v>
      </c>
      <c r="K957" t="s">
        <v>86</v>
      </c>
      <c r="L957" t="s">
        <v>2394</v>
      </c>
      <c r="M957" t="s">
        <v>43</v>
      </c>
      <c r="N957" t="s">
        <v>95</v>
      </c>
      <c r="O957" t="s">
        <v>45</v>
      </c>
      <c r="P957">
        <v>2</v>
      </c>
      <c r="Q957">
        <v>556.80999999999995</v>
      </c>
      <c r="R957" s="19">
        <v>0.2</v>
      </c>
      <c r="S957" s="21">
        <v>222.72</v>
      </c>
      <c r="T957">
        <v>1113.6199999999999</v>
      </c>
      <c r="U957" s="2">
        <v>890.9</v>
      </c>
      <c r="V957">
        <v>182.29</v>
      </c>
      <c r="W957">
        <v>472.97</v>
      </c>
      <c r="X957" s="2">
        <v>235.64</v>
      </c>
      <c r="Y957">
        <v>0.26450000000000001</v>
      </c>
      <c r="Z957">
        <v>5</v>
      </c>
      <c r="AA957" t="s">
        <v>61</v>
      </c>
      <c r="AB957" t="s">
        <v>47</v>
      </c>
      <c r="AD957">
        <v>5</v>
      </c>
      <c r="AE957" s="2">
        <v>852.35</v>
      </c>
      <c r="AF957">
        <v>1.0451999999999999</v>
      </c>
      <c r="AG957" t="s">
        <v>49</v>
      </c>
      <c r="AH957" s="23">
        <f>SUM(Amazon_Data_Set[[#This Row],[Gross Sales]]-Amazon_Data_Set[[#This Row],[Discount Amount]])</f>
        <v>890.89999999999986</v>
      </c>
    </row>
    <row r="958" spans="1:34">
      <c r="A958" t="s">
        <v>2395</v>
      </c>
      <c r="B958" s="1">
        <v>46190</v>
      </c>
      <c r="C958" t="str">
        <f>TEXT(Amazon_Data_Set[[#This Row],[Order Date]],"mmm")</f>
        <v>Jun</v>
      </c>
      <c r="D958" t="s">
        <v>1775</v>
      </c>
      <c r="E958" t="s">
        <v>64</v>
      </c>
      <c r="F958" t="s">
        <v>65</v>
      </c>
      <c r="G958" t="s">
        <v>54</v>
      </c>
      <c r="H958" t="s">
        <v>83</v>
      </c>
      <c r="I958" t="s">
        <v>102</v>
      </c>
      <c r="J958" t="s">
        <v>259</v>
      </c>
      <c r="K958" t="s">
        <v>260</v>
      </c>
      <c r="L958" t="s">
        <v>2396</v>
      </c>
      <c r="M958" t="s">
        <v>106</v>
      </c>
      <c r="N958" t="s">
        <v>60</v>
      </c>
      <c r="O958" t="s">
        <v>45</v>
      </c>
      <c r="P958">
        <v>2</v>
      </c>
      <c r="Q958">
        <v>1279.25</v>
      </c>
      <c r="R958" s="19">
        <v>0.05</v>
      </c>
      <c r="S958" s="21">
        <v>127.93</v>
      </c>
      <c r="T958">
        <v>2558.5</v>
      </c>
      <c r="U958" s="2">
        <v>2430.5700000000002</v>
      </c>
      <c r="V958">
        <v>233.67</v>
      </c>
      <c r="W958">
        <v>1698.97</v>
      </c>
      <c r="X958" s="2">
        <v>497.93</v>
      </c>
      <c r="Y958">
        <v>0.2049</v>
      </c>
      <c r="Z958">
        <v>6</v>
      </c>
      <c r="AA958" t="s">
        <v>61</v>
      </c>
      <c r="AB958" t="s">
        <v>47</v>
      </c>
      <c r="AD958">
        <v>3</v>
      </c>
      <c r="AE958" s="2">
        <v>3017.41</v>
      </c>
      <c r="AF958">
        <v>0.80549999999999999</v>
      </c>
      <c r="AG958" t="s">
        <v>49</v>
      </c>
      <c r="AH958" s="23">
        <f>SUM(Amazon_Data_Set[[#This Row],[Gross Sales]]-Amazon_Data_Set[[#This Row],[Discount Amount]])</f>
        <v>2430.5700000000002</v>
      </c>
    </row>
    <row r="959" spans="1:34">
      <c r="A959" t="s">
        <v>2397</v>
      </c>
      <c r="B959" s="1">
        <v>46195</v>
      </c>
      <c r="C959" t="str">
        <f>TEXT(Amazon_Data_Set[[#This Row],[Order Date]],"mmm")</f>
        <v>Jun</v>
      </c>
      <c r="D959" t="s">
        <v>1382</v>
      </c>
      <c r="E959" t="s">
        <v>174</v>
      </c>
      <c r="F959" t="s">
        <v>175</v>
      </c>
      <c r="G959" t="s">
        <v>82</v>
      </c>
      <c r="H959" t="s">
        <v>90</v>
      </c>
      <c r="I959" t="s">
        <v>91</v>
      </c>
      <c r="J959" t="s">
        <v>443</v>
      </c>
      <c r="K959" t="s">
        <v>444</v>
      </c>
      <c r="L959" t="s">
        <v>2398</v>
      </c>
      <c r="M959" t="s">
        <v>43</v>
      </c>
      <c r="N959" t="s">
        <v>60</v>
      </c>
      <c r="O959" t="s">
        <v>45</v>
      </c>
      <c r="P959">
        <v>1</v>
      </c>
      <c r="Q959">
        <v>306.18</v>
      </c>
      <c r="R959" s="19">
        <v>0.15</v>
      </c>
      <c r="S959" s="21">
        <v>45.93</v>
      </c>
      <c r="T959">
        <v>306.18</v>
      </c>
      <c r="U959" s="2">
        <v>260.25</v>
      </c>
      <c r="V959">
        <v>102.86</v>
      </c>
      <c r="W959">
        <v>168.13</v>
      </c>
      <c r="X959" s="2">
        <v>-10.74</v>
      </c>
      <c r="Y959">
        <v>-4.1300000000000003E-2</v>
      </c>
      <c r="Z959">
        <v>6</v>
      </c>
      <c r="AA959" t="s">
        <v>61</v>
      </c>
      <c r="AB959" t="s">
        <v>47</v>
      </c>
      <c r="AD959">
        <v>3</v>
      </c>
      <c r="AE959" s="2">
        <v>253.05</v>
      </c>
      <c r="AF959">
        <v>1.0285</v>
      </c>
      <c r="AG959" t="s">
        <v>49</v>
      </c>
      <c r="AH959" s="23">
        <f>SUM(Amazon_Data_Set[[#This Row],[Gross Sales]]-Amazon_Data_Set[[#This Row],[Discount Amount]])</f>
        <v>260.25</v>
      </c>
    </row>
    <row r="960" spans="1:34">
      <c r="A960" t="s">
        <v>2399</v>
      </c>
      <c r="B960" s="1">
        <v>46243</v>
      </c>
      <c r="C960" t="str">
        <f>TEXT(Amazon_Data_Set[[#This Row],[Order Date]],"mmm")</f>
        <v>Aug</v>
      </c>
      <c r="D960" t="s">
        <v>2400</v>
      </c>
      <c r="E960" t="s">
        <v>80</v>
      </c>
      <c r="F960" t="s">
        <v>81</v>
      </c>
      <c r="G960" t="s">
        <v>82</v>
      </c>
      <c r="H960" t="s">
        <v>83</v>
      </c>
      <c r="I960" t="s">
        <v>84</v>
      </c>
      <c r="J960" t="s">
        <v>85</v>
      </c>
      <c r="K960" t="s">
        <v>86</v>
      </c>
      <c r="L960" t="s">
        <v>2401</v>
      </c>
      <c r="M960" t="s">
        <v>43</v>
      </c>
      <c r="N960" t="s">
        <v>124</v>
      </c>
      <c r="O960" t="s">
        <v>96</v>
      </c>
      <c r="P960">
        <v>2</v>
      </c>
      <c r="Q960">
        <v>453.7</v>
      </c>
      <c r="R960" s="19">
        <v>0.15</v>
      </c>
      <c r="S960" s="21">
        <v>136.11000000000001</v>
      </c>
      <c r="T960">
        <v>907.4</v>
      </c>
      <c r="U960" s="2">
        <v>771.29</v>
      </c>
      <c r="V960">
        <v>47.99</v>
      </c>
      <c r="W960">
        <v>551.24</v>
      </c>
      <c r="X960" s="2">
        <v>172.06</v>
      </c>
      <c r="Y960">
        <v>0.22309999999999999</v>
      </c>
      <c r="Z960">
        <v>0</v>
      </c>
      <c r="AA960" t="s">
        <v>97</v>
      </c>
      <c r="AB960" t="s">
        <v>47</v>
      </c>
      <c r="AE960" s="2">
        <v>726.61</v>
      </c>
      <c r="AF960">
        <v>1.0615000000000001</v>
      </c>
      <c r="AG960" t="s">
        <v>49</v>
      </c>
      <c r="AH960" s="23">
        <f>SUM(Amazon_Data_Set[[#This Row],[Gross Sales]]-Amazon_Data_Set[[#This Row],[Discount Amount]])</f>
        <v>771.29</v>
      </c>
    </row>
    <row r="961" spans="1:34">
      <c r="A961" t="s">
        <v>2402</v>
      </c>
      <c r="B961" s="1">
        <v>46115</v>
      </c>
      <c r="C961" t="str">
        <f>TEXT(Amazon_Data_Set[[#This Row],[Order Date]],"mmm")</f>
        <v>Apr</v>
      </c>
      <c r="D961" t="s">
        <v>468</v>
      </c>
      <c r="E961" t="s">
        <v>100</v>
      </c>
      <c r="F961" t="s">
        <v>101</v>
      </c>
      <c r="G961" t="s">
        <v>54</v>
      </c>
      <c r="H961" t="s">
        <v>38</v>
      </c>
      <c r="I961" t="s">
        <v>39</v>
      </c>
      <c r="J961" t="s">
        <v>281</v>
      </c>
      <c r="K961" t="s">
        <v>282</v>
      </c>
      <c r="L961" t="s">
        <v>2403</v>
      </c>
      <c r="M961" t="s">
        <v>43</v>
      </c>
      <c r="N961" t="s">
        <v>95</v>
      </c>
      <c r="O961" t="s">
        <v>45</v>
      </c>
      <c r="P961">
        <v>5</v>
      </c>
      <c r="Q961">
        <v>2061.67</v>
      </c>
      <c r="R961" s="19">
        <v>0</v>
      </c>
      <c r="S961" s="21">
        <v>0</v>
      </c>
      <c r="T961">
        <v>10308.35</v>
      </c>
      <c r="U961" s="2">
        <v>10308.35</v>
      </c>
      <c r="V961">
        <v>33.35</v>
      </c>
      <c r="W961">
        <v>6932.86</v>
      </c>
      <c r="X961" s="2">
        <v>3342.14</v>
      </c>
      <c r="Y961">
        <v>0.32419999999999999</v>
      </c>
      <c r="Z961">
        <v>1</v>
      </c>
      <c r="AA961" t="s">
        <v>46</v>
      </c>
      <c r="AB961" t="s">
        <v>47</v>
      </c>
      <c r="AD961">
        <v>4</v>
      </c>
      <c r="AE961" s="2">
        <v>8893.4699999999993</v>
      </c>
      <c r="AF961">
        <v>1.1591</v>
      </c>
      <c r="AG961" t="s">
        <v>49</v>
      </c>
      <c r="AH961" s="23">
        <f>SUM(Amazon_Data_Set[[#This Row],[Gross Sales]]-Amazon_Data_Set[[#This Row],[Discount Amount]])</f>
        <v>10308.35</v>
      </c>
    </row>
    <row r="962" spans="1:34">
      <c r="A962" t="s">
        <v>2404</v>
      </c>
      <c r="B962" s="1">
        <v>46145</v>
      </c>
      <c r="C962" t="str">
        <f>TEXT(Amazon_Data_Set[[#This Row],[Order Date]],"mmm")</f>
        <v>May</v>
      </c>
      <c r="D962" t="s">
        <v>674</v>
      </c>
      <c r="E962" t="s">
        <v>174</v>
      </c>
      <c r="F962" t="s">
        <v>175</v>
      </c>
      <c r="G962" t="s">
        <v>82</v>
      </c>
      <c r="H962" t="s">
        <v>55</v>
      </c>
      <c r="I962" t="s">
        <v>73</v>
      </c>
      <c r="J962" t="s">
        <v>74</v>
      </c>
      <c r="K962" t="s">
        <v>75</v>
      </c>
      <c r="L962" t="s">
        <v>2405</v>
      </c>
      <c r="M962" t="s">
        <v>43</v>
      </c>
      <c r="N962" t="s">
        <v>60</v>
      </c>
      <c r="O962" t="s">
        <v>96</v>
      </c>
      <c r="P962">
        <v>3</v>
      </c>
      <c r="Q962">
        <v>18625.740000000002</v>
      </c>
      <c r="R962" s="19">
        <v>0.15</v>
      </c>
      <c r="S962" s="21">
        <v>8381.58</v>
      </c>
      <c r="T962">
        <v>55877.22</v>
      </c>
      <c r="U962" s="2">
        <v>47495.64</v>
      </c>
      <c r="V962">
        <v>31.73</v>
      </c>
      <c r="W962">
        <v>29526.02</v>
      </c>
      <c r="X962" s="2">
        <v>17937.89</v>
      </c>
      <c r="Y962">
        <v>0.37769999999999998</v>
      </c>
      <c r="Z962">
        <v>0</v>
      </c>
      <c r="AA962" t="s">
        <v>97</v>
      </c>
      <c r="AB962" t="s">
        <v>47</v>
      </c>
      <c r="AE962" s="2">
        <v>58695.35</v>
      </c>
      <c r="AF962">
        <v>0.80920000000000003</v>
      </c>
      <c r="AG962" t="s">
        <v>49</v>
      </c>
      <c r="AH962" s="23">
        <f>SUM(Amazon_Data_Set[[#This Row],[Gross Sales]]-Amazon_Data_Set[[#This Row],[Discount Amount]])</f>
        <v>47495.64</v>
      </c>
    </row>
    <row r="963" spans="1:34">
      <c r="A963" t="s">
        <v>2406</v>
      </c>
      <c r="B963" s="1">
        <v>46035</v>
      </c>
      <c r="C963" t="str">
        <f>TEXT(Amazon_Data_Set[[#This Row],[Order Date]],"mmm")</f>
        <v>Jan</v>
      </c>
      <c r="D963" t="s">
        <v>108</v>
      </c>
      <c r="E963" t="s">
        <v>35</v>
      </c>
      <c r="F963" t="s">
        <v>36</v>
      </c>
      <c r="G963" t="s">
        <v>37</v>
      </c>
      <c r="H963" t="s">
        <v>38</v>
      </c>
      <c r="I963" t="s">
        <v>161</v>
      </c>
      <c r="J963" t="s">
        <v>162</v>
      </c>
      <c r="K963" t="s">
        <v>163</v>
      </c>
      <c r="L963" t="s">
        <v>2407</v>
      </c>
      <c r="M963" t="s">
        <v>106</v>
      </c>
      <c r="N963" t="s">
        <v>70</v>
      </c>
      <c r="O963" t="s">
        <v>96</v>
      </c>
      <c r="P963">
        <v>4</v>
      </c>
      <c r="Q963">
        <v>749.64</v>
      </c>
      <c r="R963" s="19">
        <v>0.25</v>
      </c>
      <c r="S963" s="21">
        <v>749.64</v>
      </c>
      <c r="T963">
        <v>2998.56</v>
      </c>
      <c r="U963" s="2">
        <v>2248.92</v>
      </c>
      <c r="V963">
        <v>69.37</v>
      </c>
      <c r="W963">
        <v>1430.95</v>
      </c>
      <c r="X963" s="2">
        <v>748.6</v>
      </c>
      <c r="Y963">
        <v>0.33289999999999997</v>
      </c>
      <c r="Z963">
        <v>0</v>
      </c>
      <c r="AA963" t="s">
        <v>97</v>
      </c>
      <c r="AB963" t="s">
        <v>47</v>
      </c>
      <c r="AE963" s="2">
        <v>1945.21</v>
      </c>
      <c r="AF963">
        <v>1.1560999999999999</v>
      </c>
      <c r="AG963" t="s">
        <v>347</v>
      </c>
      <c r="AH963" s="23">
        <f>SUM(Amazon_Data_Set[[#This Row],[Gross Sales]]-Amazon_Data_Set[[#This Row],[Discount Amount]])</f>
        <v>2248.92</v>
      </c>
    </row>
    <row r="964" spans="1:34">
      <c r="A964" t="s">
        <v>2408</v>
      </c>
      <c r="B964" s="1">
        <v>46089</v>
      </c>
      <c r="C964" t="str">
        <f>TEXT(Amazon_Data_Set[[#This Row],[Order Date]],"mmm")</f>
        <v>Mar</v>
      </c>
      <c r="D964" t="s">
        <v>429</v>
      </c>
      <c r="E964" t="s">
        <v>275</v>
      </c>
      <c r="F964" t="s">
        <v>276</v>
      </c>
      <c r="G964" t="s">
        <v>37</v>
      </c>
      <c r="H964" t="s">
        <v>55</v>
      </c>
      <c r="I964" t="s">
        <v>56</v>
      </c>
      <c r="J964" t="s">
        <v>57</v>
      </c>
      <c r="K964" t="s">
        <v>58</v>
      </c>
      <c r="L964" t="s">
        <v>2409</v>
      </c>
      <c r="M964" t="s">
        <v>43</v>
      </c>
      <c r="N964" t="s">
        <v>95</v>
      </c>
      <c r="O964" t="s">
        <v>45</v>
      </c>
      <c r="P964">
        <v>5</v>
      </c>
      <c r="Q964">
        <v>50508.11</v>
      </c>
      <c r="R964" s="19">
        <v>0.1</v>
      </c>
      <c r="S964" s="21">
        <v>25254.06</v>
      </c>
      <c r="T964">
        <v>252540.55</v>
      </c>
      <c r="U964" s="2">
        <v>227286.49</v>
      </c>
      <c r="V964">
        <v>165.3</v>
      </c>
      <c r="W964">
        <v>153223.17000000001</v>
      </c>
      <c r="X964" s="2">
        <v>73898.02</v>
      </c>
      <c r="Y964">
        <v>0.3251</v>
      </c>
      <c r="Z964">
        <v>2</v>
      </c>
      <c r="AA964" t="s">
        <v>46</v>
      </c>
      <c r="AB964" t="s">
        <v>47</v>
      </c>
      <c r="AD964">
        <v>4</v>
      </c>
      <c r="AE964" s="2">
        <v>265436.61</v>
      </c>
      <c r="AF964">
        <v>0.85629999999999995</v>
      </c>
      <c r="AG964" t="s">
        <v>49</v>
      </c>
      <c r="AH964" s="23">
        <f>SUM(Amazon_Data_Set[[#This Row],[Gross Sales]]-Amazon_Data_Set[[#This Row],[Discount Amount]])</f>
        <v>227286.49</v>
      </c>
    </row>
    <row r="965" spans="1:34">
      <c r="A965" t="s">
        <v>2410</v>
      </c>
      <c r="B965" s="1">
        <v>46364</v>
      </c>
      <c r="C965" t="str">
        <f>TEXT(Amazon_Data_Set[[#This Row],[Order Date]],"mmm")</f>
        <v>Dec</v>
      </c>
      <c r="D965" t="s">
        <v>2411</v>
      </c>
      <c r="E965" t="s">
        <v>118</v>
      </c>
      <c r="F965" t="s">
        <v>119</v>
      </c>
      <c r="G965" t="s">
        <v>82</v>
      </c>
      <c r="H965" t="s">
        <v>55</v>
      </c>
      <c r="I965" t="s">
        <v>56</v>
      </c>
      <c r="J965" t="s">
        <v>57</v>
      </c>
      <c r="K965" t="s">
        <v>58</v>
      </c>
      <c r="L965" t="s">
        <v>2412</v>
      </c>
      <c r="M965" t="s">
        <v>43</v>
      </c>
      <c r="N965" t="s">
        <v>95</v>
      </c>
      <c r="O965" t="s">
        <v>45</v>
      </c>
      <c r="P965">
        <v>1</v>
      </c>
      <c r="Q965">
        <v>44504.95</v>
      </c>
      <c r="R965" s="19">
        <v>0</v>
      </c>
      <c r="S965" s="21">
        <v>0</v>
      </c>
      <c r="T965">
        <v>44504.95</v>
      </c>
      <c r="U965" s="2">
        <v>44504.95</v>
      </c>
      <c r="V965">
        <v>52.93</v>
      </c>
      <c r="W965">
        <v>29250.34</v>
      </c>
      <c r="X965" s="2">
        <v>15201.68</v>
      </c>
      <c r="Y965">
        <v>0.34160000000000001</v>
      </c>
      <c r="Z965">
        <v>1</v>
      </c>
      <c r="AA965" t="s">
        <v>46</v>
      </c>
      <c r="AB965" t="s">
        <v>47</v>
      </c>
      <c r="AD965">
        <v>3</v>
      </c>
      <c r="AE965" s="2">
        <v>53363.96</v>
      </c>
      <c r="AF965">
        <v>0.83399999999999996</v>
      </c>
      <c r="AG965" t="s">
        <v>49</v>
      </c>
      <c r="AH965" s="23">
        <f>SUM(Amazon_Data_Set[[#This Row],[Gross Sales]]-Amazon_Data_Set[[#This Row],[Discount Amount]])</f>
        <v>44504.95</v>
      </c>
    </row>
    <row r="966" spans="1:34">
      <c r="A966" t="s">
        <v>2413</v>
      </c>
      <c r="B966" s="1">
        <v>46166</v>
      </c>
      <c r="C966" t="str">
        <f>TEXT(Amazon_Data_Set[[#This Row],[Order Date]],"mmm")</f>
        <v>May</v>
      </c>
      <c r="D966" t="s">
        <v>340</v>
      </c>
      <c r="E966" t="s">
        <v>100</v>
      </c>
      <c r="F966" t="s">
        <v>179</v>
      </c>
      <c r="G966" t="s">
        <v>54</v>
      </c>
      <c r="H966" t="s">
        <v>83</v>
      </c>
      <c r="I966" t="s">
        <v>188</v>
      </c>
      <c r="J966" t="s">
        <v>475</v>
      </c>
      <c r="K966" t="s">
        <v>476</v>
      </c>
      <c r="L966" t="s">
        <v>2414</v>
      </c>
      <c r="M966" t="s">
        <v>106</v>
      </c>
      <c r="N966" t="s">
        <v>60</v>
      </c>
      <c r="O966" t="s">
        <v>45</v>
      </c>
      <c r="P966">
        <v>2</v>
      </c>
      <c r="Q966">
        <v>2279.94</v>
      </c>
      <c r="R966" s="19">
        <v>0.2</v>
      </c>
      <c r="S966" s="21">
        <v>911.98</v>
      </c>
      <c r="T966">
        <v>4559.88</v>
      </c>
      <c r="U966" s="2">
        <v>3647.9</v>
      </c>
      <c r="V966">
        <v>162.99</v>
      </c>
      <c r="W966">
        <v>1933.02</v>
      </c>
      <c r="X966" s="2">
        <v>1551.89</v>
      </c>
      <c r="Y966">
        <v>0.4254</v>
      </c>
      <c r="Z966">
        <v>8</v>
      </c>
      <c r="AA966" t="s">
        <v>61</v>
      </c>
      <c r="AB966" t="s">
        <v>48</v>
      </c>
      <c r="AC966" t="s">
        <v>197</v>
      </c>
      <c r="AD966">
        <v>4</v>
      </c>
      <c r="AE966" s="2">
        <v>4061.94</v>
      </c>
      <c r="AF966">
        <v>0.89810000000000001</v>
      </c>
      <c r="AG966" t="s">
        <v>49</v>
      </c>
      <c r="AH966" s="23">
        <f>SUM(Amazon_Data_Set[[#This Row],[Gross Sales]]-Amazon_Data_Set[[#This Row],[Discount Amount]])</f>
        <v>3647.9</v>
      </c>
    </row>
    <row r="967" spans="1:34">
      <c r="A967" t="s">
        <v>2415</v>
      </c>
      <c r="B967" s="1">
        <v>46245</v>
      </c>
      <c r="C967" t="str">
        <f>TEXT(Amazon_Data_Set[[#This Row],[Order Date]],"mmm")</f>
        <v>Aug</v>
      </c>
      <c r="D967" t="s">
        <v>1506</v>
      </c>
      <c r="E967" t="s">
        <v>167</v>
      </c>
      <c r="F967" t="s">
        <v>168</v>
      </c>
      <c r="G967" t="s">
        <v>111</v>
      </c>
      <c r="H967" t="s">
        <v>83</v>
      </c>
      <c r="I967" t="s">
        <v>84</v>
      </c>
      <c r="J967" t="s">
        <v>332</v>
      </c>
      <c r="K967" t="s">
        <v>333</v>
      </c>
      <c r="L967" t="s">
        <v>2416</v>
      </c>
      <c r="M967" t="s">
        <v>106</v>
      </c>
      <c r="N967" t="s">
        <v>95</v>
      </c>
      <c r="O967" t="s">
        <v>45</v>
      </c>
      <c r="P967">
        <v>4</v>
      </c>
      <c r="Q967">
        <v>1224</v>
      </c>
      <c r="R967" s="19">
        <v>0.15</v>
      </c>
      <c r="S967" s="21">
        <v>734.4</v>
      </c>
      <c r="T967">
        <v>4896</v>
      </c>
      <c r="U967" s="2">
        <v>4161.6000000000004</v>
      </c>
      <c r="V967">
        <v>121.33</v>
      </c>
      <c r="W967">
        <v>2280.1</v>
      </c>
      <c r="X967" s="2">
        <v>1760.17</v>
      </c>
      <c r="Y967">
        <v>0.42299999999999999</v>
      </c>
      <c r="Z967">
        <v>4</v>
      </c>
      <c r="AA967" t="s">
        <v>46</v>
      </c>
      <c r="AB967" t="s">
        <v>47</v>
      </c>
      <c r="AD967">
        <v>3</v>
      </c>
      <c r="AE967" s="2">
        <v>4349.0600000000004</v>
      </c>
      <c r="AF967">
        <v>0.95689999999999997</v>
      </c>
      <c r="AG967" t="s">
        <v>49</v>
      </c>
      <c r="AH967" s="23">
        <f>SUM(Amazon_Data_Set[[#This Row],[Gross Sales]]-Amazon_Data_Set[[#This Row],[Discount Amount]])</f>
        <v>4161.6000000000004</v>
      </c>
    </row>
    <row r="968" spans="1:34">
      <c r="A968" t="s">
        <v>2417</v>
      </c>
      <c r="B968" s="1">
        <v>46039</v>
      </c>
      <c r="C968" t="str">
        <f>TEXT(Amazon_Data_Set[[#This Row],[Order Date]],"mmm")</f>
        <v>Jan</v>
      </c>
      <c r="D968" t="s">
        <v>1098</v>
      </c>
      <c r="E968" t="s">
        <v>118</v>
      </c>
      <c r="F968" t="s">
        <v>119</v>
      </c>
      <c r="G968" t="s">
        <v>82</v>
      </c>
      <c r="H968" t="s">
        <v>38</v>
      </c>
      <c r="I968" t="s">
        <v>161</v>
      </c>
      <c r="J968" t="s">
        <v>223</v>
      </c>
      <c r="K968" t="s">
        <v>224</v>
      </c>
      <c r="L968" t="s">
        <v>2418</v>
      </c>
      <c r="M968" t="s">
        <v>43</v>
      </c>
      <c r="N968" t="s">
        <v>70</v>
      </c>
      <c r="O968" t="s">
        <v>96</v>
      </c>
      <c r="P968">
        <v>1</v>
      </c>
      <c r="Q968">
        <v>803.24</v>
      </c>
      <c r="R968" s="19">
        <v>0.1</v>
      </c>
      <c r="S968" s="21">
        <v>80.319999999999993</v>
      </c>
      <c r="T968">
        <v>803.24</v>
      </c>
      <c r="U968" s="2">
        <v>722.92</v>
      </c>
      <c r="V968">
        <v>138.47999999999999</v>
      </c>
      <c r="W968">
        <v>378.11</v>
      </c>
      <c r="X968" s="2">
        <v>206.33</v>
      </c>
      <c r="Y968">
        <v>0.28539999999999999</v>
      </c>
      <c r="Z968">
        <v>0</v>
      </c>
      <c r="AA968" t="s">
        <v>97</v>
      </c>
      <c r="AB968" t="s">
        <v>47</v>
      </c>
      <c r="AE968" s="2">
        <v>754.74</v>
      </c>
      <c r="AF968">
        <v>0.95779999999999998</v>
      </c>
      <c r="AG968" t="s">
        <v>49</v>
      </c>
      <c r="AH968" s="23">
        <f>SUM(Amazon_Data_Set[[#This Row],[Gross Sales]]-Amazon_Data_Set[[#This Row],[Discount Amount]])</f>
        <v>722.92000000000007</v>
      </c>
    </row>
    <row r="969" spans="1:34">
      <c r="A969" t="s">
        <v>2419</v>
      </c>
      <c r="B969" s="1">
        <v>46029</v>
      </c>
      <c r="C969" t="str">
        <f>TEXT(Amazon_Data_Set[[#This Row],[Order Date]],"mmm")</f>
        <v>Jan</v>
      </c>
      <c r="D969" t="s">
        <v>735</v>
      </c>
      <c r="E969" t="s">
        <v>118</v>
      </c>
      <c r="F969" t="s">
        <v>119</v>
      </c>
      <c r="G969" t="s">
        <v>82</v>
      </c>
      <c r="H969" t="s">
        <v>83</v>
      </c>
      <c r="I969" t="s">
        <v>102</v>
      </c>
      <c r="J969" t="s">
        <v>259</v>
      </c>
      <c r="K969" t="s">
        <v>260</v>
      </c>
      <c r="L969" t="s">
        <v>2420</v>
      </c>
      <c r="M969" t="s">
        <v>43</v>
      </c>
      <c r="N969" t="s">
        <v>124</v>
      </c>
      <c r="O969" t="s">
        <v>45</v>
      </c>
      <c r="P969">
        <v>3</v>
      </c>
      <c r="Q969">
        <v>744.68</v>
      </c>
      <c r="R969" s="19">
        <v>0</v>
      </c>
      <c r="S969" s="21">
        <v>0</v>
      </c>
      <c r="T969">
        <v>2234.04</v>
      </c>
      <c r="U969" s="2">
        <v>2234.04</v>
      </c>
      <c r="V969">
        <v>192.01</v>
      </c>
      <c r="W969">
        <v>1161.49</v>
      </c>
      <c r="X969" s="2">
        <v>880.54</v>
      </c>
      <c r="Y969">
        <v>0.39410000000000001</v>
      </c>
      <c r="Z969">
        <v>2</v>
      </c>
      <c r="AA969" t="s">
        <v>46</v>
      </c>
      <c r="AB969" t="s">
        <v>47</v>
      </c>
      <c r="AD969">
        <v>3</v>
      </c>
      <c r="AE969" s="2">
        <v>2079.42</v>
      </c>
      <c r="AF969">
        <v>1.0744</v>
      </c>
      <c r="AG969" t="s">
        <v>49</v>
      </c>
      <c r="AH969" s="23">
        <f>SUM(Amazon_Data_Set[[#This Row],[Gross Sales]]-Amazon_Data_Set[[#This Row],[Discount Amount]])</f>
        <v>2234.04</v>
      </c>
    </row>
    <row r="970" spans="1:34">
      <c r="A970" t="s">
        <v>2421</v>
      </c>
      <c r="B970" s="1">
        <v>46300</v>
      </c>
      <c r="C970" t="str">
        <f>TEXT(Amazon_Data_Set[[#This Row],[Order Date]],"mmm")</f>
        <v>Oct</v>
      </c>
      <c r="D970" t="s">
        <v>996</v>
      </c>
      <c r="E970" t="s">
        <v>35</v>
      </c>
      <c r="F970" t="s">
        <v>36</v>
      </c>
      <c r="G970" t="s">
        <v>37</v>
      </c>
      <c r="H970" t="s">
        <v>55</v>
      </c>
      <c r="I970" t="s">
        <v>56</v>
      </c>
      <c r="J970" t="s">
        <v>448</v>
      </c>
      <c r="K970" t="s">
        <v>170</v>
      </c>
      <c r="L970" t="s">
        <v>2422</v>
      </c>
      <c r="M970" t="s">
        <v>106</v>
      </c>
      <c r="N970" t="s">
        <v>70</v>
      </c>
      <c r="O970" t="s">
        <v>45</v>
      </c>
      <c r="P970">
        <v>3</v>
      </c>
      <c r="Q970">
        <v>15120.58</v>
      </c>
      <c r="R970" s="19">
        <v>0.3</v>
      </c>
      <c r="S970" s="21">
        <v>13608.52</v>
      </c>
      <c r="T970">
        <v>45361.74</v>
      </c>
      <c r="U970" s="2">
        <v>31753.22</v>
      </c>
      <c r="V970">
        <v>197.68</v>
      </c>
      <c r="W970">
        <v>20174.169999999998</v>
      </c>
      <c r="X970" s="2">
        <v>11381.37</v>
      </c>
      <c r="Y970">
        <v>0.3584</v>
      </c>
      <c r="Z970">
        <v>4</v>
      </c>
      <c r="AA970" t="s">
        <v>46</v>
      </c>
      <c r="AB970" t="s">
        <v>48</v>
      </c>
      <c r="AC970" t="s">
        <v>520</v>
      </c>
      <c r="AD970">
        <v>4</v>
      </c>
      <c r="AE970" s="2">
        <v>33740.51</v>
      </c>
      <c r="AF970">
        <v>0.94110000000000005</v>
      </c>
      <c r="AG970" t="s">
        <v>49</v>
      </c>
      <c r="AH970" s="23">
        <f>SUM(Amazon_Data_Set[[#This Row],[Gross Sales]]-Amazon_Data_Set[[#This Row],[Discount Amount]])</f>
        <v>31753.219999999998</v>
      </c>
    </row>
    <row r="971" spans="1:34">
      <c r="A971" t="s">
        <v>2423</v>
      </c>
      <c r="B971" s="1">
        <v>46257</v>
      </c>
      <c r="C971" t="str">
        <f>TEXT(Amazon_Data_Set[[#This Row],[Order Date]],"mmm")</f>
        <v>Aug</v>
      </c>
      <c r="D971" t="s">
        <v>1353</v>
      </c>
      <c r="E971" t="s">
        <v>109</v>
      </c>
      <c r="F971" t="s">
        <v>110</v>
      </c>
      <c r="G971" t="s">
        <v>111</v>
      </c>
      <c r="H971" t="s">
        <v>38</v>
      </c>
      <c r="I971" t="s">
        <v>161</v>
      </c>
      <c r="J971" t="s">
        <v>162</v>
      </c>
      <c r="K971" t="s">
        <v>163</v>
      </c>
      <c r="L971" t="s">
        <v>2424</v>
      </c>
      <c r="M971" t="s">
        <v>43</v>
      </c>
      <c r="N971" t="s">
        <v>77</v>
      </c>
      <c r="O971" t="s">
        <v>96</v>
      </c>
      <c r="P971">
        <v>2</v>
      </c>
      <c r="Q971">
        <v>411.68</v>
      </c>
      <c r="R971" s="19">
        <v>0.15</v>
      </c>
      <c r="S971" s="21">
        <v>123.5</v>
      </c>
      <c r="T971">
        <v>823.36</v>
      </c>
      <c r="U971" s="2">
        <v>699.86</v>
      </c>
      <c r="V971">
        <v>73.13</v>
      </c>
      <c r="W971">
        <v>520.28</v>
      </c>
      <c r="X971" s="2">
        <v>106.45</v>
      </c>
      <c r="Y971">
        <v>0.15210000000000001</v>
      </c>
      <c r="Z971">
        <v>0</v>
      </c>
      <c r="AA971" t="s">
        <v>97</v>
      </c>
      <c r="AB971" t="s">
        <v>47</v>
      </c>
      <c r="AE971" s="2">
        <v>844.6</v>
      </c>
      <c r="AF971">
        <v>0.8286</v>
      </c>
      <c r="AG971" t="s">
        <v>49</v>
      </c>
      <c r="AH971" s="23">
        <f>SUM(Amazon_Data_Set[[#This Row],[Gross Sales]]-Amazon_Data_Set[[#This Row],[Discount Amount]])</f>
        <v>699.86</v>
      </c>
    </row>
    <row r="972" spans="1:34">
      <c r="A972" t="s">
        <v>2425</v>
      </c>
      <c r="B972" s="1">
        <v>46062</v>
      </c>
      <c r="C972" t="str">
        <f>TEXT(Amazon_Data_Set[[#This Row],[Order Date]],"mmm")</f>
        <v>Feb</v>
      </c>
      <c r="D972" t="s">
        <v>1040</v>
      </c>
      <c r="E972" t="s">
        <v>194</v>
      </c>
      <c r="F972" t="s">
        <v>195</v>
      </c>
      <c r="G972" t="s">
        <v>111</v>
      </c>
      <c r="H972" t="s">
        <v>142</v>
      </c>
      <c r="I972" t="s">
        <v>209</v>
      </c>
      <c r="J972" t="s">
        <v>243</v>
      </c>
      <c r="K972" t="s">
        <v>145</v>
      </c>
      <c r="L972" t="s">
        <v>2426</v>
      </c>
      <c r="M972" t="s">
        <v>106</v>
      </c>
      <c r="N972" t="s">
        <v>95</v>
      </c>
      <c r="O972" t="s">
        <v>45</v>
      </c>
      <c r="P972">
        <v>5</v>
      </c>
      <c r="Q972">
        <v>9330.65</v>
      </c>
      <c r="R972" s="19">
        <v>0.2</v>
      </c>
      <c r="S972" s="21">
        <v>9330.65</v>
      </c>
      <c r="T972">
        <v>46653.25</v>
      </c>
      <c r="U972" s="2">
        <v>37322.6</v>
      </c>
      <c r="V972">
        <v>62.62</v>
      </c>
      <c r="W972">
        <v>27217.55</v>
      </c>
      <c r="X972" s="2">
        <v>10042.43</v>
      </c>
      <c r="Y972">
        <v>0.26910000000000001</v>
      </c>
      <c r="Z972">
        <v>3</v>
      </c>
      <c r="AA972" t="s">
        <v>46</v>
      </c>
      <c r="AB972" t="s">
        <v>47</v>
      </c>
      <c r="AD972">
        <v>5</v>
      </c>
      <c r="AE972" s="2">
        <v>42892.75</v>
      </c>
      <c r="AF972">
        <v>0.87009999999999998</v>
      </c>
      <c r="AG972" t="s">
        <v>49</v>
      </c>
      <c r="AH972" s="23">
        <f>SUM(Amazon_Data_Set[[#This Row],[Gross Sales]]-Amazon_Data_Set[[#This Row],[Discount Amount]])</f>
        <v>37322.6</v>
      </c>
    </row>
    <row r="973" spans="1:34">
      <c r="A973" t="s">
        <v>2427</v>
      </c>
      <c r="B973" s="1">
        <v>46374</v>
      </c>
      <c r="C973" t="str">
        <f>TEXT(Amazon_Data_Set[[#This Row],[Order Date]],"mmm")</f>
        <v>Dec</v>
      </c>
      <c r="D973" t="s">
        <v>1415</v>
      </c>
      <c r="E973" t="s">
        <v>149</v>
      </c>
      <c r="F973" t="s">
        <v>150</v>
      </c>
      <c r="G973" t="s">
        <v>37</v>
      </c>
      <c r="H973" t="s">
        <v>55</v>
      </c>
      <c r="I973" t="s">
        <v>120</v>
      </c>
      <c r="J973" t="s">
        <v>121</v>
      </c>
      <c r="K973" t="s">
        <v>122</v>
      </c>
      <c r="L973" t="s">
        <v>2428</v>
      </c>
      <c r="M973" t="s">
        <v>43</v>
      </c>
      <c r="N973" t="s">
        <v>70</v>
      </c>
      <c r="O973" t="s">
        <v>45</v>
      </c>
      <c r="P973">
        <v>4</v>
      </c>
      <c r="Q973">
        <v>1925.6</v>
      </c>
      <c r="R973" s="19">
        <v>0.15</v>
      </c>
      <c r="S973" s="21">
        <v>1155.3599999999999</v>
      </c>
      <c r="T973">
        <v>7702.4</v>
      </c>
      <c r="U973" s="2">
        <v>6547.04</v>
      </c>
      <c r="V973">
        <v>95.45</v>
      </c>
      <c r="W973">
        <v>3156.22</v>
      </c>
      <c r="X973" s="2">
        <v>3295.37</v>
      </c>
      <c r="Y973">
        <v>0.50329999999999997</v>
      </c>
      <c r="Z973">
        <v>6</v>
      </c>
      <c r="AA973" t="s">
        <v>61</v>
      </c>
      <c r="AB973" t="s">
        <v>47</v>
      </c>
      <c r="AD973">
        <v>4</v>
      </c>
      <c r="AE973" s="2">
        <v>6853.93</v>
      </c>
      <c r="AF973">
        <v>0.95520000000000005</v>
      </c>
      <c r="AG973" t="s">
        <v>49</v>
      </c>
      <c r="AH973" s="23">
        <f>SUM(Amazon_Data_Set[[#This Row],[Gross Sales]]-Amazon_Data_Set[[#This Row],[Discount Amount]])</f>
        <v>6547.04</v>
      </c>
    </row>
    <row r="974" spans="1:34">
      <c r="A974" t="s">
        <v>2429</v>
      </c>
      <c r="B974" s="1">
        <v>46341</v>
      </c>
      <c r="C974" t="str">
        <f>TEXT(Amazon_Data_Set[[#This Row],[Order Date]],"mmm")</f>
        <v>Nov</v>
      </c>
      <c r="D974" t="s">
        <v>721</v>
      </c>
      <c r="E974" t="s">
        <v>100</v>
      </c>
      <c r="F974" t="s">
        <v>179</v>
      </c>
      <c r="G974" t="s">
        <v>54</v>
      </c>
      <c r="H974" t="s">
        <v>83</v>
      </c>
      <c r="I974" t="s">
        <v>102</v>
      </c>
      <c r="J974" t="s">
        <v>373</v>
      </c>
      <c r="K974" t="s">
        <v>374</v>
      </c>
      <c r="L974" t="s">
        <v>2430</v>
      </c>
      <c r="M974" t="s">
        <v>106</v>
      </c>
      <c r="N974" t="s">
        <v>60</v>
      </c>
      <c r="O974" t="s">
        <v>45</v>
      </c>
      <c r="P974">
        <v>5</v>
      </c>
      <c r="Q974">
        <v>771.77</v>
      </c>
      <c r="R974" s="19">
        <v>0.1</v>
      </c>
      <c r="S974" s="21">
        <v>385.88</v>
      </c>
      <c r="T974">
        <v>3858.85</v>
      </c>
      <c r="U974" s="2">
        <v>3472.97</v>
      </c>
      <c r="V974">
        <v>186.69</v>
      </c>
      <c r="W974">
        <v>1841.78</v>
      </c>
      <c r="X974" s="2">
        <v>1444.5</v>
      </c>
      <c r="Y974">
        <v>0.41589999999999999</v>
      </c>
      <c r="Z974">
        <v>5</v>
      </c>
      <c r="AA974" t="s">
        <v>61</v>
      </c>
      <c r="AB974" t="s">
        <v>47</v>
      </c>
      <c r="AD974">
        <v>4</v>
      </c>
      <c r="AE974" s="2">
        <v>4239.12</v>
      </c>
      <c r="AF974">
        <v>0.81930000000000003</v>
      </c>
      <c r="AG974" t="s">
        <v>49</v>
      </c>
      <c r="AH974" s="23">
        <f>SUM(Amazon_Data_Set[[#This Row],[Gross Sales]]-Amazon_Data_Set[[#This Row],[Discount Amount]])</f>
        <v>3472.97</v>
      </c>
    </row>
    <row r="975" spans="1:34">
      <c r="A975" t="s">
        <v>2431</v>
      </c>
      <c r="B975" s="1">
        <v>46333</v>
      </c>
      <c r="C975" t="str">
        <f>TEXT(Amazon_Data_Set[[#This Row],[Order Date]],"mmm")</f>
        <v>Nov</v>
      </c>
      <c r="D975" t="s">
        <v>501</v>
      </c>
      <c r="E975" t="s">
        <v>194</v>
      </c>
      <c r="F975" t="s">
        <v>195</v>
      </c>
      <c r="G975" t="s">
        <v>111</v>
      </c>
      <c r="H975" t="s">
        <v>90</v>
      </c>
      <c r="I975" t="s">
        <v>112</v>
      </c>
      <c r="J975" t="s">
        <v>292</v>
      </c>
      <c r="K975" t="s">
        <v>293</v>
      </c>
      <c r="L975" t="s">
        <v>2432</v>
      </c>
      <c r="M975" t="s">
        <v>43</v>
      </c>
      <c r="N975" t="s">
        <v>77</v>
      </c>
      <c r="O975" t="s">
        <v>45</v>
      </c>
      <c r="P975">
        <v>4</v>
      </c>
      <c r="Q975">
        <v>151.74</v>
      </c>
      <c r="R975" s="19">
        <v>0</v>
      </c>
      <c r="S975" s="21">
        <v>0</v>
      </c>
      <c r="T975">
        <v>606.96</v>
      </c>
      <c r="U975" s="2">
        <v>606.96</v>
      </c>
      <c r="V975">
        <v>54.54</v>
      </c>
      <c r="W975">
        <v>320.86</v>
      </c>
      <c r="X975" s="2">
        <v>231.56</v>
      </c>
      <c r="Y975">
        <v>0.38150000000000001</v>
      </c>
      <c r="Z975">
        <v>8</v>
      </c>
      <c r="AA975" t="s">
        <v>61</v>
      </c>
      <c r="AB975" t="s">
        <v>47</v>
      </c>
      <c r="AD975">
        <v>3</v>
      </c>
      <c r="AE975" s="2">
        <v>664.81</v>
      </c>
      <c r="AF975">
        <v>0.91300000000000003</v>
      </c>
      <c r="AG975" t="s">
        <v>49</v>
      </c>
      <c r="AH975" s="23">
        <f>SUM(Amazon_Data_Set[[#This Row],[Gross Sales]]-Amazon_Data_Set[[#This Row],[Discount Amount]])</f>
        <v>606.96</v>
      </c>
    </row>
    <row r="976" spans="1:34">
      <c r="A976" t="s">
        <v>2433</v>
      </c>
      <c r="B976" s="1">
        <v>46249</v>
      </c>
      <c r="C976" t="str">
        <f>TEXT(Amazon_Data_Set[[#This Row],[Order Date]],"mmm")</f>
        <v>Aug</v>
      </c>
      <c r="D976" t="s">
        <v>1460</v>
      </c>
      <c r="E976" t="s">
        <v>80</v>
      </c>
      <c r="F976" t="s">
        <v>81</v>
      </c>
      <c r="G976" t="s">
        <v>82</v>
      </c>
      <c r="H976" t="s">
        <v>83</v>
      </c>
      <c r="I976" t="s">
        <v>102</v>
      </c>
      <c r="J976" t="s">
        <v>373</v>
      </c>
      <c r="K976" t="s">
        <v>374</v>
      </c>
      <c r="L976" t="s">
        <v>2434</v>
      </c>
      <c r="M976" t="s">
        <v>106</v>
      </c>
      <c r="N976" t="s">
        <v>70</v>
      </c>
      <c r="O976" t="s">
        <v>96</v>
      </c>
      <c r="P976">
        <v>3</v>
      </c>
      <c r="Q976">
        <v>717.48</v>
      </c>
      <c r="R976" s="19">
        <v>0.05</v>
      </c>
      <c r="S976" s="21">
        <v>107.62</v>
      </c>
      <c r="T976">
        <v>2152.44</v>
      </c>
      <c r="U976" s="2">
        <v>2044.82</v>
      </c>
      <c r="V976">
        <v>246.53</v>
      </c>
      <c r="W976">
        <v>1096.5999999999999</v>
      </c>
      <c r="X976" s="2">
        <v>701.69</v>
      </c>
      <c r="Y976">
        <v>0.34320000000000001</v>
      </c>
      <c r="Z976">
        <v>0</v>
      </c>
      <c r="AA976" t="s">
        <v>97</v>
      </c>
      <c r="AB976" t="s">
        <v>47</v>
      </c>
      <c r="AE976" s="2">
        <v>1779.35</v>
      </c>
      <c r="AF976">
        <v>1.1492</v>
      </c>
      <c r="AG976" t="s">
        <v>49</v>
      </c>
      <c r="AH976" s="23">
        <f>SUM(Amazon_Data_Set[[#This Row],[Gross Sales]]-Amazon_Data_Set[[#This Row],[Discount Amount]])</f>
        <v>2044.8200000000002</v>
      </c>
    </row>
    <row r="977" spans="1:34">
      <c r="A977" t="s">
        <v>2435</v>
      </c>
      <c r="B977" s="1">
        <v>46072</v>
      </c>
      <c r="C977" t="str">
        <f>TEXT(Amazon_Data_Set[[#This Row],[Order Date]],"mmm")</f>
        <v>Feb</v>
      </c>
      <c r="D977" t="s">
        <v>227</v>
      </c>
      <c r="E977" t="s">
        <v>109</v>
      </c>
      <c r="F977" t="s">
        <v>110</v>
      </c>
      <c r="G977" t="s">
        <v>111</v>
      </c>
      <c r="H977" t="s">
        <v>90</v>
      </c>
      <c r="I977" t="s">
        <v>112</v>
      </c>
      <c r="J977" t="s">
        <v>113</v>
      </c>
      <c r="K977" t="s">
        <v>114</v>
      </c>
      <c r="L977" t="s">
        <v>2436</v>
      </c>
      <c r="M977" t="s">
        <v>106</v>
      </c>
      <c r="N977" t="s">
        <v>77</v>
      </c>
      <c r="O977" t="s">
        <v>45</v>
      </c>
      <c r="P977">
        <v>2</v>
      </c>
      <c r="Q977">
        <v>1412.72</v>
      </c>
      <c r="R977" s="19">
        <v>0.15</v>
      </c>
      <c r="S977" s="21">
        <v>423.82</v>
      </c>
      <c r="T977">
        <v>2825.44</v>
      </c>
      <c r="U977" s="2">
        <v>2401.62</v>
      </c>
      <c r="V977">
        <v>77.260000000000005</v>
      </c>
      <c r="W977">
        <v>1742.93</v>
      </c>
      <c r="X977" s="2">
        <v>581.42999999999995</v>
      </c>
      <c r="Y977">
        <v>0.24210000000000001</v>
      </c>
      <c r="Z977">
        <v>3</v>
      </c>
      <c r="AA977" t="s">
        <v>46</v>
      </c>
      <c r="AB977" t="s">
        <v>47</v>
      </c>
      <c r="AD977">
        <v>4</v>
      </c>
      <c r="AE977" s="2">
        <v>2970.02</v>
      </c>
      <c r="AF977">
        <v>0.80859999999999999</v>
      </c>
      <c r="AG977" t="s">
        <v>49</v>
      </c>
      <c r="AH977" s="23">
        <f>SUM(Amazon_Data_Set[[#This Row],[Gross Sales]]-Amazon_Data_Set[[#This Row],[Discount Amount]])</f>
        <v>2401.62</v>
      </c>
    </row>
    <row r="978" spans="1:34">
      <c r="A978" t="s">
        <v>2437</v>
      </c>
      <c r="B978" s="1">
        <v>46165</v>
      </c>
      <c r="C978" t="str">
        <f>TEXT(Amazon_Data_Set[[#This Row],[Order Date]],"mmm")</f>
        <v>May</v>
      </c>
      <c r="D978" t="s">
        <v>974</v>
      </c>
      <c r="E978" t="s">
        <v>109</v>
      </c>
      <c r="F978" t="s">
        <v>110</v>
      </c>
      <c r="G978" t="s">
        <v>111</v>
      </c>
      <c r="H978" t="s">
        <v>83</v>
      </c>
      <c r="I978" t="s">
        <v>84</v>
      </c>
      <c r="J978" t="s">
        <v>332</v>
      </c>
      <c r="K978" t="s">
        <v>333</v>
      </c>
      <c r="L978" t="s">
        <v>2438</v>
      </c>
      <c r="M978" t="s">
        <v>43</v>
      </c>
      <c r="N978" t="s">
        <v>44</v>
      </c>
      <c r="O978" t="s">
        <v>45</v>
      </c>
      <c r="P978">
        <v>4</v>
      </c>
      <c r="Q978">
        <v>266.48</v>
      </c>
      <c r="R978" s="19">
        <v>0</v>
      </c>
      <c r="S978" s="21">
        <v>0</v>
      </c>
      <c r="T978">
        <v>1065.92</v>
      </c>
      <c r="U978" s="2">
        <v>1065.92</v>
      </c>
      <c r="V978">
        <v>38.15</v>
      </c>
      <c r="W978">
        <v>549.04999999999995</v>
      </c>
      <c r="X978" s="2">
        <v>478.72</v>
      </c>
      <c r="Y978">
        <v>0.4491</v>
      </c>
      <c r="Z978">
        <v>3</v>
      </c>
      <c r="AA978" t="s">
        <v>46</v>
      </c>
      <c r="AB978" t="s">
        <v>47</v>
      </c>
      <c r="AD978">
        <v>4</v>
      </c>
      <c r="AE978" s="2">
        <v>1057.71</v>
      </c>
      <c r="AF978">
        <v>1.0078</v>
      </c>
      <c r="AG978" t="s">
        <v>49</v>
      </c>
      <c r="AH978" s="23">
        <f>SUM(Amazon_Data_Set[[#This Row],[Gross Sales]]-Amazon_Data_Set[[#This Row],[Discount Amount]])</f>
        <v>1065.92</v>
      </c>
    </row>
    <row r="979" spans="1:34">
      <c r="A979" t="s">
        <v>2439</v>
      </c>
      <c r="B979" s="1">
        <v>46380</v>
      </c>
      <c r="C979" t="str">
        <f>TEXT(Amazon_Data_Set[[#This Row],[Order Date]],"mmm")</f>
        <v>Dec</v>
      </c>
      <c r="D979" t="s">
        <v>372</v>
      </c>
      <c r="E979" t="s">
        <v>109</v>
      </c>
      <c r="F979" t="s">
        <v>110</v>
      </c>
      <c r="G979" t="s">
        <v>111</v>
      </c>
      <c r="H979" t="s">
        <v>90</v>
      </c>
      <c r="I979" t="s">
        <v>112</v>
      </c>
      <c r="J979" t="s">
        <v>113</v>
      </c>
      <c r="K979" t="s">
        <v>114</v>
      </c>
      <c r="L979" t="s">
        <v>2440</v>
      </c>
      <c r="M979" t="s">
        <v>106</v>
      </c>
      <c r="N979" t="s">
        <v>60</v>
      </c>
      <c r="O979" t="s">
        <v>45</v>
      </c>
      <c r="P979">
        <v>1</v>
      </c>
      <c r="Q979">
        <v>462.62</v>
      </c>
      <c r="R979" s="19">
        <v>0</v>
      </c>
      <c r="S979" s="21">
        <v>0</v>
      </c>
      <c r="T979">
        <v>462.62</v>
      </c>
      <c r="U979" s="2">
        <v>462.62</v>
      </c>
      <c r="V979">
        <v>66.150000000000006</v>
      </c>
      <c r="W979">
        <v>319.39999999999998</v>
      </c>
      <c r="X979" s="2">
        <v>77.069999999999993</v>
      </c>
      <c r="Y979">
        <v>0.1666</v>
      </c>
      <c r="Z979">
        <v>1</v>
      </c>
      <c r="AA979" t="s">
        <v>46</v>
      </c>
      <c r="AB979" t="s">
        <v>47</v>
      </c>
      <c r="AD979">
        <v>4</v>
      </c>
      <c r="AE979" s="2">
        <v>561.69000000000005</v>
      </c>
      <c r="AF979">
        <v>0.8236</v>
      </c>
      <c r="AG979" t="s">
        <v>49</v>
      </c>
      <c r="AH979" s="23">
        <f>SUM(Amazon_Data_Set[[#This Row],[Gross Sales]]-Amazon_Data_Set[[#This Row],[Discount Amount]])</f>
        <v>462.62</v>
      </c>
    </row>
    <row r="980" spans="1:34">
      <c r="A980" t="s">
        <v>2441</v>
      </c>
      <c r="B980" s="1">
        <v>46091</v>
      </c>
      <c r="C980" t="str">
        <f>TEXT(Amazon_Data_Set[[#This Row],[Order Date]],"mmm")</f>
        <v>Mar</v>
      </c>
      <c r="D980" t="s">
        <v>990</v>
      </c>
      <c r="E980" t="s">
        <v>235</v>
      </c>
      <c r="F980" t="s">
        <v>236</v>
      </c>
      <c r="G980" t="s">
        <v>82</v>
      </c>
      <c r="H980" t="s">
        <v>142</v>
      </c>
      <c r="I980" t="s">
        <v>209</v>
      </c>
      <c r="J980" t="s">
        <v>243</v>
      </c>
      <c r="K980" t="s">
        <v>145</v>
      </c>
      <c r="L980" t="s">
        <v>2442</v>
      </c>
      <c r="M980" t="s">
        <v>43</v>
      </c>
      <c r="N980" t="s">
        <v>124</v>
      </c>
      <c r="O980" t="s">
        <v>96</v>
      </c>
      <c r="P980">
        <v>1</v>
      </c>
      <c r="Q980">
        <v>413.08</v>
      </c>
      <c r="R980" s="19">
        <v>0</v>
      </c>
      <c r="S980" s="21">
        <v>0</v>
      </c>
      <c r="T980">
        <v>413.08</v>
      </c>
      <c r="U980" s="2">
        <v>413.08</v>
      </c>
      <c r="V980">
        <v>86.77</v>
      </c>
      <c r="W980">
        <v>237.36</v>
      </c>
      <c r="X980" s="2">
        <v>88.95</v>
      </c>
      <c r="Y980">
        <v>0.21529999999999999</v>
      </c>
      <c r="Z980">
        <v>0</v>
      </c>
      <c r="AA980" t="s">
        <v>97</v>
      </c>
      <c r="AB980" t="s">
        <v>47</v>
      </c>
      <c r="AE980" s="2">
        <v>371.76</v>
      </c>
      <c r="AF980">
        <v>1.1111</v>
      </c>
      <c r="AG980" t="s">
        <v>49</v>
      </c>
      <c r="AH980" s="23">
        <f>SUM(Amazon_Data_Set[[#This Row],[Gross Sales]]-Amazon_Data_Set[[#This Row],[Discount Amount]])</f>
        <v>413.08</v>
      </c>
    </row>
    <row r="981" spans="1:34">
      <c r="A981" t="s">
        <v>2443</v>
      </c>
      <c r="B981" s="1">
        <v>46318</v>
      </c>
      <c r="C981" t="str">
        <f>TEXT(Amazon_Data_Set[[#This Row],[Order Date]],"mmm")</f>
        <v>Oct</v>
      </c>
      <c r="D981" t="s">
        <v>1612</v>
      </c>
      <c r="E981" t="s">
        <v>228</v>
      </c>
      <c r="F981" t="s">
        <v>229</v>
      </c>
      <c r="G981" t="s">
        <v>37</v>
      </c>
      <c r="H981" t="s">
        <v>83</v>
      </c>
      <c r="I981" t="s">
        <v>84</v>
      </c>
      <c r="J981" t="s">
        <v>85</v>
      </c>
      <c r="K981" t="s">
        <v>86</v>
      </c>
      <c r="L981" t="s">
        <v>2444</v>
      </c>
      <c r="M981" t="s">
        <v>43</v>
      </c>
      <c r="N981" t="s">
        <v>124</v>
      </c>
      <c r="O981" t="s">
        <v>130</v>
      </c>
      <c r="P981">
        <v>5</v>
      </c>
      <c r="Q981">
        <v>2246.62</v>
      </c>
      <c r="R981" s="19">
        <v>0.25</v>
      </c>
      <c r="S981" s="21">
        <v>2808.28</v>
      </c>
      <c r="T981">
        <v>11233.1</v>
      </c>
      <c r="U981" s="2">
        <v>8424.82</v>
      </c>
      <c r="V981">
        <v>52.72</v>
      </c>
      <c r="W981">
        <v>4383.68</v>
      </c>
      <c r="X981" s="2">
        <v>3988.42</v>
      </c>
      <c r="Y981">
        <v>0.47339999999999999</v>
      </c>
      <c r="Z981">
        <v>7</v>
      </c>
      <c r="AA981" t="s">
        <v>131</v>
      </c>
      <c r="AB981" t="s">
        <v>47</v>
      </c>
      <c r="AE981" s="2">
        <v>9028.99</v>
      </c>
      <c r="AF981">
        <v>0.93310000000000004</v>
      </c>
      <c r="AG981" t="s">
        <v>49</v>
      </c>
      <c r="AH981" s="23">
        <f>SUM(Amazon_Data_Set[[#This Row],[Gross Sales]]-Amazon_Data_Set[[#This Row],[Discount Amount]])</f>
        <v>8424.82</v>
      </c>
    </row>
    <row r="982" spans="1:34">
      <c r="A982" t="s">
        <v>2445</v>
      </c>
      <c r="B982" s="1">
        <v>46139</v>
      </c>
      <c r="C982" t="str">
        <f>TEXT(Amazon_Data_Set[[#This Row],[Order Date]],"mmm")</f>
        <v>Apr</v>
      </c>
      <c r="D982" t="s">
        <v>1435</v>
      </c>
      <c r="E982" t="s">
        <v>194</v>
      </c>
      <c r="F982" t="s">
        <v>195</v>
      </c>
      <c r="G982" t="s">
        <v>111</v>
      </c>
      <c r="H982" t="s">
        <v>38</v>
      </c>
      <c r="I982" t="s">
        <v>66</v>
      </c>
      <c r="J982" t="s">
        <v>318</v>
      </c>
      <c r="K982" t="s">
        <v>282</v>
      </c>
      <c r="L982" t="s">
        <v>2446</v>
      </c>
      <c r="M982" t="s">
        <v>106</v>
      </c>
      <c r="N982" t="s">
        <v>44</v>
      </c>
      <c r="O982" t="s">
        <v>45</v>
      </c>
      <c r="P982">
        <v>5</v>
      </c>
      <c r="Q982">
        <v>353.64</v>
      </c>
      <c r="R982" s="19">
        <v>0.2</v>
      </c>
      <c r="S982" s="21">
        <v>353.64</v>
      </c>
      <c r="T982">
        <v>1768.2</v>
      </c>
      <c r="U982" s="2">
        <v>1414.56</v>
      </c>
      <c r="V982">
        <v>123.86</v>
      </c>
      <c r="W982">
        <v>932.38</v>
      </c>
      <c r="X982" s="2">
        <v>358.32</v>
      </c>
      <c r="Y982">
        <v>0.25330000000000003</v>
      </c>
      <c r="Z982">
        <v>3</v>
      </c>
      <c r="AA982" t="s">
        <v>46</v>
      </c>
      <c r="AB982" t="s">
        <v>47</v>
      </c>
      <c r="AD982">
        <v>3</v>
      </c>
      <c r="AE982" s="2">
        <v>1427.97</v>
      </c>
      <c r="AF982">
        <v>0.99060000000000004</v>
      </c>
      <c r="AG982" t="s">
        <v>49</v>
      </c>
      <c r="AH982" s="23">
        <f>SUM(Amazon_Data_Set[[#This Row],[Gross Sales]]-Amazon_Data_Set[[#This Row],[Discount Amount]])</f>
        <v>1414.56</v>
      </c>
    </row>
    <row r="983" spans="1:34">
      <c r="A983" t="s">
        <v>2447</v>
      </c>
      <c r="B983" s="1">
        <v>46095</v>
      </c>
      <c r="C983" t="str">
        <f>TEXT(Amazon_Data_Set[[#This Row],[Order Date]],"mmm")</f>
        <v>Mar</v>
      </c>
      <c r="D983" t="s">
        <v>63</v>
      </c>
      <c r="E983" t="s">
        <v>109</v>
      </c>
      <c r="F983" t="s">
        <v>154</v>
      </c>
      <c r="G983" t="s">
        <v>111</v>
      </c>
      <c r="H983" t="s">
        <v>90</v>
      </c>
      <c r="I983" t="s">
        <v>252</v>
      </c>
      <c r="J983" t="s">
        <v>270</v>
      </c>
      <c r="K983" t="s">
        <v>271</v>
      </c>
      <c r="L983" t="s">
        <v>2448</v>
      </c>
      <c r="M983" t="s">
        <v>106</v>
      </c>
      <c r="N983" t="s">
        <v>44</v>
      </c>
      <c r="O983" t="s">
        <v>45</v>
      </c>
      <c r="P983">
        <v>2</v>
      </c>
      <c r="Q983">
        <v>1577.71</v>
      </c>
      <c r="R983" s="19">
        <v>0.1</v>
      </c>
      <c r="S983" s="21">
        <v>315.54000000000002</v>
      </c>
      <c r="T983">
        <v>3155.42</v>
      </c>
      <c r="U983" s="2">
        <v>2839.88</v>
      </c>
      <c r="V983">
        <v>135.62</v>
      </c>
      <c r="W983">
        <v>1780.45</v>
      </c>
      <c r="X983" s="2">
        <v>923.81</v>
      </c>
      <c r="Y983">
        <v>0.32529999999999998</v>
      </c>
      <c r="Z983">
        <v>5</v>
      </c>
      <c r="AA983" t="s">
        <v>61</v>
      </c>
      <c r="AB983" t="s">
        <v>47</v>
      </c>
      <c r="AD983">
        <v>3</v>
      </c>
      <c r="AE983" s="2">
        <v>3133.39</v>
      </c>
      <c r="AF983">
        <v>0.90629999999999999</v>
      </c>
      <c r="AG983" t="s">
        <v>347</v>
      </c>
      <c r="AH983" s="23">
        <f>SUM(Amazon_Data_Set[[#This Row],[Gross Sales]]-Amazon_Data_Set[[#This Row],[Discount Amount]])</f>
        <v>2839.88</v>
      </c>
    </row>
    <row r="984" spans="1:34">
      <c r="A984" t="s">
        <v>2449</v>
      </c>
      <c r="B984" s="1">
        <v>46320</v>
      </c>
      <c r="C984" t="str">
        <f>TEXT(Amazon_Data_Set[[#This Row],[Order Date]],"mmm")</f>
        <v>Oct</v>
      </c>
      <c r="D984" t="s">
        <v>1250</v>
      </c>
      <c r="E984" t="s">
        <v>118</v>
      </c>
      <c r="F984" t="s">
        <v>119</v>
      </c>
      <c r="G984" t="s">
        <v>82</v>
      </c>
      <c r="H984" t="s">
        <v>83</v>
      </c>
      <c r="I984" t="s">
        <v>188</v>
      </c>
      <c r="J984" t="s">
        <v>189</v>
      </c>
      <c r="K984" t="s">
        <v>190</v>
      </c>
      <c r="L984" t="s">
        <v>2450</v>
      </c>
      <c r="M984" t="s">
        <v>43</v>
      </c>
      <c r="N984" t="s">
        <v>95</v>
      </c>
      <c r="O984" t="s">
        <v>45</v>
      </c>
      <c r="P984">
        <v>3</v>
      </c>
      <c r="Q984">
        <v>151.12</v>
      </c>
      <c r="R984" s="19">
        <v>0.05</v>
      </c>
      <c r="S984" s="21">
        <v>22.67</v>
      </c>
      <c r="T984">
        <v>453.36</v>
      </c>
      <c r="U984" s="2">
        <v>430.69</v>
      </c>
      <c r="V984">
        <v>51.63</v>
      </c>
      <c r="W984">
        <v>225.17</v>
      </c>
      <c r="X984" s="2">
        <v>153.88999999999999</v>
      </c>
      <c r="Y984">
        <v>0.35730000000000001</v>
      </c>
      <c r="Z984">
        <v>6</v>
      </c>
      <c r="AA984" t="s">
        <v>61</v>
      </c>
      <c r="AB984" t="s">
        <v>47</v>
      </c>
      <c r="AD984">
        <v>3</v>
      </c>
      <c r="AE984" s="2">
        <v>498.01</v>
      </c>
      <c r="AF984">
        <v>0.86480000000000001</v>
      </c>
      <c r="AG984" t="s">
        <v>49</v>
      </c>
      <c r="AH984" s="23">
        <f>SUM(Amazon_Data_Set[[#This Row],[Gross Sales]]-Amazon_Data_Set[[#This Row],[Discount Amount]])</f>
        <v>430.69</v>
      </c>
    </row>
    <row r="985" spans="1:34">
      <c r="A985" t="s">
        <v>2451</v>
      </c>
      <c r="B985" s="1">
        <v>46103</v>
      </c>
      <c r="C985" t="str">
        <f>TEXT(Amazon_Data_Set[[#This Row],[Order Date]],"mmm")</f>
        <v>Mar</v>
      </c>
      <c r="D985" t="s">
        <v>761</v>
      </c>
      <c r="E985" t="s">
        <v>109</v>
      </c>
      <c r="F985" t="s">
        <v>110</v>
      </c>
      <c r="G985" t="s">
        <v>111</v>
      </c>
      <c r="H985" t="s">
        <v>38</v>
      </c>
      <c r="I985" t="s">
        <v>161</v>
      </c>
      <c r="J985" t="s">
        <v>162</v>
      </c>
      <c r="K985" t="s">
        <v>163</v>
      </c>
      <c r="L985" t="s">
        <v>2452</v>
      </c>
      <c r="M985" t="s">
        <v>43</v>
      </c>
      <c r="N985" t="s">
        <v>124</v>
      </c>
      <c r="O985" t="s">
        <v>45</v>
      </c>
      <c r="P985">
        <v>2</v>
      </c>
      <c r="Q985">
        <v>1422.13</v>
      </c>
      <c r="R985" s="19">
        <v>0.3</v>
      </c>
      <c r="S985" s="21">
        <v>853.28</v>
      </c>
      <c r="T985">
        <v>2844.26</v>
      </c>
      <c r="U985" s="2">
        <v>1990.98</v>
      </c>
      <c r="V985">
        <v>9.1300000000000008</v>
      </c>
      <c r="W985">
        <v>1324.08</v>
      </c>
      <c r="X985" s="2">
        <v>657.77</v>
      </c>
      <c r="Y985">
        <v>0.33040000000000003</v>
      </c>
      <c r="Z985">
        <v>8</v>
      </c>
      <c r="AA985" t="s">
        <v>61</v>
      </c>
      <c r="AB985" t="s">
        <v>47</v>
      </c>
      <c r="AD985">
        <v>4</v>
      </c>
      <c r="AE985" s="2">
        <v>2143.14</v>
      </c>
      <c r="AF985">
        <v>0.92900000000000005</v>
      </c>
      <c r="AG985" t="s">
        <v>49</v>
      </c>
      <c r="AH985" s="23">
        <f>SUM(Amazon_Data_Set[[#This Row],[Gross Sales]]-Amazon_Data_Set[[#This Row],[Discount Amount]])</f>
        <v>1990.9800000000002</v>
      </c>
    </row>
    <row r="986" spans="1:34">
      <c r="A986" t="s">
        <v>2453</v>
      </c>
      <c r="B986" s="1">
        <v>46358</v>
      </c>
      <c r="C986" t="str">
        <f>TEXT(Amazon_Data_Set[[#This Row],[Order Date]],"mmm")</f>
        <v>Dec</v>
      </c>
      <c r="D986" t="s">
        <v>572</v>
      </c>
      <c r="E986" t="s">
        <v>228</v>
      </c>
      <c r="F986" t="s">
        <v>229</v>
      </c>
      <c r="G986" t="s">
        <v>37</v>
      </c>
      <c r="H986" t="s">
        <v>142</v>
      </c>
      <c r="I986" t="s">
        <v>214</v>
      </c>
      <c r="J986" t="s">
        <v>215</v>
      </c>
      <c r="K986" t="s">
        <v>216</v>
      </c>
      <c r="L986" t="s">
        <v>2454</v>
      </c>
      <c r="M986" t="s">
        <v>106</v>
      </c>
      <c r="N986" t="s">
        <v>77</v>
      </c>
      <c r="O986" t="s">
        <v>45</v>
      </c>
      <c r="P986">
        <v>2</v>
      </c>
      <c r="Q986">
        <v>342.44</v>
      </c>
      <c r="R986" s="19">
        <v>0.05</v>
      </c>
      <c r="S986" s="21">
        <v>34.24</v>
      </c>
      <c r="T986">
        <v>684.88</v>
      </c>
      <c r="U986" s="2">
        <v>650.64</v>
      </c>
      <c r="V986">
        <v>11.02</v>
      </c>
      <c r="W986">
        <v>464.05</v>
      </c>
      <c r="X986" s="2">
        <v>175.57</v>
      </c>
      <c r="Y986">
        <v>0.26979999999999998</v>
      </c>
      <c r="Z986">
        <v>6</v>
      </c>
      <c r="AA986" t="s">
        <v>61</v>
      </c>
      <c r="AB986" t="s">
        <v>47</v>
      </c>
      <c r="AD986">
        <v>4</v>
      </c>
      <c r="AE986" s="2">
        <v>555.85</v>
      </c>
      <c r="AF986">
        <v>1.1705000000000001</v>
      </c>
      <c r="AG986" t="s">
        <v>49</v>
      </c>
      <c r="AH986" s="23">
        <f>SUM(Amazon_Data_Set[[#This Row],[Gross Sales]]-Amazon_Data_Set[[#This Row],[Discount Amount]])</f>
        <v>650.64</v>
      </c>
    </row>
    <row r="987" spans="1:34">
      <c r="A987" t="s">
        <v>2455</v>
      </c>
      <c r="B987" s="1">
        <v>46038</v>
      </c>
      <c r="C987" t="str">
        <f>TEXT(Amazon_Data_Set[[#This Row],[Order Date]],"mmm")</f>
        <v>Jan</v>
      </c>
      <c r="D987" t="s">
        <v>1164</v>
      </c>
      <c r="E987" t="s">
        <v>228</v>
      </c>
      <c r="F987" t="s">
        <v>229</v>
      </c>
      <c r="G987" t="s">
        <v>37</v>
      </c>
      <c r="H987" t="s">
        <v>55</v>
      </c>
      <c r="I987" t="s">
        <v>73</v>
      </c>
      <c r="J987" t="s">
        <v>247</v>
      </c>
      <c r="K987" t="s">
        <v>248</v>
      </c>
      <c r="L987" t="s">
        <v>2456</v>
      </c>
      <c r="M987" t="s">
        <v>106</v>
      </c>
      <c r="N987" t="s">
        <v>95</v>
      </c>
      <c r="O987" t="s">
        <v>96</v>
      </c>
      <c r="P987">
        <v>3</v>
      </c>
      <c r="Q987">
        <v>48301.760000000002</v>
      </c>
      <c r="R987" s="19">
        <v>0.2</v>
      </c>
      <c r="S987" s="21">
        <v>28981.06</v>
      </c>
      <c r="T987">
        <v>144905.28</v>
      </c>
      <c r="U987" s="2">
        <v>115924.22</v>
      </c>
      <c r="V987">
        <v>108.05</v>
      </c>
      <c r="W987">
        <v>70016.67</v>
      </c>
      <c r="X987" s="2">
        <v>45799.5</v>
      </c>
      <c r="Y987">
        <v>0.39510000000000001</v>
      </c>
      <c r="Z987">
        <v>0</v>
      </c>
      <c r="AA987" t="s">
        <v>97</v>
      </c>
      <c r="AB987" t="s">
        <v>47</v>
      </c>
      <c r="AE987" s="2">
        <v>125138.52</v>
      </c>
      <c r="AF987">
        <v>0.9264</v>
      </c>
      <c r="AG987" t="s">
        <v>49</v>
      </c>
      <c r="AH987" s="23">
        <f>SUM(Amazon_Data_Set[[#This Row],[Gross Sales]]-Amazon_Data_Set[[#This Row],[Discount Amount]])</f>
        <v>115924.22</v>
      </c>
    </row>
    <row r="988" spans="1:34">
      <c r="A988" t="s">
        <v>2457</v>
      </c>
      <c r="B988" s="1">
        <v>46174</v>
      </c>
      <c r="C988" t="str">
        <f>TEXT(Amazon_Data_Set[[#This Row],[Order Date]],"mmm")</f>
        <v>Jun</v>
      </c>
      <c r="D988" t="s">
        <v>674</v>
      </c>
      <c r="E988" t="s">
        <v>109</v>
      </c>
      <c r="F988" t="s">
        <v>154</v>
      </c>
      <c r="G988" t="s">
        <v>111</v>
      </c>
      <c r="H988" t="s">
        <v>55</v>
      </c>
      <c r="I988" t="s">
        <v>56</v>
      </c>
      <c r="J988" t="s">
        <v>366</v>
      </c>
      <c r="K988" t="s">
        <v>367</v>
      </c>
      <c r="L988" t="s">
        <v>2458</v>
      </c>
      <c r="M988" t="s">
        <v>43</v>
      </c>
      <c r="N988" t="s">
        <v>60</v>
      </c>
      <c r="O988" t="s">
        <v>45</v>
      </c>
      <c r="P988">
        <v>4</v>
      </c>
      <c r="Q988">
        <v>12811.02</v>
      </c>
      <c r="R988" s="19">
        <v>0.05</v>
      </c>
      <c r="S988" s="21">
        <v>2562.1999999999998</v>
      </c>
      <c r="T988">
        <v>51244.08</v>
      </c>
      <c r="U988" s="2">
        <v>48681.88</v>
      </c>
      <c r="V988">
        <v>235.62</v>
      </c>
      <c r="W988">
        <v>32720.11</v>
      </c>
      <c r="X988" s="2">
        <v>15726.15</v>
      </c>
      <c r="Y988">
        <v>0.32300000000000001</v>
      </c>
      <c r="Z988">
        <v>2</v>
      </c>
      <c r="AA988" t="s">
        <v>46</v>
      </c>
      <c r="AB988" t="s">
        <v>47</v>
      </c>
      <c r="AD988">
        <v>4</v>
      </c>
      <c r="AE988" s="2">
        <v>43426.48</v>
      </c>
      <c r="AF988">
        <v>1.121</v>
      </c>
      <c r="AG988" t="s">
        <v>49</v>
      </c>
      <c r="AH988" s="23">
        <f>SUM(Amazon_Data_Set[[#This Row],[Gross Sales]]-Amazon_Data_Set[[#This Row],[Discount Amount]])</f>
        <v>48681.880000000005</v>
      </c>
    </row>
    <row r="989" spans="1:34">
      <c r="A989" t="s">
        <v>2459</v>
      </c>
      <c r="B989" s="1">
        <v>46312</v>
      </c>
      <c r="C989" t="str">
        <f>TEXT(Amazon_Data_Set[[#This Row],[Order Date]],"mmm")</f>
        <v>Oct</v>
      </c>
      <c r="D989" t="s">
        <v>1071</v>
      </c>
      <c r="E989" t="s">
        <v>109</v>
      </c>
      <c r="F989" t="s">
        <v>110</v>
      </c>
      <c r="G989" t="s">
        <v>111</v>
      </c>
      <c r="H989" t="s">
        <v>142</v>
      </c>
      <c r="I989" t="s">
        <v>209</v>
      </c>
      <c r="J989" t="s">
        <v>511</v>
      </c>
      <c r="K989" t="s">
        <v>512</v>
      </c>
      <c r="L989" t="s">
        <v>2460</v>
      </c>
      <c r="M989" t="s">
        <v>43</v>
      </c>
      <c r="N989" t="s">
        <v>95</v>
      </c>
      <c r="O989" t="s">
        <v>45</v>
      </c>
      <c r="P989">
        <v>2</v>
      </c>
      <c r="Q989">
        <v>5081.43</v>
      </c>
      <c r="R989" s="19">
        <v>0.15</v>
      </c>
      <c r="S989" s="21">
        <v>1524.43</v>
      </c>
      <c r="T989">
        <v>10162.86</v>
      </c>
      <c r="U989" s="2">
        <v>8638.43</v>
      </c>
      <c r="V989">
        <v>107.88</v>
      </c>
      <c r="W989">
        <v>6444.98</v>
      </c>
      <c r="X989" s="2">
        <v>2085.5700000000002</v>
      </c>
      <c r="Y989">
        <v>0.2414</v>
      </c>
      <c r="Z989">
        <v>1</v>
      </c>
      <c r="AA989" t="s">
        <v>46</v>
      </c>
      <c r="AB989" t="s">
        <v>48</v>
      </c>
      <c r="AC989" t="s">
        <v>320</v>
      </c>
      <c r="AD989">
        <v>5</v>
      </c>
      <c r="AE989" s="2">
        <v>8564.16</v>
      </c>
      <c r="AF989">
        <v>1.0086999999999999</v>
      </c>
      <c r="AG989" t="s">
        <v>49</v>
      </c>
      <c r="AH989" s="23">
        <f>SUM(Amazon_Data_Set[[#This Row],[Gross Sales]]-Amazon_Data_Set[[#This Row],[Discount Amount]])</f>
        <v>8638.43</v>
      </c>
    </row>
    <row r="990" spans="1:34">
      <c r="A990" t="s">
        <v>2461</v>
      </c>
      <c r="B990" s="1">
        <v>46368</v>
      </c>
      <c r="C990" t="str">
        <f>TEXT(Amazon_Data_Set[[#This Row],[Order Date]],"mmm")</f>
        <v>Dec</v>
      </c>
      <c r="D990" t="s">
        <v>651</v>
      </c>
      <c r="E990" t="s">
        <v>140</v>
      </c>
      <c r="F990" t="s">
        <v>141</v>
      </c>
      <c r="G990" t="s">
        <v>54</v>
      </c>
      <c r="H990" t="s">
        <v>55</v>
      </c>
      <c r="I990" t="s">
        <v>73</v>
      </c>
      <c r="J990" t="s">
        <v>230</v>
      </c>
      <c r="K990" t="s">
        <v>231</v>
      </c>
      <c r="L990" t="s">
        <v>2462</v>
      </c>
      <c r="M990" t="s">
        <v>43</v>
      </c>
      <c r="N990" t="s">
        <v>124</v>
      </c>
      <c r="O990" t="s">
        <v>130</v>
      </c>
      <c r="P990">
        <v>2</v>
      </c>
      <c r="Q990">
        <v>35777.39</v>
      </c>
      <c r="R990" s="19">
        <v>0</v>
      </c>
      <c r="S990" s="21">
        <v>0</v>
      </c>
      <c r="T990">
        <v>71554.78</v>
      </c>
      <c r="U990" s="2">
        <v>71554.78</v>
      </c>
      <c r="V990">
        <v>62.67</v>
      </c>
      <c r="W990">
        <v>51269.07</v>
      </c>
      <c r="X990" s="2">
        <v>20223.04</v>
      </c>
      <c r="Y990">
        <v>0.28260000000000002</v>
      </c>
      <c r="Z990">
        <v>1</v>
      </c>
      <c r="AA990" t="s">
        <v>131</v>
      </c>
      <c r="AB990" t="s">
        <v>47</v>
      </c>
      <c r="AE990" s="2">
        <v>78388.13</v>
      </c>
      <c r="AF990">
        <v>0.91279999999999994</v>
      </c>
      <c r="AG990" t="s">
        <v>49</v>
      </c>
      <c r="AH990" s="23">
        <f>SUM(Amazon_Data_Set[[#This Row],[Gross Sales]]-Amazon_Data_Set[[#This Row],[Discount Amount]])</f>
        <v>71554.78</v>
      </c>
    </row>
    <row r="991" spans="1:34">
      <c r="A991" t="s">
        <v>2463</v>
      </c>
      <c r="B991" s="1">
        <v>46293</v>
      </c>
      <c r="C991" t="str">
        <f>TEXT(Amazon_Data_Set[[#This Row],[Order Date]],"mmm")</f>
        <v>Sep</v>
      </c>
      <c r="D991" t="s">
        <v>1515</v>
      </c>
      <c r="E991" t="s">
        <v>35</v>
      </c>
      <c r="F991" t="s">
        <v>36</v>
      </c>
      <c r="G991" t="s">
        <v>37</v>
      </c>
      <c r="H991" t="s">
        <v>90</v>
      </c>
      <c r="I991" t="s">
        <v>112</v>
      </c>
      <c r="J991" t="s">
        <v>292</v>
      </c>
      <c r="K991" t="s">
        <v>293</v>
      </c>
      <c r="L991" t="s">
        <v>2464</v>
      </c>
      <c r="M991" t="s">
        <v>43</v>
      </c>
      <c r="N991" t="s">
        <v>44</v>
      </c>
      <c r="O991" t="s">
        <v>96</v>
      </c>
      <c r="P991">
        <v>1</v>
      </c>
      <c r="Q991">
        <v>392.26</v>
      </c>
      <c r="R991" s="19">
        <v>0.05</v>
      </c>
      <c r="S991" s="21">
        <v>19.61</v>
      </c>
      <c r="T991">
        <v>392.26</v>
      </c>
      <c r="U991" s="2">
        <v>372.65</v>
      </c>
      <c r="V991">
        <v>175.63</v>
      </c>
      <c r="W991">
        <v>190.51</v>
      </c>
      <c r="X991" s="2">
        <v>6.51</v>
      </c>
      <c r="Y991">
        <v>1.7500000000000002E-2</v>
      </c>
      <c r="Z991">
        <v>0</v>
      </c>
      <c r="AA991" t="s">
        <v>97</v>
      </c>
      <c r="AB991" t="s">
        <v>47</v>
      </c>
      <c r="AE991" s="2">
        <v>352.92</v>
      </c>
      <c r="AF991">
        <v>1.0559000000000001</v>
      </c>
      <c r="AG991" t="s">
        <v>49</v>
      </c>
      <c r="AH991" s="23">
        <f>SUM(Amazon_Data_Set[[#This Row],[Gross Sales]]-Amazon_Data_Set[[#This Row],[Discount Amount]])</f>
        <v>372.65</v>
      </c>
    </row>
    <row r="992" spans="1:34">
      <c r="A992" t="s">
        <v>2465</v>
      </c>
      <c r="B992" s="1">
        <v>46027</v>
      </c>
      <c r="C992" t="str">
        <f>TEXT(Amazon_Data_Set[[#This Row],[Order Date]],"mmm")</f>
        <v>Jan</v>
      </c>
      <c r="D992" t="s">
        <v>2466</v>
      </c>
      <c r="E992" t="s">
        <v>140</v>
      </c>
      <c r="F992" t="s">
        <v>141</v>
      </c>
      <c r="G992" t="s">
        <v>54</v>
      </c>
      <c r="H992" t="s">
        <v>55</v>
      </c>
      <c r="I992" t="s">
        <v>120</v>
      </c>
      <c r="J992" t="s">
        <v>121</v>
      </c>
      <c r="K992" t="s">
        <v>122</v>
      </c>
      <c r="L992" t="s">
        <v>2467</v>
      </c>
      <c r="M992" t="s">
        <v>43</v>
      </c>
      <c r="N992" t="s">
        <v>124</v>
      </c>
      <c r="O992" t="s">
        <v>45</v>
      </c>
      <c r="P992">
        <v>4</v>
      </c>
      <c r="Q992">
        <v>618.9</v>
      </c>
      <c r="R992" s="19">
        <v>0</v>
      </c>
      <c r="S992" s="21">
        <v>0</v>
      </c>
      <c r="T992">
        <v>2475.6</v>
      </c>
      <c r="U992" s="2">
        <v>2475.6</v>
      </c>
      <c r="V992">
        <v>90.82</v>
      </c>
      <c r="W992">
        <v>1242.02</v>
      </c>
      <c r="X992" s="2">
        <v>1142.76</v>
      </c>
      <c r="Y992">
        <v>0.46160000000000001</v>
      </c>
      <c r="Z992">
        <v>3</v>
      </c>
      <c r="AA992" t="s">
        <v>46</v>
      </c>
      <c r="AB992" t="s">
        <v>47</v>
      </c>
      <c r="AD992">
        <v>3</v>
      </c>
      <c r="AE992" s="2">
        <v>2361.8000000000002</v>
      </c>
      <c r="AF992">
        <v>1.0482</v>
      </c>
      <c r="AG992" t="s">
        <v>49</v>
      </c>
      <c r="AH992" s="23">
        <f>SUM(Amazon_Data_Set[[#This Row],[Gross Sales]]-Amazon_Data_Set[[#This Row],[Discount Amount]])</f>
        <v>2475.6</v>
      </c>
    </row>
    <row r="993" spans="1:34">
      <c r="A993" t="s">
        <v>2468</v>
      </c>
      <c r="B993" s="1">
        <v>46308</v>
      </c>
      <c r="C993" t="str">
        <f>TEXT(Amazon_Data_Set[[#This Row],[Order Date]],"mmm")</f>
        <v>Oct</v>
      </c>
      <c r="D993" t="s">
        <v>1435</v>
      </c>
      <c r="E993" t="s">
        <v>109</v>
      </c>
      <c r="F993" t="s">
        <v>110</v>
      </c>
      <c r="G993" t="s">
        <v>111</v>
      </c>
      <c r="H993" t="s">
        <v>83</v>
      </c>
      <c r="I993" t="s">
        <v>84</v>
      </c>
      <c r="J993" t="s">
        <v>277</v>
      </c>
      <c r="K993" t="s">
        <v>86</v>
      </c>
      <c r="L993" t="s">
        <v>2469</v>
      </c>
      <c r="M993" t="s">
        <v>106</v>
      </c>
      <c r="N993" t="s">
        <v>70</v>
      </c>
      <c r="O993" t="s">
        <v>45</v>
      </c>
      <c r="P993">
        <v>3</v>
      </c>
      <c r="Q993">
        <v>1071.5899999999999</v>
      </c>
      <c r="R993" s="19">
        <v>0.15</v>
      </c>
      <c r="S993" s="21">
        <v>482.22</v>
      </c>
      <c r="T993">
        <v>3214.77</v>
      </c>
      <c r="U993" s="2">
        <v>2732.55</v>
      </c>
      <c r="V993">
        <v>42.64</v>
      </c>
      <c r="W993">
        <v>1932.52</v>
      </c>
      <c r="X993" s="2">
        <v>757.39</v>
      </c>
      <c r="Y993">
        <v>0.2772</v>
      </c>
      <c r="Z993">
        <v>8</v>
      </c>
      <c r="AA993" t="s">
        <v>61</v>
      </c>
      <c r="AB993" t="s">
        <v>47</v>
      </c>
      <c r="AD993">
        <v>4</v>
      </c>
      <c r="AE993" s="2">
        <v>2836.58</v>
      </c>
      <c r="AF993">
        <v>0.96330000000000005</v>
      </c>
      <c r="AG993" t="s">
        <v>49</v>
      </c>
      <c r="AH993" s="23">
        <f>SUM(Amazon_Data_Set[[#This Row],[Gross Sales]]-Amazon_Data_Set[[#This Row],[Discount Amount]])</f>
        <v>2732.55</v>
      </c>
    </row>
    <row r="994" spans="1:34">
      <c r="A994" t="s">
        <v>2470</v>
      </c>
      <c r="B994" s="1">
        <v>46229</v>
      </c>
      <c r="C994" t="str">
        <f>TEXT(Amazon_Data_Set[[#This Row],[Order Date]],"mmm")</f>
        <v>Jul</v>
      </c>
      <c r="D994" t="s">
        <v>1601</v>
      </c>
      <c r="E994" t="s">
        <v>167</v>
      </c>
      <c r="F994" t="s">
        <v>168</v>
      </c>
      <c r="G994" t="s">
        <v>111</v>
      </c>
      <c r="H994" t="s">
        <v>142</v>
      </c>
      <c r="I994" t="s">
        <v>214</v>
      </c>
      <c r="J994" t="s">
        <v>215</v>
      </c>
      <c r="K994" t="s">
        <v>216</v>
      </c>
      <c r="L994" t="s">
        <v>2471</v>
      </c>
      <c r="M994" t="s">
        <v>43</v>
      </c>
      <c r="N994" t="s">
        <v>124</v>
      </c>
      <c r="O994" t="s">
        <v>45</v>
      </c>
      <c r="P994">
        <v>3</v>
      </c>
      <c r="Q994">
        <v>1095.24</v>
      </c>
      <c r="R994" s="19">
        <v>0.1</v>
      </c>
      <c r="S994" s="21">
        <v>328.57</v>
      </c>
      <c r="T994">
        <v>3285.72</v>
      </c>
      <c r="U994" s="2">
        <v>2957.15</v>
      </c>
      <c r="V994">
        <v>175.73</v>
      </c>
      <c r="W994">
        <v>1925.47</v>
      </c>
      <c r="X994" s="2">
        <v>855.95</v>
      </c>
      <c r="Y994">
        <v>0.28949999999999998</v>
      </c>
      <c r="Z994">
        <v>8</v>
      </c>
      <c r="AA994" t="s">
        <v>61</v>
      </c>
      <c r="AB994" t="s">
        <v>47</v>
      </c>
      <c r="AD994">
        <v>5</v>
      </c>
      <c r="AE994" s="2">
        <v>2932.7</v>
      </c>
      <c r="AF994">
        <v>1.0083</v>
      </c>
      <c r="AG994" t="s">
        <v>49</v>
      </c>
      <c r="AH994" s="23">
        <f>SUM(Amazon_Data_Set[[#This Row],[Gross Sales]]-Amazon_Data_Set[[#This Row],[Discount Amount]])</f>
        <v>2957.1499999999996</v>
      </c>
    </row>
    <row r="995" spans="1:34">
      <c r="A995" t="s">
        <v>2472</v>
      </c>
      <c r="B995" s="1">
        <v>46112</v>
      </c>
      <c r="C995" t="str">
        <f>TEXT(Amazon_Data_Set[[#This Row],[Order Date]],"mmm")</f>
        <v>Mar</v>
      </c>
      <c r="D995" t="s">
        <v>187</v>
      </c>
      <c r="E995" t="s">
        <v>149</v>
      </c>
      <c r="F995" t="s">
        <v>150</v>
      </c>
      <c r="G995" t="s">
        <v>37</v>
      </c>
      <c r="H995" t="s">
        <v>83</v>
      </c>
      <c r="I995" t="s">
        <v>102</v>
      </c>
      <c r="J995" t="s">
        <v>259</v>
      </c>
      <c r="K995" t="s">
        <v>260</v>
      </c>
      <c r="L995" t="s">
        <v>2473</v>
      </c>
      <c r="M995" t="s">
        <v>43</v>
      </c>
      <c r="N995" t="s">
        <v>44</v>
      </c>
      <c r="O995" t="s">
        <v>45</v>
      </c>
      <c r="P995">
        <v>3</v>
      </c>
      <c r="Q995">
        <v>1010.43</v>
      </c>
      <c r="R995" s="19">
        <v>0</v>
      </c>
      <c r="S995" s="21">
        <v>0</v>
      </c>
      <c r="T995">
        <v>3031.29</v>
      </c>
      <c r="U995" s="2">
        <v>3031.29</v>
      </c>
      <c r="V995">
        <v>35.65</v>
      </c>
      <c r="W995">
        <v>1602.26</v>
      </c>
      <c r="X995" s="2">
        <v>1393.38</v>
      </c>
      <c r="Y995">
        <v>0.4597</v>
      </c>
      <c r="Z995">
        <v>4</v>
      </c>
      <c r="AA995" t="s">
        <v>46</v>
      </c>
      <c r="AB995" t="s">
        <v>48</v>
      </c>
      <c r="AC995" t="s">
        <v>520</v>
      </c>
      <c r="AD995">
        <v>5</v>
      </c>
      <c r="AE995" s="2">
        <v>3101.31</v>
      </c>
      <c r="AF995">
        <v>0.97740000000000005</v>
      </c>
      <c r="AG995" t="s">
        <v>49</v>
      </c>
      <c r="AH995" s="23">
        <f>SUM(Amazon_Data_Set[[#This Row],[Gross Sales]]-Amazon_Data_Set[[#This Row],[Discount Amount]])</f>
        <v>3031.29</v>
      </c>
    </row>
    <row r="996" spans="1:34">
      <c r="A996" t="s">
        <v>2474</v>
      </c>
      <c r="B996" s="1">
        <v>46377</v>
      </c>
      <c r="C996" t="str">
        <f>TEXT(Amazon_Data_Set[[#This Row],[Order Date]],"mmm")</f>
        <v>Dec</v>
      </c>
      <c r="D996" t="s">
        <v>799</v>
      </c>
      <c r="E996" t="s">
        <v>140</v>
      </c>
      <c r="F996" t="s">
        <v>141</v>
      </c>
      <c r="G996" t="s">
        <v>54</v>
      </c>
      <c r="H996" t="s">
        <v>83</v>
      </c>
      <c r="I996" t="s">
        <v>188</v>
      </c>
      <c r="J996" t="s">
        <v>690</v>
      </c>
      <c r="K996" t="s">
        <v>691</v>
      </c>
      <c r="L996" t="s">
        <v>2475</v>
      </c>
      <c r="M996" t="s">
        <v>43</v>
      </c>
      <c r="N996" t="s">
        <v>95</v>
      </c>
      <c r="O996" t="s">
        <v>45</v>
      </c>
      <c r="P996">
        <v>2</v>
      </c>
      <c r="Q996">
        <v>324.22000000000003</v>
      </c>
      <c r="R996" s="19">
        <v>0.2</v>
      </c>
      <c r="S996" s="21">
        <v>129.69</v>
      </c>
      <c r="T996">
        <v>648.44000000000005</v>
      </c>
      <c r="U996" s="2">
        <v>518.75</v>
      </c>
      <c r="V996">
        <v>86.57</v>
      </c>
      <c r="W996">
        <v>287.70999999999998</v>
      </c>
      <c r="X996" s="2">
        <v>144.47</v>
      </c>
      <c r="Y996">
        <v>0.27850000000000003</v>
      </c>
      <c r="Z996">
        <v>4</v>
      </c>
      <c r="AA996" t="s">
        <v>46</v>
      </c>
      <c r="AB996" t="s">
        <v>47</v>
      </c>
      <c r="AD996">
        <v>4</v>
      </c>
      <c r="AE996" s="2">
        <v>639.99</v>
      </c>
      <c r="AF996">
        <v>0.81059999999999999</v>
      </c>
      <c r="AG996" t="s">
        <v>49</v>
      </c>
      <c r="AH996" s="23">
        <f>SUM(Amazon_Data_Set[[#This Row],[Gross Sales]]-Amazon_Data_Set[[#This Row],[Discount Amount]])</f>
        <v>518.75</v>
      </c>
    </row>
    <row r="997" spans="1:34">
      <c r="A997" t="s">
        <v>2476</v>
      </c>
      <c r="B997" s="1">
        <v>46350</v>
      </c>
      <c r="C997" t="str">
        <f>TEXT(Amazon_Data_Set[[#This Row],[Order Date]],"mmm")</f>
        <v>Nov</v>
      </c>
      <c r="D997" t="s">
        <v>1342</v>
      </c>
      <c r="E997" t="s">
        <v>118</v>
      </c>
      <c r="F997" t="s">
        <v>119</v>
      </c>
      <c r="G997" t="s">
        <v>82</v>
      </c>
      <c r="H997" t="s">
        <v>90</v>
      </c>
      <c r="I997" t="s">
        <v>112</v>
      </c>
      <c r="J997" t="s">
        <v>134</v>
      </c>
      <c r="K997" t="s">
        <v>135</v>
      </c>
      <c r="L997" t="s">
        <v>2477</v>
      </c>
      <c r="M997" t="s">
        <v>43</v>
      </c>
      <c r="N997" t="s">
        <v>44</v>
      </c>
      <c r="O997" t="s">
        <v>45</v>
      </c>
      <c r="P997">
        <v>3</v>
      </c>
      <c r="Q997">
        <v>799.89</v>
      </c>
      <c r="R997" s="19">
        <v>0.15</v>
      </c>
      <c r="S997" s="21">
        <v>359.95</v>
      </c>
      <c r="T997">
        <v>2399.67</v>
      </c>
      <c r="U997" s="2">
        <v>2039.72</v>
      </c>
      <c r="V997">
        <v>26.95</v>
      </c>
      <c r="W997">
        <v>1098.6600000000001</v>
      </c>
      <c r="X997" s="2">
        <v>914.11</v>
      </c>
      <c r="Y997">
        <v>0.44819999999999999</v>
      </c>
      <c r="Z997">
        <v>5</v>
      </c>
      <c r="AA997" t="s">
        <v>61</v>
      </c>
      <c r="AB997" t="s">
        <v>48</v>
      </c>
      <c r="AC997" t="s">
        <v>158</v>
      </c>
      <c r="AD997">
        <v>5</v>
      </c>
      <c r="AE997" s="2">
        <v>1868.78</v>
      </c>
      <c r="AF997">
        <v>1.0914999999999999</v>
      </c>
      <c r="AG997" t="s">
        <v>49</v>
      </c>
      <c r="AH997" s="23">
        <f>SUM(Amazon_Data_Set[[#This Row],[Gross Sales]]-Amazon_Data_Set[[#This Row],[Discount Amount]])</f>
        <v>2039.72</v>
      </c>
    </row>
    <row r="998" spans="1:34">
      <c r="A998" t="s">
        <v>2478</v>
      </c>
      <c r="B998" s="1">
        <v>46332</v>
      </c>
      <c r="C998" t="str">
        <f>TEXT(Amazon_Data_Set[[#This Row],[Order Date]],"mmm")</f>
        <v>Nov</v>
      </c>
      <c r="D998" t="s">
        <v>1184</v>
      </c>
      <c r="E998" t="s">
        <v>228</v>
      </c>
      <c r="F998" t="s">
        <v>229</v>
      </c>
      <c r="G998" t="s">
        <v>37</v>
      </c>
      <c r="H998" t="s">
        <v>38</v>
      </c>
      <c r="I998" t="s">
        <v>39</v>
      </c>
      <c r="J998" t="s">
        <v>40</v>
      </c>
      <c r="K998" t="s">
        <v>41</v>
      </c>
      <c r="L998" t="s">
        <v>2479</v>
      </c>
      <c r="M998" t="s">
        <v>43</v>
      </c>
      <c r="N998" t="s">
        <v>60</v>
      </c>
      <c r="O998" t="s">
        <v>45</v>
      </c>
      <c r="P998">
        <v>5</v>
      </c>
      <c r="Q998">
        <v>1548.56</v>
      </c>
      <c r="R998" s="19">
        <v>0.2</v>
      </c>
      <c r="S998" s="21">
        <v>1548.56</v>
      </c>
      <c r="T998">
        <v>7742.8</v>
      </c>
      <c r="U998" s="2">
        <v>6194.24</v>
      </c>
      <c r="V998">
        <v>159.41</v>
      </c>
      <c r="W998">
        <v>4156.93</v>
      </c>
      <c r="X998" s="2">
        <v>1877.9</v>
      </c>
      <c r="Y998">
        <v>0.30320000000000003</v>
      </c>
      <c r="Z998">
        <v>5</v>
      </c>
      <c r="AA998" t="s">
        <v>61</v>
      </c>
      <c r="AB998" t="s">
        <v>47</v>
      </c>
      <c r="AD998">
        <v>5</v>
      </c>
      <c r="AE998" s="2">
        <v>6637.12</v>
      </c>
      <c r="AF998">
        <v>0.93330000000000002</v>
      </c>
      <c r="AG998" t="s">
        <v>49</v>
      </c>
      <c r="AH998" s="23">
        <f>SUM(Amazon_Data_Set[[#This Row],[Gross Sales]]-Amazon_Data_Set[[#This Row],[Discount Amount]])</f>
        <v>6194.24</v>
      </c>
    </row>
    <row r="999" spans="1:34">
      <c r="A999" t="s">
        <v>2480</v>
      </c>
      <c r="B999" s="1">
        <v>46358</v>
      </c>
      <c r="C999" t="str">
        <f>TEXT(Amazon_Data_Set[[#This Row],[Order Date]],"mmm")</f>
        <v>Dec</v>
      </c>
      <c r="D999" t="s">
        <v>504</v>
      </c>
      <c r="E999" t="s">
        <v>149</v>
      </c>
      <c r="F999" t="s">
        <v>150</v>
      </c>
      <c r="G999" t="s">
        <v>37</v>
      </c>
      <c r="H999" t="s">
        <v>55</v>
      </c>
      <c r="I999" t="s">
        <v>73</v>
      </c>
      <c r="J999" t="s">
        <v>247</v>
      </c>
      <c r="K999" t="s">
        <v>248</v>
      </c>
      <c r="L999" t="s">
        <v>2481</v>
      </c>
      <c r="M999" t="s">
        <v>106</v>
      </c>
      <c r="N999" t="s">
        <v>77</v>
      </c>
      <c r="O999" t="s">
        <v>45</v>
      </c>
      <c r="P999">
        <v>1</v>
      </c>
      <c r="Q999">
        <v>44520.3</v>
      </c>
      <c r="R999" s="19">
        <v>0</v>
      </c>
      <c r="S999" s="21">
        <v>0</v>
      </c>
      <c r="T999">
        <v>44520.3</v>
      </c>
      <c r="U999" s="2">
        <v>44520.3</v>
      </c>
      <c r="V999">
        <v>3.62</v>
      </c>
      <c r="W999">
        <v>27014.83</v>
      </c>
      <c r="X999" s="2">
        <v>17501.849999999999</v>
      </c>
      <c r="Y999">
        <v>0.3931</v>
      </c>
      <c r="Z999">
        <v>7</v>
      </c>
      <c r="AA999" t="s">
        <v>61</v>
      </c>
      <c r="AB999" t="s">
        <v>47</v>
      </c>
      <c r="AD999">
        <v>5</v>
      </c>
      <c r="AE999" s="2">
        <v>47034.62</v>
      </c>
      <c r="AF999">
        <v>0.94650000000000001</v>
      </c>
      <c r="AG999" t="s">
        <v>347</v>
      </c>
      <c r="AH999" s="23">
        <f>SUM(Amazon_Data_Set[[#This Row],[Gross Sales]]-Amazon_Data_Set[[#This Row],[Discount Amount]])</f>
        <v>44520.3</v>
      </c>
    </row>
    <row r="1000" spans="1:34">
      <c r="A1000" t="s">
        <v>2482</v>
      </c>
      <c r="B1000" s="1">
        <v>46282</v>
      </c>
      <c r="C1000" t="str">
        <f>TEXT(Amazon_Data_Set[[#This Row],[Order Date]],"mmm")</f>
        <v>Sep</v>
      </c>
      <c r="D1000" t="s">
        <v>1144</v>
      </c>
      <c r="E1000" t="s">
        <v>235</v>
      </c>
      <c r="F1000" t="s">
        <v>236</v>
      </c>
      <c r="G1000" t="s">
        <v>82</v>
      </c>
      <c r="H1000" t="s">
        <v>83</v>
      </c>
      <c r="I1000" t="s">
        <v>188</v>
      </c>
      <c r="J1000" t="s">
        <v>189</v>
      </c>
      <c r="K1000" t="s">
        <v>190</v>
      </c>
      <c r="L1000" t="s">
        <v>2483</v>
      </c>
      <c r="M1000" t="s">
        <v>106</v>
      </c>
      <c r="N1000" t="s">
        <v>44</v>
      </c>
      <c r="O1000" t="s">
        <v>45</v>
      </c>
      <c r="P1000">
        <v>2</v>
      </c>
      <c r="Q1000">
        <v>223.44</v>
      </c>
      <c r="R1000" s="19">
        <v>0.3</v>
      </c>
      <c r="S1000" s="21">
        <v>134.06</v>
      </c>
      <c r="T1000">
        <v>446.88</v>
      </c>
      <c r="U1000" s="2">
        <v>312.82</v>
      </c>
      <c r="V1000">
        <v>69.599999999999994</v>
      </c>
      <c r="W1000">
        <v>194.58</v>
      </c>
      <c r="X1000" s="2">
        <v>48.64</v>
      </c>
      <c r="Y1000">
        <v>0.1555</v>
      </c>
      <c r="Z1000">
        <v>6</v>
      </c>
      <c r="AA1000" t="s">
        <v>61</v>
      </c>
      <c r="AB1000" t="s">
        <v>47</v>
      </c>
      <c r="AD1000">
        <v>4</v>
      </c>
      <c r="AE1000" s="2">
        <v>282.29000000000002</v>
      </c>
      <c r="AF1000">
        <v>1.1082000000000001</v>
      </c>
      <c r="AG1000" t="s">
        <v>49</v>
      </c>
      <c r="AH1000" s="23">
        <f>SUM(Amazon_Data_Set[[#This Row],[Gross Sales]]-Amazon_Data_Set[[#This Row],[Discount Amount]])</f>
        <v>312.82</v>
      </c>
    </row>
    <row r="1001" spans="1:34">
      <c r="A1001" t="s">
        <v>2484</v>
      </c>
      <c r="B1001" s="1">
        <v>46052</v>
      </c>
      <c r="C1001" t="str">
        <f>TEXT(Amazon_Data_Set[[#This Row],[Order Date]],"mmm")</f>
        <v>Jan</v>
      </c>
      <c r="D1001" t="s">
        <v>2266</v>
      </c>
      <c r="E1001" t="s">
        <v>109</v>
      </c>
      <c r="F1001" t="s">
        <v>110</v>
      </c>
      <c r="G1001" t="s">
        <v>111</v>
      </c>
      <c r="H1001" t="s">
        <v>83</v>
      </c>
      <c r="I1001" t="s">
        <v>84</v>
      </c>
      <c r="J1001" t="s">
        <v>332</v>
      </c>
      <c r="K1001" t="s">
        <v>333</v>
      </c>
      <c r="L1001" t="s">
        <v>2485</v>
      </c>
      <c r="M1001" t="s">
        <v>43</v>
      </c>
      <c r="N1001" t="s">
        <v>60</v>
      </c>
      <c r="O1001" t="s">
        <v>45</v>
      </c>
      <c r="P1001">
        <v>5</v>
      </c>
      <c r="Q1001">
        <v>232.43</v>
      </c>
      <c r="R1001" s="19">
        <v>0.05</v>
      </c>
      <c r="S1001" s="21">
        <v>58.11</v>
      </c>
      <c r="T1001">
        <v>1162.1500000000001</v>
      </c>
      <c r="U1001" s="2">
        <v>1104.04</v>
      </c>
      <c r="V1001">
        <v>129.49</v>
      </c>
      <c r="W1001">
        <v>807.13</v>
      </c>
      <c r="X1001" s="2">
        <v>167.42</v>
      </c>
      <c r="Y1001">
        <v>0.15160000000000001</v>
      </c>
      <c r="Z1001">
        <v>8</v>
      </c>
      <c r="AA1001" t="s">
        <v>61</v>
      </c>
      <c r="AB1001" t="s">
        <v>47</v>
      </c>
      <c r="AD1001">
        <v>4</v>
      </c>
      <c r="AE1001" s="2">
        <v>1213.1400000000001</v>
      </c>
      <c r="AF1001">
        <v>0.91010000000000002</v>
      </c>
      <c r="AG1001" t="s">
        <v>49</v>
      </c>
      <c r="AH1001" s="23">
        <f>SUM(Amazon_Data_Set[[#This Row],[Gross Sales]]-Amazon_Data_Set[[#This Row],[Discount Amount]])</f>
        <v>1104.0400000000002</v>
      </c>
    </row>
  </sheetData>
  <conditionalFormatting sqref="U1:U1001">
    <cfRule type="cellIs" dxfId="96" priority="4" operator="lessThan">
      <formula>100</formula>
    </cfRule>
  </conditionalFormatting>
  <conditionalFormatting sqref="AA1:AA1001">
    <cfRule type="colorScale" priority="10">
      <colorScale>
        <cfvo type="min"/>
        <cfvo type="percentile" val="50"/>
        <cfvo type="max"/>
        <color rgb="FF63BE7B"/>
        <color rgb="FFFFEB84"/>
        <color rgb="FFF8696B"/>
      </colorScale>
    </cfRule>
    <cfRule type="cellIs" dxfId="95" priority="11" operator="lessThan">
      <formula>"Delayed"</formula>
    </cfRule>
  </conditionalFormatting>
  <conditionalFormatting sqref="R1:R1048576">
    <cfRule type="cellIs" dxfId="94" priority="3" operator="lessThan">
      <formula>0.15</formula>
    </cfRule>
  </conditionalFormatting>
  <conditionalFormatting sqref="Q1:Q1048576">
    <cfRule type="cellIs" dxfId="93" priority="2" operator="lessThan">
      <formula>1000</formula>
    </cfRule>
  </conditionalFormatting>
  <conditionalFormatting sqref="O1:O1048576">
    <cfRule type="cellIs" dxfId="92" priority="1" operator="lessThan">
      <formula>"Canclled"</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66BF-0B16-49A7-BD37-653865D39AC7}">
  <dimension ref="A2:P62"/>
  <sheetViews>
    <sheetView topLeftCell="C4" workbookViewId="0">
      <selection activeCell="G29" sqref="G29"/>
    </sheetView>
  </sheetViews>
  <sheetFormatPr defaultRowHeight="13.8"/>
  <cols>
    <col min="1" max="1" width="16.69921875" bestFit="1" customWidth="1"/>
    <col min="2" max="2" width="14.8984375" bestFit="1" customWidth="1"/>
    <col min="4" max="4" width="12.59765625" bestFit="1" customWidth="1"/>
    <col min="5" max="5" width="14.8984375" bestFit="1" customWidth="1"/>
    <col min="6" max="6" width="17.19921875" bestFit="1" customWidth="1"/>
    <col min="7" max="7" width="10.3984375" bestFit="1" customWidth="1"/>
    <col min="8" max="8" width="14.8984375" bestFit="1" customWidth="1"/>
    <col min="10" max="10" width="13.8984375" bestFit="1" customWidth="1"/>
    <col min="11" max="11" width="16" bestFit="1" customWidth="1"/>
    <col min="12" max="12" width="16.19921875" bestFit="1" customWidth="1"/>
    <col min="13" max="13" width="14.8984375" bestFit="1" customWidth="1"/>
    <col min="14" max="14" width="17.19921875" bestFit="1" customWidth="1"/>
    <col min="15" max="15" width="11.5" bestFit="1" customWidth="1"/>
    <col min="16" max="16" width="15.296875" bestFit="1" customWidth="1"/>
  </cols>
  <sheetData>
    <row r="2" spans="1:16">
      <c r="A2" s="22" t="s">
        <v>2506</v>
      </c>
      <c r="D2" s="22" t="s">
        <v>2507</v>
      </c>
      <c r="G2" s="22" t="s">
        <v>2508</v>
      </c>
      <c r="J2" s="22" t="s">
        <v>2511</v>
      </c>
    </row>
    <row r="3" spans="1:16" ht="14.4">
      <c r="A3" s="6" t="s">
        <v>6</v>
      </c>
      <c r="B3" s="7" t="s">
        <v>2487</v>
      </c>
      <c r="D3" s="6" t="s">
        <v>7</v>
      </c>
      <c r="E3" s="7" t="s">
        <v>2487</v>
      </c>
      <c r="G3" s="6" t="s">
        <v>2</v>
      </c>
      <c r="H3" s="7" t="s">
        <v>2487</v>
      </c>
      <c r="K3" s="4" t="s">
        <v>2500</v>
      </c>
      <c r="M3" s="6" t="s">
        <v>2500</v>
      </c>
      <c r="N3" s="7"/>
      <c r="O3" s="7"/>
      <c r="P3" s="7"/>
    </row>
    <row r="4" spans="1:16" ht="14.4">
      <c r="A4" s="7" t="s">
        <v>82</v>
      </c>
      <c r="B4" s="8">
        <v>4666206.8900000015</v>
      </c>
      <c r="D4" s="7" t="s">
        <v>83</v>
      </c>
      <c r="E4" s="8">
        <v>519977.15</v>
      </c>
      <c r="G4" s="7" t="s">
        <v>2488</v>
      </c>
      <c r="H4" s="8">
        <v>1260468.3800000001</v>
      </c>
      <c r="J4" s="4" t="s">
        <v>14</v>
      </c>
      <c r="K4" t="s">
        <v>2487</v>
      </c>
      <c r="L4" t="s">
        <v>2501</v>
      </c>
      <c r="M4" s="7" t="s">
        <v>2487</v>
      </c>
      <c r="N4" s="7" t="s">
        <v>2502</v>
      </c>
      <c r="O4" s="7" t="s">
        <v>2503</v>
      </c>
      <c r="P4" s="7" t="s">
        <v>2501</v>
      </c>
    </row>
    <row r="5" spans="1:16" ht="14.4">
      <c r="A5" s="7" t="s">
        <v>37</v>
      </c>
      <c r="B5" s="8">
        <v>3888060.4499999988</v>
      </c>
      <c r="D5" s="7" t="s">
        <v>55</v>
      </c>
      <c r="E5" s="8">
        <v>11657759.399999997</v>
      </c>
      <c r="G5" s="7" t="s">
        <v>2489</v>
      </c>
      <c r="H5" s="8">
        <v>1105988.57</v>
      </c>
      <c r="J5" t="s">
        <v>96</v>
      </c>
      <c r="K5" s="2">
        <v>1870268.9799999997</v>
      </c>
      <c r="L5" s="9">
        <v>151</v>
      </c>
      <c r="M5" s="8">
        <v>16203725.189999994</v>
      </c>
      <c r="N5" s="8">
        <v>16936448.990000002</v>
      </c>
      <c r="O5" s="8">
        <v>5759041.7799999909</v>
      </c>
      <c r="P5" s="10">
        <v>1000</v>
      </c>
    </row>
    <row r="6" spans="1:16" ht="14.4">
      <c r="A6" s="7" t="s">
        <v>54</v>
      </c>
      <c r="B6" s="8">
        <v>3362551.2899999996</v>
      </c>
      <c r="D6" s="7" t="s">
        <v>38</v>
      </c>
      <c r="E6" s="8">
        <v>1169169.46</v>
      </c>
      <c r="G6" s="7" t="s">
        <v>2490</v>
      </c>
      <c r="H6" s="8">
        <v>2249344.2799999998</v>
      </c>
      <c r="J6" t="s">
        <v>45</v>
      </c>
      <c r="K6" s="2">
        <v>11605246.909999996</v>
      </c>
      <c r="L6" s="9">
        <v>678</v>
      </c>
    </row>
    <row r="7" spans="1:16" ht="14.4">
      <c r="A7" s="7" t="s">
        <v>111</v>
      </c>
      <c r="B7" s="8">
        <v>4286906.5599999996</v>
      </c>
      <c r="D7" s="7" t="s">
        <v>90</v>
      </c>
      <c r="E7" s="8">
        <v>350345.81000000006</v>
      </c>
      <c r="G7" s="7" t="s">
        <v>2491</v>
      </c>
      <c r="H7" s="8">
        <v>1626918.77</v>
      </c>
      <c r="J7" t="s">
        <v>130</v>
      </c>
      <c r="K7" s="2">
        <v>2728209.3</v>
      </c>
      <c r="L7" s="9">
        <v>171</v>
      </c>
    </row>
    <row r="8" spans="1:16" ht="14.4">
      <c r="A8" s="7" t="s">
        <v>2486</v>
      </c>
      <c r="B8" s="8">
        <v>16203725.189999998</v>
      </c>
      <c r="D8" s="7" t="s">
        <v>142</v>
      </c>
      <c r="E8" s="8">
        <v>2506473.370000001</v>
      </c>
      <c r="G8" s="7" t="s">
        <v>2492</v>
      </c>
      <c r="H8" s="8">
        <v>1283694.0299999993</v>
      </c>
      <c r="J8" t="s">
        <v>2486</v>
      </c>
      <c r="K8" s="5">
        <v>16203725.190000001</v>
      </c>
      <c r="L8" s="5">
        <v>1000</v>
      </c>
    </row>
    <row r="9" spans="1:16" ht="14.4">
      <c r="D9" s="7" t="s">
        <v>2486</v>
      </c>
      <c r="E9" s="8">
        <v>16203725.189999999</v>
      </c>
      <c r="G9" s="7" t="s">
        <v>2493</v>
      </c>
      <c r="H9" s="8">
        <v>908053.93</v>
      </c>
    </row>
    <row r="10" spans="1:16" ht="14.4">
      <c r="G10" s="7" t="s">
        <v>2494</v>
      </c>
      <c r="H10" s="8">
        <v>1188128.0399999993</v>
      </c>
    </row>
    <row r="11" spans="1:16" ht="14.4">
      <c r="G11" s="7" t="s">
        <v>2495</v>
      </c>
      <c r="H11" s="8">
        <v>1241088.1600000001</v>
      </c>
    </row>
    <row r="12" spans="1:16" ht="14.4">
      <c r="G12" s="7" t="s">
        <v>2496</v>
      </c>
      <c r="H12" s="8">
        <v>1652361.9899999998</v>
      </c>
    </row>
    <row r="13" spans="1:16" ht="14.4">
      <c r="G13" s="7" t="s">
        <v>2497</v>
      </c>
      <c r="H13" s="8">
        <v>503389.91999999993</v>
      </c>
    </row>
    <row r="14" spans="1:16" ht="14.4">
      <c r="G14" s="7" t="s">
        <v>2498</v>
      </c>
      <c r="H14" s="8">
        <v>1301591.4999999995</v>
      </c>
    </row>
    <row r="15" spans="1:16" ht="14.4">
      <c r="G15" s="7" t="s">
        <v>2499</v>
      </c>
      <c r="H15" s="8">
        <v>1882697.62</v>
      </c>
    </row>
    <row r="16" spans="1:16" ht="14.4">
      <c r="G16" s="7" t="s">
        <v>2486</v>
      </c>
      <c r="H16" s="8">
        <v>16203725.189999998</v>
      </c>
    </row>
    <row r="24" spans="1:6">
      <c r="A24" s="22" t="s">
        <v>2509</v>
      </c>
      <c r="D24" s="22" t="s">
        <v>2510</v>
      </c>
    </row>
    <row r="25" spans="1:6" ht="14.4">
      <c r="A25" s="6" t="s">
        <v>13</v>
      </c>
      <c r="B25" s="7" t="s">
        <v>2487</v>
      </c>
      <c r="D25" s="7"/>
      <c r="E25" s="6" t="s">
        <v>2500</v>
      </c>
      <c r="F25" s="7"/>
    </row>
    <row r="26" spans="1:6" ht="14.4">
      <c r="A26" s="7" t="s">
        <v>77</v>
      </c>
      <c r="B26" s="8">
        <v>2942527.7799999979</v>
      </c>
      <c r="D26" s="6" t="s">
        <v>6</v>
      </c>
      <c r="E26" s="7" t="s">
        <v>2504</v>
      </c>
      <c r="F26" s="7" t="s">
        <v>2502</v>
      </c>
    </row>
    <row r="27" spans="1:6" ht="14.4">
      <c r="A27" s="7" t="s">
        <v>60</v>
      </c>
      <c r="B27" s="8">
        <v>2608018.8299999996</v>
      </c>
      <c r="D27" s="7" t="s">
        <v>82</v>
      </c>
      <c r="E27" s="8">
        <v>4666206.8900000015</v>
      </c>
      <c r="F27" s="8">
        <v>4948025.46</v>
      </c>
    </row>
    <row r="28" spans="1:6" ht="14.4">
      <c r="A28" s="7" t="s">
        <v>95</v>
      </c>
      <c r="B28" s="8">
        <v>3440435.5300000026</v>
      </c>
      <c r="D28" s="7" t="s">
        <v>37</v>
      </c>
      <c r="E28" s="8">
        <v>3888060.4499999988</v>
      </c>
      <c r="F28" s="8">
        <v>4112629.8400000022</v>
      </c>
    </row>
    <row r="29" spans="1:6" ht="14.4">
      <c r="A29" s="7" t="s">
        <v>44</v>
      </c>
      <c r="B29" s="8">
        <v>1433609.8499999996</v>
      </c>
      <c r="D29" s="7" t="s">
        <v>54</v>
      </c>
      <c r="E29" s="8">
        <v>3362551.2899999996</v>
      </c>
      <c r="F29" s="8">
        <v>3461107.8199999984</v>
      </c>
    </row>
    <row r="30" spans="1:6" ht="14.4">
      <c r="A30" s="7" t="s">
        <v>70</v>
      </c>
      <c r="B30" s="8">
        <v>3473681.42</v>
      </c>
      <c r="D30" s="7" t="s">
        <v>111</v>
      </c>
      <c r="E30" s="8">
        <v>4286906.5599999996</v>
      </c>
      <c r="F30" s="8">
        <v>4414685.8699999982</v>
      </c>
    </row>
    <row r="31" spans="1:6" ht="14.4">
      <c r="A31" s="7" t="s">
        <v>124</v>
      </c>
      <c r="B31" s="8">
        <v>2305451.7800000003</v>
      </c>
      <c r="D31" s="7" t="s">
        <v>2486</v>
      </c>
      <c r="E31" s="8">
        <v>16203725.189999998</v>
      </c>
      <c r="F31" s="8">
        <v>16936448.989999998</v>
      </c>
    </row>
    <row r="32" spans="1:6" ht="14.4">
      <c r="A32" s="7" t="s">
        <v>2486</v>
      </c>
      <c r="B32" s="8">
        <v>16203725.190000001</v>
      </c>
    </row>
    <row r="50" spans="1:15">
      <c r="A50" t="s">
        <v>6</v>
      </c>
      <c r="B50" t="s">
        <v>2505</v>
      </c>
      <c r="D50" t="s">
        <v>7</v>
      </c>
      <c r="E50" t="s">
        <v>2505</v>
      </c>
      <c r="G50" t="s">
        <v>2</v>
      </c>
      <c r="H50" t="s">
        <v>2505</v>
      </c>
      <c r="J50" t="s">
        <v>13</v>
      </c>
      <c r="K50" t="s">
        <v>2505</v>
      </c>
      <c r="M50" t="s">
        <v>6</v>
      </c>
      <c r="N50" t="s">
        <v>2504</v>
      </c>
      <c r="O50" t="s">
        <v>30</v>
      </c>
    </row>
    <row r="51" spans="1:15">
      <c r="A51" t="str">
        <f>Pivot!$A$4</f>
        <v>East</v>
      </c>
      <c r="B51" s="2">
        <f>Pivot!$B$4</f>
        <v>4666206.8900000015</v>
      </c>
      <c r="D51" t="str">
        <f>Pivot!$D$4</f>
        <v>Beauty</v>
      </c>
      <c r="E51" s="2">
        <f>Pivot!$E$4</f>
        <v>519977.15</v>
      </c>
      <c r="G51" t="str">
        <f>Pivot!$G$4</f>
        <v>Jan</v>
      </c>
      <c r="H51" s="2">
        <f>Pivot!$H$4</f>
        <v>1260468.3800000001</v>
      </c>
      <c r="J51" t="str">
        <f>Pivot!$A$26</f>
        <v>Amazon Pay</v>
      </c>
      <c r="K51" s="2">
        <f>Pivot!$B$26</f>
        <v>2942527.7799999979</v>
      </c>
      <c r="M51" t="str">
        <f>Pivot!$D$27</f>
        <v>East</v>
      </c>
      <c r="N51" s="2">
        <f>Pivot!$E$27</f>
        <v>4666206.8900000015</v>
      </c>
      <c r="O51" s="2">
        <f>Pivot!$F$27</f>
        <v>4948025.46</v>
      </c>
    </row>
    <row r="52" spans="1:15">
      <c r="A52" t="str">
        <f>Pivot!$A$5</f>
        <v>North</v>
      </c>
      <c r="B52" s="2">
        <f>Pivot!$B$5</f>
        <v>3888060.4499999988</v>
      </c>
      <c r="D52" t="str">
        <f>Pivot!$D$5</f>
        <v>Electronics</v>
      </c>
      <c r="E52" s="2">
        <f>Pivot!$E$5</f>
        <v>11657759.399999997</v>
      </c>
      <c r="G52" t="str">
        <f>Pivot!$G$5</f>
        <v>Feb</v>
      </c>
      <c r="H52" s="2">
        <f>Pivot!$H$5</f>
        <v>1105988.57</v>
      </c>
      <c r="J52" t="str">
        <f>Pivot!$A$27</f>
        <v>Cash on Delivery</v>
      </c>
      <c r="K52" s="2">
        <f>Pivot!$B$27</f>
        <v>2608018.8299999996</v>
      </c>
      <c r="M52" t="str">
        <f>Pivot!$D$28</f>
        <v>North</v>
      </c>
      <c r="N52" s="2">
        <f>Pivot!$E$28</f>
        <v>3888060.4499999988</v>
      </c>
      <c r="O52" s="2">
        <f>Pivot!$F$28</f>
        <v>4112629.8400000022</v>
      </c>
    </row>
    <row r="53" spans="1:15">
      <c r="A53" t="str">
        <f>Pivot!$A$6</f>
        <v>South</v>
      </c>
      <c r="B53" s="2">
        <f>Pivot!$B$6</f>
        <v>3362551.2899999996</v>
      </c>
      <c r="D53" t="str">
        <f>Pivot!$D$6</f>
        <v>Fashion</v>
      </c>
      <c r="E53" s="2">
        <f>Pivot!$E$6</f>
        <v>1169169.46</v>
      </c>
      <c r="G53" t="str">
        <f>Pivot!$G$6</f>
        <v>Mar</v>
      </c>
      <c r="H53" s="2">
        <f>Pivot!$H$6</f>
        <v>2249344.2799999998</v>
      </c>
      <c r="J53" t="str">
        <f>Pivot!$A$28</f>
        <v>Credit Card</v>
      </c>
      <c r="K53" s="2">
        <f>Pivot!$B$28</f>
        <v>3440435.5300000026</v>
      </c>
      <c r="M53" t="str">
        <f>Pivot!$D$29</f>
        <v>South</v>
      </c>
      <c r="N53" s="2">
        <f>Pivot!$E$29</f>
        <v>3362551.2899999996</v>
      </c>
      <c r="O53" s="2">
        <f>Pivot!$F$29</f>
        <v>3461107.8199999984</v>
      </c>
    </row>
    <row r="54" spans="1:15">
      <c r="A54" t="str">
        <f>Pivot!$A$7</f>
        <v>West</v>
      </c>
      <c r="B54" s="2">
        <f>Pivot!$B$7</f>
        <v>4286906.5599999996</v>
      </c>
      <c r="D54" t="str">
        <f>Pivot!$D$7</f>
        <v>Grocery</v>
      </c>
      <c r="E54" s="2">
        <f>Pivot!$E$7</f>
        <v>350345.81000000006</v>
      </c>
      <c r="G54" t="str">
        <f>Pivot!$G$7</f>
        <v>Apr</v>
      </c>
      <c r="H54" s="2">
        <f>Pivot!$H$7</f>
        <v>1626918.77</v>
      </c>
      <c r="J54" t="str">
        <f>Pivot!$A$29</f>
        <v>Debit Card</v>
      </c>
      <c r="K54" s="2">
        <f>Pivot!$B$29</f>
        <v>1433609.8499999996</v>
      </c>
      <c r="M54" t="str">
        <f>Pivot!$D$30</f>
        <v>West</v>
      </c>
      <c r="N54" s="2">
        <f>Pivot!$E$30</f>
        <v>4286906.5599999996</v>
      </c>
      <c r="O54" s="2">
        <f>Pivot!$F$30</f>
        <v>4414685.8699999982</v>
      </c>
    </row>
    <row r="55" spans="1:15">
      <c r="D55" t="str">
        <f>Pivot!$D$8</f>
        <v>Home &amp; Kitchen</v>
      </c>
      <c r="E55" s="2">
        <f>Pivot!$E$8</f>
        <v>2506473.370000001</v>
      </c>
      <c r="G55" t="str">
        <f>Pivot!$G$8</f>
        <v>May</v>
      </c>
      <c r="H55" s="2">
        <f>Pivot!$H$8</f>
        <v>1283694.0299999993</v>
      </c>
      <c r="J55" t="str">
        <f>Pivot!$A$30</f>
        <v>Net Banking</v>
      </c>
      <c r="K55" s="2">
        <f>Pivot!$B$30</f>
        <v>3473681.42</v>
      </c>
    </row>
    <row r="56" spans="1:15">
      <c r="G56" t="str">
        <f>Pivot!$G$9</f>
        <v>Jun</v>
      </c>
      <c r="H56" s="2">
        <f>Pivot!$H$9</f>
        <v>908053.93</v>
      </c>
      <c r="J56" t="str">
        <f>Pivot!$A$31</f>
        <v>UPI</v>
      </c>
      <c r="K56" s="2">
        <f>Pivot!$B$31</f>
        <v>2305451.7800000003</v>
      </c>
    </row>
    <row r="57" spans="1:15">
      <c r="G57" t="str">
        <f>Pivot!$G$10</f>
        <v>Jul</v>
      </c>
      <c r="H57" s="2">
        <f>Pivot!$H$10</f>
        <v>1188128.0399999993</v>
      </c>
    </row>
    <row r="58" spans="1:15">
      <c r="G58" t="str">
        <f>Pivot!$G$11</f>
        <v>Aug</v>
      </c>
      <c r="H58" s="2">
        <f>Pivot!$H$11</f>
        <v>1241088.1600000001</v>
      </c>
    </row>
    <row r="59" spans="1:15">
      <c r="G59" t="str">
        <f>Pivot!$G$12</f>
        <v>Sep</v>
      </c>
      <c r="H59" s="2">
        <f>Pivot!$H$12</f>
        <v>1652361.9899999998</v>
      </c>
    </row>
    <row r="60" spans="1:15">
      <c r="G60" t="str">
        <f>Pivot!$G$13</f>
        <v>Oct</v>
      </c>
      <c r="H60" s="2">
        <f>Pivot!$H$13</f>
        <v>503389.91999999993</v>
      </c>
    </row>
    <row r="61" spans="1:15">
      <c r="G61" t="str">
        <f>Pivot!$G$14</f>
        <v>Nov</v>
      </c>
      <c r="H61" s="2">
        <f>Pivot!$H$14</f>
        <v>1301591.4999999995</v>
      </c>
    </row>
    <row r="62" spans="1:15">
      <c r="G62" t="str">
        <f>Pivot!$G$15</f>
        <v>Dec</v>
      </c>
      <c r="H62" s="2">
        <f>Pivot!$H$15</f>
        <v>1882697.62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C5B0-879D-4874-AF68-1C8BD3B7F73E}">
  <dimension ref="A1"/>
  <sheetViews>
    <sheetView workbookViewId="0">
      <selection activeCell="K24" sqref="K24"/>
    </sheetView>
  </sheetViews>
  <sheetFormatPr defaultRowHeight="13.8"/>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86C89-3C82-4690-9719-A2218B2A9EBF}">
  <dimension ref="D8:D24"/>
  <sheetViews>
    <sheetView workbookViewId="0">
      <selection activeCell="D12" sqref="D12"/>
    </sheetView>
  </sheetViews>
  <sheetFormatPr defaultRowHeight="13.8"/>
  <cols>
    <col min="4" max="4" width="24.59765625" customWidth="1"/>
  </cols>
  <sheetData>
    <row r="8" spans="4:4">
      <c r="D8" s="22" t="s">
        <v>2506</v>
      </c>
    </row>
    <row r="9" spans="4:4">
      <c r="D9" s="21">
        <f>GETPIVOTDATA("Net Sales",Pivot!$A$3)</f>
        <v>16203725.189999998</v>
      </c>
    </row>
    <row r="11" spans="4:4">
      <c r="D11" s="22" t="s">
        <v>2507</v>
      </c>
    </row>
    <row r="12" spans="4:4">
      <c r="D12" s="21">
        <f>GETPIVOTDATA("Net Sales",Pivot!$D$3)</f>
        <v>16203725.189999999</v>
      </c>
    </row>
    <row r="14" spans="4:4">
      <c r="D14" s="22" t="s">
        <v>2508</v>
      </c>
    </row>
    <row r="15" spans="4:4">
      <c r="D15" s="21">
        <f>GETPIVOTDATA("Net Sales",Pivot!$G$3)</f>
        <v>16203725.189999998</v>
      </c>
    </row>
    <row r="17" spans="4:4">
      <c r="D17" s="22" t="s">
        <v>2511</v>
      </c>
    </row>
    <row r="18" spans="4:4">
      <c r="D18">
        <f>GETPIVOTDATA("Sum of Net Sales",Pivot!$J$3)</f>
        <v>16203725.190000001</v>
      </c>
    </row>
    <row r="20" spans="4:4">
      <c r="D20" s="22" t="s">
        <v>2509</v>
      </c>
    </row>
    <row r="21" spans="4:4">
      <c r="D21" s="21">
        <f>GETPIVOTDATA("Net Sales",Pivot!$A$25)</f>
        <v>16203725.190000001</v>
      </c>
    </row>
    <row r="23" spans="4:4">
      <c r="D23" s="22" t="s">
        <v>2510</v>
      </c>
    </row>
    <row r="24" spans="4:4">
      <c r="D24" s="21">
        <f>GETPIVOTDATA("Actual Sales",Pivot!$D$25)</f>
        <v>16203725.189999998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7F10A-B0B5-46FE-8EEE-FCC875785D4E}">
  <dimension ref="C7:E9"/>
  <sheetViews>
    <sheetView workbookViewId="0">
      <selection activeCell="E9" sqref="E9"/>
    </sheetView>
  </sheetViews>
  <sheetFormatPr defaultRowHeight="13.8"/>
  <cols>
    <col min="3" max="3" width="16.09765625" customWidth="1"/>
    <col min="5" max="5" width="15.5" bestFit="1" customWidth="1"/>
  </cols>
  <sheetData>
    <row r="7" spans="3:5">
      <c r="C7" s="22" t="s">
        <v>2512</v>
      </c>
      <c r="D7" s="22"/>
      <c r="E7" s="24">
        <f>SUM('Amazon Data Set'!T:T)</f>
        <v>18960096.890000012</v>
      </c>
    </row>
    <row r="8" spans="3:5">
      <c r="C8" s="22" t="s">
        <v>2513</v>
      </c>
      <c r="D8" s="22"/>
      <c r="E8" s="24">
        <f>SUM('Amazon Data Set'!X:X)</f>
        <v>5759041.7799999909</v>
      </c>
    </row>
    <row r="9" spans="3:5">
      <c r="C9" s="22" t="s">
        <v>2514</v>
      </c>
      <c r="D9" s="22"/>
      <c r="E9" s="25">
        <f>SUM('Amazon Data Set'!AH:AH)</f>
        <v>16203725.189999994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9D72E-ABD1-4707-8E0E-FF3F997F1B5B}">
  <dimension ref="A1:D1001"/>
  <sheetViews>
    <sheetView workbookViewId="0">
      <selection activeCell="C2" sqref="C2"/>
    </sheetView>
  </sheetViews>
  <sheetFormatPr defaultRowHeight="13.8"/>
  <cols>
    <col min="1" max="1" width="13.296875" customWidth="1"/>
    <col min="4" max="4" width="13.296875" customWidth="1"/>
  </cols>
  <sheetData>
    <row r="1" spans="1:4" ht="17.399999999999999">
      <c r="A1" s="28" t="s">
        <v>2516</v>
      </c>
      <c r="B1" s="29" t="s">
        <v>2517</v>
      </c>
      <c r="C1" s="29" t="s">
        <v>2518</v>
      </c>
      <c r="D1" s="29" t="s">
        <v>2519</v>
      </c>
    </row>
    <row r="2" spans="1:4">
      <c r="A2" s="16" t="s">
        <v>33</v>
      </c>
      <c r="B2">
        <f>VLOOKUP(A2,Amazon_Data_Set[],20,FALSE)</f>
        <v>6641.2</v>
      </c>
      <c r="C2">
        <f>_xlfn.XLOOKUP(Vlookup!A2,Amazon_Data_Set[Order ID],Amazon_Data_Set[Profit])</f>
        <v>1411.64</v>
      </c>
      <c r="D2" t="str">
        <f>INDEX('Amazon Data Set'!F:F,MATCH(Vlookup!A2,'Amazon Data Set'!A:A,0))</f>
        <v>New Delhi</v>
      </c>
    </row>
    <row r="3" spans="1:4">
      <c r="A3" s="17" t="s">
        <v>50</v>
      </c>
      <c r="B3">
        <f>VLOOKUP(A3,Amazon_Data_Set[],20,FALSE)</f>
        <v>48847.35</v>
      </c>
      <c r="C3">
        <f>_xlfn.XLOOKUP(Vlookup!A3,Amazon_Data_Set[Order ID],Amazon_Data_Set[Profit])</f>
        <v>12729.8</v>
      </c>
      <c r="D3" t="str">
        <f>INDEX('Amazon Data Set'!F:F,MATCH(Vlookup!A3,'Amazon Data Set'!A:A,0))</f>
        <v>Chennai</v>
      </c>
    </row>
    <row r="4" spans="1:4">
      <c r="A4" s="16" t="s">
        <v>62</v>
      </c>
      <c r="B4">
        <f>VLOOKUP(A4,Amazon_Data_Set[],20,FALSE)</f>
        <v>20479.7</v>
      </c>
      <c r="C4">
        <f>_xlfn.XLOOKUP(Vlookup!A4,Amazon_Data_Set[Order ID],Amazon_Data_Set[Profit])</f>
        <v>7831.86</v>
      </c>
      <c r="D4" t="str">
        <f>INDEX('Amazon Data Set'!F:F,MATCH(Vlookup!A4,'Amazon Data Set'!A:A,0))</f>
        <v>Kochi</v>
      </c>
    </row>
    <row r="5" spans="1:4">
      <c r="A5" s="17" t="s">
        <v>71</v>
      </c>
      <c r="B5">
        <f>VLOOKUP(A5,Amazon_Data_Set[],20,FALSE)</f>
        <v>283843.95</v>
      </c>
      <c r="C5">
        <f>_xlfn.XLOOKUP(Vlookup!A5,Amazon_Data_Set[Order ID],Amazon_Data_Set[Profit])</f>
        <v>100129.31</v>
      </c>
      <c r="D5" t="str">
        <f>INDEX('Amazon Data Set'!F:F,MATCH(Vlookup!A5,'Amazon Data Set'!A:A,0))</f>
        <v>New Delhi</v>
      </c>
    </row>
    <row r="6" spans="1:4">
      <c r="A6" s="16" t="s">
        <v>78</v>
      </c>
      <c r="B6">
        <f>VLOOKUP(A6,Amazon_Data_Set[],20,FALSE)</f>
        <v>1227.8599999999999</v>
      </c>
      <c r="C6">
        <f>_xlfn.XLOOKUP(Vlookup!A6,Amazon_Data_Set[Order ID],Amazon_Data_Set[Profit])</f>
        <v>304.24</v>
      </c>
      <c r="D6" t="str">
        <f>INDEX('Amazon Data Set'!F:F,MATCH(Vlookup!A6,'Amazon Data Set'!A:A,0))</f>
        <v>Bhubaneswar</v>
      </c>
    </row>
    <row r="7" spans="1:4">
      <c r="A7" s="17" t="s">
        <v>88</v>
      </c>
      <c r="B7">
        <f>VLOOKUP(A7,Amazon_Data_Set[],20,FALSE)</f>
        <v>1316.7</v>
      </c>
      <c r="C7">
        <f>_xlfn.XLOOKUP(Vlookup!A7,Amazon_Data_Set[Order ID],Amazon_Data_Set[Profit])</f>
        <v>67.33</v>
      </c>
      <c r="D7" t="str">
        <f>INDEX('Amazon Data Set'!F:F,MATCH(Vlookup!A7,'Amazon Data Set'!A:A,0))</f>
        <v>Chennai</v>
      </c>
    </row>
    <row r="8" spans="1:4">
      <c r="A8" s="16" t="s">
        <v>98</v>
      </c>
      <c r="B8">
        <f>VLOOKUP(A8,Amazon_Data_Set[],20,FALSE)</f>
        <v>3663.21</v>
      </c>
      <c r="C8">
        <f>_xlfn.XLOOKUP(Vlookup!A8,Amazon_Data_Set[Order ID],Amazon_Data_Set[Profit])</f>
        <v>1375.34</v>
      </c>
      <c r="D8" t="str">
        <f>INDEX('Amazon Data Set'!F:F,MATCH(Vlookup!A8,'Amazon Data Set'!A:A,0))</f>
        <v>Bengaluru</v>
      </c>
    </row>
    <row r="9" spans="1:4">
      <c r="A9" s="17" t="s">
        <v>107</v>
      </c>
      <c r="B9">
        <f>VLOOKUP(A9,Amazon_Data_Set[],20,FALSE)</f>
        <v>1732.04</v>
      </c>
      <c r="C9">
        <f>_xlfn.XLOOKUP(Vlookup!A9,Amazon_Data_Set[Order ID],Amazon_Data_Set[Profit])</f>
        <v>575.4</v>
      </c>
      <c r="D9" t="str">
        <f>INDEX('Amazon Data Set'!F:F,MATCH(Vlookup!A9,'Amazon Data Set'!A:A,0))</f>
        <v>Mumbai</v>
      </c>
    </row>
    <row r="10" spans="1:4">
      <c r="A10" s="16" t="s">
        <v>116</v>
      </c>
      <c r="B10">
        <f>VLOOKUP(A10,Amazon_Data_Set[],20,FALSE)</f>
        <v>19903.62</v>
      </c>
      <c r="C10">
        <f>_xlfn.XLOOKUP(Vlookup!A10,Amazon_Data_Set[Order ID],Amazon_Data_Set[Profit])</f>
        <v>3609.84</v>
      </c>
      <c r="D10" t="str">
        <f>INDEX('Amazon Data Set'!F:F,MATCH(Vlookup!A10,'Amazon Data Set'!A:A,0))</f>
        <v>Guwahati</v>
      </c>
    </row>
    <row r="11" spans="1:4">
      <c r="A11" s="17" t="s">
        <v>125</v>
      </c>
      <c r="B11">
        <f>VLOOKUP(A11,Amazon_Data_Set[],20,FALSE)</f>
        <v>70081.95</v>
      </c>
      <c r="C11">
        <f>_xlfn.XLOOKUP(Vlookup!A11,Amazon_Data_Set[Order ID],Amazon_Data_Set[Profit])</f>
        <v>19222.45</v>
      </c>
      <c r="D11" t="str">
        <f>INDEX('Amazon Data Set'!F:F,MATCH(Vlookup!A11,'Amazon Data Set'!A:A,0))</f>
        <v>Bhubaneswar</v>
      </c>
    </row>
    <row r="12" spans="1:4">
      <c r="A12" s="16" t="s">
        <v>132</v>
      </c>
      <c r="B12">
        <f>VLOOKUP(A12,Amazon_Data_Set[],20,FALSE)</f>
        <v>6648.4</v>
      </c>
      <c r="C12">
        <f>_xlfn.XLOOKUP(Vlookup!A12,Amazon_Data_Set[Order ID],Amazon_Data_Set[Profit])</f>
        <v>2432.0300000000002</v>
      </c>
      <c r="D12" t="str">
        <f>INDEX('Amazon Data Set'!F:F,MATCH(Vlookup!A12,'Amazon Data Set'!A:A,0))</f>
        <v>Mumbai</v>
      </c>
    </row>
    <row r="13" spans="1:4">
      <c r="A13" s="17" t="s">
        <v>138</v>
      </c>
      <c r="B13">
        <f>VLOOKUP(A13,Amazon_Data_Set[],20,FALSE)</f>
        <v>15922.25</v>
      </c>
      <c r="C13">
        <f>_xlfn.XLOOKUP(Vlookup!A13,Amazon_Data_Set[Order ID],Amazon_Data_Set[Profit])</f>
        <v>3993.8</v>
      </c>
      <c r="D13" t="str">
        <f>INDEX('Amazon Data Set'!F:F,MATCH(Vlookup!A13,'Amazon Data Set'!A:A,0))</f>
        <v>Hyderabad</v>
      </c>
    </row>
    <row r="14" spans="1:4">
      <c r="A14" s="16" t="s">
        <v>147</v>
      </c>
      <c r="B14">
        <f>VLOOKUP(A14,Amazon_Data_Set[],20,FALSE)</f>
        <v>55509.75</v>
      </c>
      <c r="C14">
        <f>_xlfn.XLOOKUP(Vlookup!A14,Amazon_Data_Set[Order ID],Amazon_Data_Set[Profit])</f>
        <v>15022.09</v>
      </c>
      <c r="D14" t="str">
        <f>INDEX('Amazon Data Set'!F:F,MATCH(Vlookup!A14,'Amazon Data Set'!A:A,0))</f>
        <v>Gurugram</v>
      </c>
    </row>
    <row r="15" spans="1:4">
      <c r="A15" s="17" t="s">
        <v>152</v>
      </c>
      <c r="B15">
        <f>VLOOKUP(A15,Amazon_Data_Set[],20,FALSE)</f>
        <v>13478.45</v>
      </c>
      <c r="C15">
        <f>_xlfn.XLOOKUP(Vlookup!A15,Amazon_Data_Set[Order ID],Amazon_Data_Set[Profit])</f>
        <v>2648.81</v>
      </c>
      <c r="D15" t="str">
        <f>INDEX('Amazon Data Set'!F:F,MATCH(Vlookup!A15,'Amazon Data Set'!A:A,0))</f>
        <v>Pune</v>
      </c>
    </row>
    <row r="16" spans="1:4">
      <c r="A16" s="16" t="s">
        <v>159</v>
      </c>
      <c r="B16">
        <f>VLOOKUP(A16,Amazon_Data_Set[],20,FALSE)</f>
        <v>5334.62</v>
      </c>
      <c r="C16">
        <f>_xlfn.XLOOKUP(Vlookup!A16,Amazon_Data_Set[Order ID],Amazon_Data_Set[Profit])</f>
        <v>1025.97</v>
      </c>
      <c r="D16" t="str">
        <f>INDEX('Amazon Data Set'!F:F,MATCH(Vlookup!A16,'Amazon Data Set'!A:A,0))</f>
        <v>Bengaluru</v>
      </c>
    </row>
    <row r="17" spans="1:4">
      <c r="A17" s="17" t="s">
        <v>165</v>
      </c>
      <c r="B17">
        <f>VLOOKUP(A17,Amazon_Data_Set[],20,FALSE)</f>
        <v>29314</v>
      </c>
      <c r="C17">
        <f>_xlfn.XLOOKUP(Vlookup!A17,Amazon_Data_Set[Order ID],Amazon_Data_Set[Profit])</f>
        <v>10360.52</v>
      </c>
      <c r="D17" t="str">
        <f>INDEX('Amazon Data Set'!F:F,MATCH(Vlookup!A17,'Amazon Data Set'!A:A,0))</f>
        <v>Jaipur</v>
      </c>
    </row>
    <row r="18" spans="1:4">
      <c r="A18" s="16" t="s">
        <v>172</v>
      </c>
      <c r="B18">
        <f>VLOOKUP(A18,Amazon_Data_Set[],20,FALSE)</f>
        <v>1073.8499999999999</v>
      </c>
      <c r="C18">
        <f>_xlfn.XLOOKUP(Vlookup!A18,Amazon_Data_Set[Order ID],Amazon_Data_Set[Profit])</f>
        <v>377.09</v>
      </c>
      <c r="D18" t="str">
        <f>INDEX('Amazon Data Set'!F:F,MATCH(Vlookup!A18,'Amazon Data Set'!A:A,0))</f>
        <v>Patna</v>
      </c>
    </row>
    <row r="19" spans="1:4">
      <c r="A19" s="17" t="s">
        <v>177</v>
      </c>
      <c r="B19">
        <f>VLOOKUP(A19,Amazon_Data_Set[],20,FALSE)</f>
        <v>538.67999999999995</v>
      </c>
      <c r="C19">
        <f>_xlfn.XLOOKUP(Vlookup!A19,Amazon_Data_Set[Order ID],Amazon_Data_Set[Profit])</f>
        <v>8.7799999999999994</v>
      </c>
      <c r="D19" t="str">
        <f>INDEX('Amazon Data Set'!F:F,MATCH(Vlookup!A19,'Amazon Data Set'!A:A,0))</f>
        <v>Mysuru</v>
      </c>
    </row>
    <row r="20" spans="1:4">
      <c r="A20" s="16" t="s">
        <v>181</v>
      </c>
      <c r="B20">
        <f>VLOOKUP(A20,Amazon_Data_Set[],20,FALSE)</f>
        <v>2005.61</v>
      </c>
      <c r="C20">
        <f>_xlfn.XLOOKUP(Vlookup!A20,Amazon_Data_Set[Order ID],Amazon_Data_Set[Profit])</f>
        <v>481.24</v>
      </c>
      <c r="D20" t="str">
        <f>INDEX('Amazon Data Set'!F:F,MATCH(Vlookup!A20,'Amazon Data Set'!A:A,0))</f>
        <v>Hyderabad</v>
      </c>
    </row>
    <row r="21" spans="1:4">
      <c r="A21" s="17" t="s">
        <v>186</v>
      </c>
      <c r="B21">
        <f>VLOOKUP(A21,Amazon_Data_Set[],20,FALSE)</f>
        <v>3490.56</v>
      </c>
      <c r="C21">
        <f>_xlfn.XLOOKUP(Vlookup!A21,Amazon_Data_Set[Order ID],Amazon_Data_Set[Profit])</f>
        <v>550.41999999999996</v>
      </c>
      <c r="D21" t="str">
        <f>INDEX('Amazon Data Set'!F:F,MATCH(Vlookup!A21,'Amazon Data Set'!A:A,0))</f>
        <v>Gurugram</v>
      </c>
    </row>
    <row r="22" spans="1:4">
      <c r="A22" s="16" t="s">
        <v>192</v>
      </c>
      <c r="B22">
        <f>VLOOKUP(A22,Amazon_Data_Set[],20,FALSE)</f>
        <v>16357</v>
      </c>
      <c r="C22">
        <f>_xlfn.XLOOKUP(Vlookup!A22,Amazon_Data_Set[Order ID],Amazon_Data_Set[Profit])</f>
        <v>5245.82</v>
      </c>
      <c r="D22" t="str">
        <f>INDEX('Amazon Data Set'!F:F,MATCH(Vlookup!A22,'Amazon Data Set'!A:A,0))</f>
        <v>Ahmedabad</v>
      </c>
    </row>
    <row r="23" spans="1:4">
      <c r="A23" s="17" t="s">
        <v>198</v>
      </c>
      <c r="B23">
        <f>VLOOKUP(A23,Amazon_Data_Set[],20,FALSE)</f>
        <v>1653.33</v>
      </c>
      <c r="C23">
        <f>_xlfn.XLOOKUP(Vlookup!A23,Amazon_Data_Set[Order ID],Amazon_Data_Set[Profit])</f>
        <v>138.19</v>
      </c>
      <c r="D23" t="str">
        <f>INDEX('Amazon Data Set'!F:F,MATCH(Vlookup!A23,'Amazon Data Set'!A:A,0))</f>
        <v>Mumbai</v>
      </c>
    </row>
    <row r="24" spans="1:4">
      <c r="A24" s="16" t="s">
        <v>204</v>
      </c>
      <c r="B24">
        <f>VLOOKUP(A24,Amazon_Data_Set[],20,FALSE)</f>
        <v>2486.12</v>
      </c>
      <c r="C24">
        <f>_xlfn.XLOOKUP(Vlookup!A24,Amazon_Data_Set[Order ID],Amazon_Data_Set[Profit])</f>
        <v>992.04</v>
      </c>
      <c r="D24" t="str">
        <f>INDEX('Amazon Data Set'!F:F,MATCH(Vlookup!A24,'Amazon Data Set'!A:A,0))</f>
        <v>Bengaluru</v>
      </c>
    </row>
    <row r="25" spans="1:4">
      <c r="A25" s="17" t="s">
        <v>207</v>
      </c>
      <c r="B25">
        <f>VLOOKUP(A25,Amazon_Data_Set[],20,FALSE)</f>
        <v>2248.56</v>
      </c>
      <c r="C25">
        <f>_xlfn.XLOOKUP(Vlookup!A25,Amazon_Data_Set[Order ID],Amazon_Data_Set[Profit])</f>
        <v>496.37</v>
      </c>
      <c r="D25" t="str">
        <f>INDEX('Amazon Data Set'!F:F,MATCH(Vlookup!A25,'Amazon Data Set'!A:A,0))</f>
        <v>Patna</v>
      </c>
    </row>
    <row r="26" spans="1:4">
      <c r="A26" s="16" t="s">
        <v>212</v>
      </c>
      <c r="B26">
        <f>VLOOKUP(A26,Amazon_Data_Set[],20,FALSE)</f>
        <v>11765.36</v>
      </c>
      <c r="C26">
        <f>_xlfn.XLOOKUP(Vlookup!A26,Amazon_Data_Set[Order ID],Amazon_Data_Set[Profit])</f>
        <v>2389.9899999999998</v>
      </c>
      <c r="D26" t="str">
        <f>INDEX('Amazon Data Set'!F:F,MATCH(Vlookup!A26,'Amazon Data Set'!A:A,0))</f>
        <v>Patna</v>
      </c>
    </row>
    <row r="27" spans="1:4">
      <c r="A27" s="17" t="s">
        <v>218</v>
      </c>
      <c r="B27">
        <f>VLOOKUP(A27,Amazon_Data_Set[],20,FALSE)</f>
        <v>25756.65</v>
      </c>
      <c r="C27">
        <f>_xlfn.XLOOKUP(Vlookup!A27,Amazon_Data_Set[Order ID],Amazon_Data_Set[Profit])</f>
        <v>8182.15</v>
      </c>
      <c r="D27" t="str">
        <f>INDEX('Amazon Data Set'!F:F,MATCH(Vlookup!A27,'Amazon Data Set'!A:A,0))</f>
        <v>Ahmedabad</v>
      </c>
    </row>
    <row r="28" spans="1:4">
      <c r="A28" s="16" t="s">
        <v>221</v>
      </c>
      <c r="B28">
        <f>VLOOKUP(A28,Amazon_Data_Set[],20,FALSE)</f>
        <v>8182.3</v>
      </c>
      <c r="C28">
        <f>_xlfn.XLOOKUP(Vlookup!A28,Amazon_Data_Set[Order ID],Amazon_Data_Set[Profit])</f>
        <v>2916.51</v>
      </c>
      <c r="D28" t="str">
        <f>INDEX('Amazon Data Set'!F:F,MATCH(Vlookup!A28,'Amazon Data Set'!A:A,0))</f>
        <v>Mysuru</v>
      </c>
    </row>
    <row r="29" spans="1:4">
      <c r="A29" s="17" t="s">
        <v>226</v>
      </c>
      <c r="B29">
        <f>VLOOKUP(A29,Amazon_Data_Set[],20,FALSE)</f>
        <v>14198.62</v>
      </c>
      <c r="C29">
        <f>_xlfn.XLOOKUP(Vlookup!A29,Amazon_Data_Set[Order ID],Amazon_Data_Set[Profit])</f>
        <v>2798.27</v>
      </c>
      <c r="D29" t="str">
        <f>INDEX('Amazon Data Set'!F:F,MATCH(Vlookup!A29,'Amazon Data Set'!A:A,0))</f>
        <v>Ludhiana</v>
      </c>
    </row>
    <row r="30" spans="1:4">
      <c r="A30" s="16" t="s">
        <v>233</v>
      </c>
      <c r="B30">
        <f>VLOOKUP(A30,Amazon_Data_Set[],20,FALSE)</f>
        <v>3160.91</v>
      </c>
      <c r="C30">
        <f>_xlfn.XLOOKUP(Vlookup!A30,Amazon_Data_Set[Order ID],Amazon_Data_Set[Profit])</f>
        <v>664.24</v>
      </c>
      <c r="D30" t="str">
        <f>INDEX('Amazon Data Set'!F:F,MATCH(Vlookup!A30,'Amazon Data Set'!A:A,0))</f>
        <v>Kolkata</v>
      </c>
    </row>
    <row r="31" spans="1:4">
      <c r="A31" s="17" t="s">
        <v>238</v>
      </c>
      <c r="B31">
        <f>VLOOKUP(A31,Amazon_Data_Set[],20,FALSE)</f>
        <v>7995.62</v>
      </c>
      <c r="C31">
        <f>_xlfn.XLOOKUP(Vlookup!A31,Amazon_Data_Set[Order ID],Amazon_Data_Set[Profit])</f>
        <v>2515.0700000000002</v>
      </c>
      <c r="D31" t="str">
        <f>INDEX('Amazon Data Set'!F:F,MATCH(Vlookup!A31,'Amazon Data Set'!A:A,0))</f>
        <v>Patna</v>
      </c>
    </row>
    <row r="32" spans="1:4">
      <c r="A32" s="16" t="s">
        <v>241</v>
      </c>
      <c r="B32">
        <f>VLOOKUP(A32,Amazon_Data_Set[],20,FALSE)</f>
        <v>1444.3</v>
      </c>
      <c r="C32">
        <f>_xlfn.XLOOKUP(Vlookup!A32,Amazon_Data_Set[Order ID],Amazon_Data_Set[Profit])</f>
        <v>267.49</v>
      </c>
      <c r="D32" t="str">
        <f>INDEX('Amazon Data Set'!F:F,MATCH(Vlookup!A32,'Amazon Data Set'!A:A,0))</f>
        <v>Chennai</v>
      </c>
    </row>
    <row r="33" spans="1:4">
      <c r="A33" s="17" t="s">
        <v>245</v>
      </c>
      <c r="B33">
        <f>VLOOKUP(A33,Amazon_Data_Set[],20,FALSE)</f>
        <v>102168.3</v>
      </c>
      <c r="C33">
        <f>_xlfn.XLOOKUP(Vlookup!A33,Amazon_Data_Set[Order ID],Amazon_Data_Set[Profit])</f>
        <v>34794.14</v>
      </c>
      <c r="D33" t="str">
        <f>INDEX('Amazon Data Set'!F:F,MATCH(Vlookup!A33,'Amazon Data Set'!A:A,0))</f>
        <v>Ahmedabad</v>
      </c>
    </row>
    <row r="34" spans="1:4">
      <c r="A34" s="16" t="s">
        <v>250</v>
      </c>
      <c r="B34">
        <f>VLOOKUP(A34,Amazon_Data_Set[],20,FALSE)</f>
        <v>776.34</v>
      </c>
      <c r="C34">
        <f>_xlfn.XLOOKUP(Vlookup!A34,Amazon_Data_Set[Order ID],Amazon_Data_Set[Profit])</f>
        <v>88.58</v>
      </c>
      <c r="D34" t="str">
        <f>INDEX('Amazon Data Set'!F:F,MATCH(Vlookup!A34,'Amazon Data Set'!A:A,0))</f>
        <v>Guwahati</v>
      </c>
    </row>
    <row r="35" spans="1:4">
      <c r="A35" s="17" t="s">
        <v>256</v>
      </c>
      <c r="B35">
        <f>VLOOKUP(A35,Amazon_Data_Set[],20,FALSE)</f>
        <v>2413.96</v>
      </c>
      <c r="C35">
        <f>_xlfn.XLOOKUP(Vlookup!A35,Amazon_Data_Set[Order ID],Amazon_Data_Set[Profit])</f>
        <v>1157.1600000000001</v>
      </c>
      <c r="D35" t="str">
        <f>INDEX('Amazon Data Set'!F:F,MATCH(Vlookup!A35,'Amazon Data Set'!A:A,0))</f>
        <v>Jaipur</v>
      </c>
    </row>
    <row r="36" spans="1:4">
      <c r="A36" s="16" t="s">
        <v>258</v>
      </c>
      <c r="B36">
        <f>VLOOKUP(A36,Amazon_Data_Set[],20,FALSE)</f>
        <v>245.11</v>
      </c>
      <c r="C36">
        <f>_xlfn.XLOOKUP(Vlookup!A36,Amazon_Data_Set[Order ID],Amazon_Data_Set[Profit])</f>
        <v>57.14</v>
      </c>
      <c r="D36" t="str">
        <f>INDEX('Amazon Data Set'!F:F,MATCH(Vlookup!A36,'Amazon Data Set'!A:A,0))</f>
        <v>Mysuru</v>
      </c>
    </row>
    <row r="37" spans="1:4">
      <c r="A37" s="17" t="s">
        <v>262</v>
      </c>
      <c r="B37">
        <f>VLOOKUP(A37,Amazon_Data_Set[],20,FALSE)</f>
        <v>13659.12</v>
      </c>
      <c r="C37">
        <f>_xlfn.XLOOKUP(Vlookup!A37,Amazon_Data_Set[Order ID],Amazon_Data_Set[Profit])</f>
        <v>4441.49</v>
      </c>
      <c r="D37" t="str">
        <f>INDEX('Amazon Data Set'!F:F,MATCH(Vlookup!A37,'Amazon Data Set'!A:A,0))</f>
        <v>Guwahati</v>
      </c>
    </row>
    <row r="38" spans="1:4">
      <c r="A38" s="16" t="s">
        <v>265</v>
      </c>
      <c r="B38">
        <f>VLOOKUP(A38,Amazon_Data_Set[],20,FALSE)</f>
        <v>482.78</v>
      </c>
      <c r="C38">
        <f>_xlfn.XLOOKUP(Vlookup!A38,Amazon_Data_Set[Order ID],Amazon_Data_Set[Profit])</f>
        <v>90.07</v>
      </c>
      <c r="D38" t="str">
        <f>INDEX('Amazon Data Set'!F:F,MATCH(Vlookup!A38,'Amazon Data Set'!A:A,0))</f>
        <v>Ahmedabad</v>
      </c>
    </row>
    <row r="39" spans="1:4">
      <c r="A39" s="17" t="s">
        <v>268</v>
      </c>
      <c r="B39">
        <f>VLOOKUP(A39,Amazon_Data_Set[],20,FALSE)</f>
        <v>4683</v>
      </c>
      <c r="C39">
        <f>_xlfn.XLOOKUP(Vlookup!A39,Amazon_Data_Set[Order ID],Amazon_Data_Set[Profit])</f>
        <v>1347.47</v>
      </c>
      <c r="D39" t="str">
        <f>INDEX('Amazon Data Set'!F:F,MATCH(Vlookup!A39,'Amazon Data Set'!A:A,0))</f>
        <v>Ahmedabad</v>
      </c>
    </row>
    <row r="40" spans="1:4">
      <c r="A40" s="16" t="s">
        <v>273</v>
      </c>
      <c r="B40">
        <f>VLOOKUP(A40,Amazon_Data_Set[],20,FALSE)</f>
        <v>695.12</v>
      </c>
      <c r="C40">
        <f>_xlfn.XLOOKUP(Vlookup!A40,Amazon_Data_Set[Order ID],Amazon_Data_Set[Profit])</f>
        <v>163.91</v>
      </c>
      <c r="D40" t="str">
        <f>INDEX('Amazon Data Set'!F:F,MATCH(Vlookup!A40,'Amazon Data Set'!A:A,0))</f>
        <v>Noida</v>
      </c>
    </row>
    <row r="41" spans="1:4">
      <c r="A41" s="17" t="s">
        <v>279</v>
      </c>
      <c r="B41">
        <f>VLOOKUP(A41,Amazon_Data_Set[],20,FALSE)</f>
        <v>2667.4</v>
      </c>
      <c r="C41">
        <f>_xlfn.XLOOKUP(Vlookup!A41,Amazon_Data_Set[Order ID],Amazon_Data_Set[Profit])</f>
        <v>1003.19</v>
      </c>
      <c r="D41" t="str">
        <f>INDEX('Amazon Data Set'!F:F,MATCH(Vlookup!A41,'Amazon Data Set'!A:A,0))</f>
        <v>Mysuru</v>
      </c>
    </row>
    <row r="42" spans="1:4">
      <c r="A42" s="16" t="s">
        <v>284</v>
      </c>
      <c r="B42">
        <f>VLOOKUP(A42,Amazon_Data_Set[],20,FALSE)</f>
        <v>2715.16</v>
      </c>
      <c r="C42">
        <f>_xlfn.XLOOKUP(Vlookup!A42,Amazon_Data_Set[Order ID],Amazon_Data_Set[Profit])</f>
        <v>939.78</v>
      </c>
      <c r="D42" t="str">
        <f>INDEX('Amazon Data Set'!F:F,MATCH(Vlookup!A42,'Amazon Data Set'!A:A,0))</f>
        <v>New Delhi</v>
      </c>
    </row>
    <row r="43" spans="1:4">
      <c r="A43" s="17" t="s">
        <v>287</v>
      </c>
      <c r="B43">
        <f>VLOOKUP(A43,Amazon_Data_Set[],20,FALSE)</f>
        <v>1950.96</v>
      </c>
      <c r="C43">
        <f>_xlfn.XLOOKUP(Vlookup!A43,Amazon_Data_Set[Order ID],Amazon_Data_Set[Profit])</f>
        <v>345.62</v>
      </c>
      <c r="D43" t="str">
        <f>INDEX('Amazon Data Set'!F:F,MATCH(Vlookup!A43,'Amazon Data Set'!A:A,0))</f>
        <v>Guwahati</v>
      </c>
    </row>
    <row r="44" spans="1:4">
      <c r="A44" s="16" t="s">
        <v>290</v>
      </c>
      <c r="B44">
        <f>VLOOKUP(A44,Amazon_Data_Set[],20,FALSE)</f>
        <v>8900.4500000000007</v>
      </c>
      <c r="C44">
        <f>_xlfn.XLOOKUP(Vlookup!A44,Amazon_Data_Set[Order ID],Amazon_Data_Set[Profit])</f>
        <v>3666.51</v>
      </c>
      <c r="D44" t="str">
        <f>INDEX('Amazon Data Set'!F:F,MATCH(Vlookup!A44,'Amazon Data Set'!A:A,0))</f>
        <v>Hyderabad</v>
      </c>
    </row>
    <row r="45" spans="1:4">
      <c r="A45" s="17" t="s">
        <v>295</v>
      </c>
      <c r="B45">
        <f>VLOOKUP(A45,Amazon_Data_Set[],20,FALSE)</f>
        <v>4337.49</v>
      </c>
      <c r="C45">
        <f>_xlfn.XLOOKUP(Vlookup!A45,Amazon_Data_Set[Order ID],Amazon_Data_Set[Profit])</f>
        <v>1375.43</v>
      </c>
      <c r="D45" t="str">
        <f>INDEX('Amazon Data Set'!F:F,MATCH(Vlookup!A45,'Amazon Data Set'!A:A,0))</f>
        <v>Noida</v>
      </c>
    </row>
    <row r="46" spans="1:4">
      <c r="A46" s="16" t="s">
        <v>300</v>
      </c>
      <c r="B46">
        <f>VLOOKUP(A46,Amazon_Data_Set[],20,FALSE)</f>
        <v>49311.26</v>
      </c>
      <c r="C46">
        <f>_xlfn.XLOOKUP(Vlookup!A46,Amazon_Data_Set[Order ID],Amazon_Data_Set[Profit])</f>
        <v>11652.28</v>
      </c>
      <c r="D46" t="str">
        <f>INDEX('Amazon Data Set'!F:F,MATCH(Vlookup!A46,'Amazon Data Set'!A:A,0))</f>
        <v>Jaipur</v>
      </c>
    </row>
    <row r="47" spans="1:4">
      <c r="A47" s="17" t="s">
        <v>303</v>
      </c>
      <c r="B47">
        <f>VLOOKUP(A47,Amazon_Data_Set[],20,FALSE)</f>
        <v>6156.1</v>
      </c>
      <c r="C47">
        <f>_xlfn.XLOOKUP(Vlookup!A47,Amazon_Data_Set[Order ID],Amazon_Data_Set[Profit])</f>
        <v>1213.6300000000001</v>
      </c>
      <c r="D47" t="str">
        <f>INDEX('Amazon Data Set'!F:F,MATCH(Vlookup!A47,'Amazon Data Set'!A:A,0))</f>
        <v>Jaipur</v>
      </c>
    </row>
    <row r="48" spans="1:4">
      <c r="A48" s="16" t="s">
        <v>306</v>
      </c>
      <c r="B48">
        <f>VLOOKUP(A48,Amazon_Data_Set[],20,FALSE)</f>
        <v>20435.439999999999</v>
      </c>
      <c r="C48">
        <f>_xlfn.XLOOKUP(Vlookup!A48,Amazon_Data_Set[Order ID],Amazon_Data_Set[Profit])</f>
        <v>3314.73</v>
      </c>
      <c r="D48" t="str">
        <f>INDEX('Amazon Data Set'!F:F,MATCH(Vlookup!A48,'Amazon Data Set'!A:A,0))</f>
        <v>New Delhi</v>
      </c>
    </row>
    <row r="49" spans="1:4">
      <c r="A49" s="17" t="s">
        <v>311</v>
      </c>
      <c r="B49">
        <f>VLOOKUP(A49,Amazon_Data_Set[],20,FALSE)</f>
        <v>1153.6300000000001</v>
      </c>
      <c r="C49">
        <f>_xlfn.XLOOKUP(Vlookup!A49,Amazon_Data_Set[Order ID],Amazon_Data_Set[Profit])</f>
        <v>306.63</v>
      </c>
      <c r="D49" t="str">
        <f>INDEX('Amazon Data Set'!F:F,MATCH(Vlookup!A49,'Amazon Data Set'!A:A,0))</f>
        <v>Chennai</v>
      </c>
    </row>
    <row r="50" spans="1:4">
      <c r="A50" s="16" t="s">
        <v>316</v>
      </c>
      <c r="B50">
        <f>VLOOKUP(A50,Amazon_Data_Set[],20,FALSE)</f>
        <v>894.18</v>
      </c>
      <c r="C50">
        <f>_xlfn.XLOOKUP(Vlookup!A50,Amazon_Data_Set[Order ID],Amazon_Data_Set[Profit])</f>
        <v>24.96</v>
      </c>
      <c r="D50" t="str">
        <f>INDEX('Amazon Data Set'!F:F,MATCH(Vlookup!A50,'Amazon Data Set'!A:A,0))</f>
        <v>Chennai</v>
      </c>
    </row>
    <row r="51" spans="1:4">
      <c r="A51" s="17" t="s">
        <v>321</v>
      </c>
      <c r="B51">
        <f>VLOOKUP(A51,Amazon_Data_Set[],20,FALSE)</f>
        <v>68032.55</v>
      </c>
      <c r="C51">
        <f>_xlfn.XLOOKUP(Vlookup!A51,Amazon_Data_Set[Order ID],Amazon_Data_Set[Profit])</f>
        <v>15567.68</v>
      </c>
      <c r="D51" t="str">
        <f>INDEX('Amazon Data Set'!F:F,MATCH(Vlookup!A51,'Amazon Data Set'!A:A,0))</f>
        <v>Jaipur</v>
      </c>
    </row>
    <row r="52" spans="1:4">
      <c r="A52" s="16" t="s">
        <v>324</v>
      </c>
      <c r="B52">
        <f>VLOOKUP(A52,Amazon_Data_Set[],20,FALSE)</f>
        <v>9451.68</v>
      </c>
      <c r="C52">
        <f>_xlfn.XLOOKUP(Vlookup!A52,Amazon_Data_Set[Order ID],Amazon_Data_Set[Profit])</f>
        <v>2923.26</v>
      </c>
      <c r="D52" t="str">
        <f>INDEX('Amazon Data Set'!F:F,MATCH(Vlookup!A52,'Amazon Data Set'!A:A,0))</f>
        <v>Jaipur</v>
      </c>
    </row>
    <row r="53" spans="1:4">
      <c r="A53" s="17" t="s">
        <v>327</v>
      </c>
      <c r="B53">
        <f>VLOOKUP(A53,Amazon_Data_Set[],20,FALSE)</f>
        <v>8590.16</v>
      </c>
      <c r="C53">
        <f>_xlfn.XLOOKUP(Vlookup!A53,Amazon_Data_Set[Order ID],Amazon_Data_Set[Profit])</f>
        <v>1654.5</v>
      </c>
      <c r="D53" t="str">
        <f>INDEX('Amazon Data Set'!F:F,MATCH(Vlookup!A53,'Amazon Data Set'!A:A,0))</f>
        <v>Hyderabad</v>
      </c>
    </row>
    <row r="54" spans="1:4">
      <c r="A54" s="16" t="s">
        <v>330</v>
      </c>
      <c r="B54">
        <f>VLOOKUP(A54,Amazon_Data_Set[],20,FALSE)</f>
        <v>860.76</v>
      </c>
      <c r="C54">
        <f>_xlfn.XLOOKUP(Vlookup!A54,Amazon_Data_Set[Order ID],Amazon_Data_Set[Profit])</f>
        <v>-41.9</v>
      </c>
      <c r="D54" t="str">
        <f>INDEX('Amazon Data Set'!F:F,MATCH(Vlookup!A54,'Amazon Data Set'!A:A,0))</f>
        <v>Gurugram</v>
      </c>
    </row>
    <row r="55" spans="1:4">
      <c r="A55" s="17" t="s">
        <v>335</v>
      </c>
      <c r="B55">
        <f>VLOOKUP(A55,Amazon_Data_Set[],20,FALSE)</f>
        <v>1246.95</v>
      </c>
      <c r="C55">
        <f>_xlfn.XLOOKUP(Vlookup!A55,Amazon_Data_Set[Order ID],Amazon_Data_Set[Profit])</f>
        <v>-10.29</v>
      </c>
      <c r="D55" t="str">
        <f>INDEX('Amazon Data Set'!F:F,MATCH(Vlookup!A55,'Amazon Data Set'!A:A,0))</f>
        <v>Chennai</v>
      </c>
    </row>
    <row r="56" spans="1:4">
      <c r="A56" s="16" t="s">
        <v>339</v>
      </c>
      <c r="B56">
        <f>VLOOKUP(A56,Amazon_Data_Set[],20,FALSE)</f>
        <v>1662.45</v>
      </c>
      <c r="C56">
        <f>_xlfn.XLOOKUP(Vlookup!A56,Amazon_Data_Set[Order ID],Amazon_Data_Set[Profit])</f>
        <v>228.59</v>
      </c>
      <c r="D56" t="str">
        <f>INDEX('Amazon Data Set'!F:F,MATCH(Vlookup!A56,'Amazon Data Set'!A:A,0))</f>
        <v>Noida</v>
      </c>
    </row>
    <row r="57" spans="1:4">
      <c r="A57" s="17" t="s">
        <v>342</v>
      </c>
      <c r="B57">
        <f>VLOOKUP(A57,Amazon_Data_Set[],20,FALSE)</f>
        <v>28377.8</v>
      </c>
      <c r="C57">
        <f>_xlfn.XLOOKUP(Vlookup!A57,Amazon_Data_Set[Order ID],Amazon_Data_Set[Profit])</f>
        <v>11576.32</v>
      </c>
      <c r="D57" t="str">
        <f>INDEX('Amazon Data Set'!F:F,MATCH(Vlookup!A57,'Amazon Data Set'!A:A,0))</f>
        <v>Chennai</v>
      </c>
    </row>
    <row r="58" spans="1:4">
      <c r="A58" s="16" t="s">
        <v>348</v>
      </c>
      <c r="B58">
        <f>VLOOKUP(A58,Amazon_Data_Set[],20,FALSE)</f>
        <v>14246.25</v>
      </c>
      <c r="C58">
        <f>_xlfn.XLOOKUP(Vlookup!A58,Amazon_Data_Set[Order ID],Amazon_Data_Set[Profit])</f>
        <v>3678.93</v>
      </c>
      <c r="D58" t="str">
        <f>INDEX('Amazon Data Set'!F:F,MATCH(Vlookup!A58,'Amazon Data Set'!A:A,0))</f>
        <v>Gurugram</v>
      </c>
    </row>
    <row r="59" spans="1:4">
      <c r="A59" s="17" t="s">
        <v>353</v>
      </c>
      <c r="B59">
        <f>VLOOKUP(A59,Amazon_Data_Set[],20,FALSE)</f>
        <v>5761.77</v>
      </c>
      <c r="C59">
        <f>_xlfn.XLOOKUP(Vlookup!A59,Amazon_Data_Set[Order ID],Amazon_Data_Set[Profit])</f>
        <v>1446.38</v>
      </c>
      <c r="D59" t="str">
        <f>INDEX('Amazon Data Set'!F:F,MATCH(Vlookup!A59,'Amazon Data Set'!A:A,0))</f>
        <v>Gurugram</v>
      </c>
    </row>
    <row r="60" spans="1:4">
      <c r="A60" s="16" t="s">
        <v>356</v>
      </c>
      <c r="B60">
        <f>VLOOKUP(A60,Amazon_Data_Set[],20,FALSE)</f>
        <v>2656.14</v>
      </c>
      <c r="C60">
        <f>_xlfn.XLOOKUP(Vlookup!A60,Amazon_Data_Set[Order ID],Amazon_Data_Set[Profit])</f>
        <v>978.75</v>
      </c>
      <c r="D60" t="str">
        <f>INDEX('Amazon Data Set'!F:F,MATCH(Vlookup!A60,'Amazon Data Set'!A:A,0))</f>
        <v>Pune</v>
      </c>
    </row>
    <row r="61" spans="1:4">
      <c r="A61" s="17" t="s">
        <v>359</v>
      </c>
      <c r="B61">
        <f>VLOOKUP(A61,Amazon_Data_Set[],20,FALSE)</f>
        <v>400</v>
      </c>
      <c r="C61">
        <f>_xlfn.XLOOKUP(Vlookup!A61,Amazon_Data_Set[Order ID],Amazon_Data_Set[Profit])</f>
        <v>-130.6</v>
      </c>
      <c r="D61" t="str">
        <f>INDEX('Amazon Data Set'!F:F,MATCH(Vlookup!A61,'Amazon Data Set'!A:A,0))</f>
        <v>Gurugram</v>
      </c>
    </row>
    <row r="62" spans="1:4">
      <c r="A62" s="16" t="s">
        <v>361</v>
      </c>
      <c r="B62">
        <f>VLOOKUP(A62,Amazon_Data_Set[],20,FALSE)</f>
        <v>24392.6</v>
      </c>
      <c r="C62">
        <f>_xlfn.XLOOKUP(Vlookup!A62,Amazon_Data_Set[Order ID],Amazon_Data_Set[Profit])</f>
        <v>6056.57</v>
      </c>
      <c r="D62" t="str">
        <f>INDEX('Amazon Data Set'!F:F,MATCH(Vlookup!A62,'Amazon Data Set'!A:A,0))</f>
        <v>Kolkata</v>
      </c>
    </row>
    <row r="63" spans="1:4">
      <c r="A63" s="17" t="s">
        <v>364</v>
      </c>
      <c r="B63">
        <f>VLOOKUP(A63,Amazon_Data_Set[],20,FALSE)</f>
        <v>59287.97</v>
      </c>
      <c r="C63">
        <f>_xlfn.XLOOKUP(Vlookup!A63,Amazon_Data_Set[Order ID],Amazon_Data_Set[Profit])</f>
        <v>23187.63</v>
      </c>
      <c r="D63" t="str">
        <f>INDEX('Amazon Data Set'!F:F,MATCH(Vlookup!A63,'Amazon Data Set'!A:A,0))</f>
        <v>Chennai</v>
      </c>
    </row>
    <row r="64" spans="1:4">
      <c r="A64" s="16" t="s">
        <v>369</v>
      </c>
      <c r="B64">
        <f>VLOOKUP(A64,Amazon_Data_Set[],20,FALSE)</f>
        <v>4388.04</v>
      </c>
      <c r="C64">
        <f>_xlfn.XLOOKUP(Vlookup!A64,Amazon_Data_Set[Order ID],Amazon_Data_Set[Profit])</f>
        <v>1247.44</v>
      </c>
      <c r="D64" t="str">
        <f>INDEX('Amazon Data Set'!F:F,MATCH(Vlookup!A64,'Amazon Data Set'!A:A,0))</f>
        <v>Jaipur</v>
      </c>
    </row>
    <row r="65" spans="1:4">
      <c r="A65" s="17" t="s">
        <v>371</v>
      </c>
      <c r="B65">
        <f>VLOOKUP(A65,Amazon_Data_Set[],20,FALSE)</f>
        <v>3022.36</v>
      </c>
      <c r="C65">
        <f>_xlfn.XLOOKUP(Vlookup!A65,Amazon_Data_Set[Order ID],Amazon_Data_Set[Profit])</f>
        <v>783.55</v>
      </c>
      <c r="D65" t="str">
        <f>INDEX('Amazon Data Set'!F:F,MATCH(Vlookup!A65,'Amazon Data Set'!A:A,0))</f>
        <v>Chennai</v>
      </c>
    </row>
    <row r="66" spans="1:4">
      <c r="A66" s="16" t="s">
        <v>376</v>
      </c>
      <c r="B66">
        <f>VLOOKUP(A66,Amazon_Data_Set[],20,FALSE)</f>
        <v>1108.28</v>
      </c>
      <c r="C66">
        <f>_xlfn.XLOOKUP(Vlookup!A66,Amazon_Data_Set[Order ID],Amazon_Data_Set[Profit])</f>
        <v>90.85</v>
      </c>
      <c r="D66" t="str">
        <f>INDEX('Amazon Data Set'!F:F,MATCH(Vlookup!A66,'Amazon Data Set'!A:A,0))</f>
        <v>New Delhi</v>
      </c>
    </row>
    <row r="67" spans="1:4">
      <c r="A67" s="17" t="s">
        <v>379</v>
      </c>
      <c r="B67">
        <f>VLOOKUP(A67,Amazon_Data_Set[],20,FALSE)</f>
        <v>10993.12</v>
      </c>
      <c r="C67">
        <f>_xlfn.XLOOKUP(Vlookup!A67,Amazon_Data_Set[Order ID],Amazon_Data_Set[Profit])</f>
        <v>3268.86</v>
      </c>
      <c r="D67" t="str">
        <f>INDEX('Amazon Data Set'!F:F,MATCH(Vlookup!A67,'Amazon Data Set'!A:A,0))</f>
        <v>Jaipur</v>
      </c>
    </row>
    <row r="68" spans="1:4">
      <c r="A68" s="16" t="s">
        <v>382</v>
      </c>
      <c r="B68">
        <f>VLOOKUP(A68,Amazon_Data_Set[],20,FALSE)</f>
        <v>2054.66</v>
      </c>
      <c r="C68">
        <f>_xlfn.XLOOKUP(Vlookup!A68,Amazon_Data_Set[Order ID],Amazon_Data_Set[Profit])</f>
        <v>705.54</v>
      </c>
      <c r="D68" t="str">
        <f>INDEX('Amazon Data Set'!F:F,MATCH(Vlookup!A68,'Amazon Data Set'!A:A,0))</f>
        <v>Bengaluru</v>
      </c>
    </row>
    <row r="69" spans="1:4">
      <c r="A69" s="17" t="s">
        <v>385</v>
      </c>
      <c r="B69">
        <f>VLOOKUP(A69,Amazon_Data_Set[],20,FALSE)</f>
        <v>3673.48</v>
      </c>
      <c r="C69">
        <f>_xlfn.XLOOKUP(Vlookup!A69,Amazon_Data_Set[Order ID],Amazon_Data_Set[Profit])</f>
        <v>1764.06</v>
      </c>
      <c r="D69" t="str">
        <f>INDEX('Amazon Data Set'!F:F,MATCH(Vlookup!A69,'Amazon Data Set'!A:A,0))</f>
        <v>Mysuru</v>
      </c>
    </row>
    <row r="70" spans="1:4">
      <c r="A70" s="16" t="s">
        <v>390</v>
      </c>
      <c r="B70">
        <f>VLOOKUP(A70,Amazon_Data_Set[],20,FALSE)</f>
        <v>817.82</v>
      </c>
      <c r="C70">
        <f>_xlfn.XLOOKUP(Vlookup!A70,Amazon_Data_Set[Order ID],Amazon_Data_Set[Profit])</f>
        <v>100.96</v>
      </c>
      <c r="D70" t="str">
        <f>INDEX('Amazon Data Set'!F:F,MATCH(Vlookup!A70,'Amazon Data Set'!A:A,0))</f>
        <v>New Delhi</v>
      </c>
    </row>
    <row r="71" spans="1:4">
      <c r="A71" s="17" t="s">
        <v>392</v>
      </c>
      <c r="B71">
        <f>VLOOKUP(A71,Amazon_Data_Set[],20,FALSE)</f>
        <v>7026.1</v>
      </c>
      <c r="C71">
        <f>_xlfn.XLOOKUP(Vlookup!A71,Amazon_Data_Set[Order ID],Amazon_Data_Set[Profit])</f>
        <v>2469.81</v>
      </c>
      <c r="D71" t="str">
        <f>INDEX('Amazon Data Set'!F:F,MATCH(Vlookup!A71,'Amazon Data Set'!A:A,0))</f>
        <v>Patna</v>
      </c>
    </row>
    <row r="72" spans="1:4">
      <c r="A72" s="16" t="s">
        <v>394</v>
      </c>
      <c r="B72">
        <f>VLOOKUP(A72,Amazon_Data_Set[],20,FALSE)</f>
        <v>28434.55</v>
      </c>
      <c r="C72">
        <f>_xlfn.XLOOKUP(Vlookup!A72,Amazon_Data_Set[Order ID],Amazon_Data_Set[Profit])</f>
        <v>6174.85</v>
      </c>
      <c r="D72" t="str">
        <f>INDEX('Amazon Data Set'!F:F,MATCH(Vlookup!A72,'Amazon Data Set'!A:A,0))</f>
        <v>Bengaluru</v>
      </c>
    </row>
    <row r="73" spans="1:4">
      <c r="A73" s="17" t="s">
        <v>396</v>
      </c>
      <c r="B73">
        <f>VLOOKUP(A73,Amazon_Data_Set[],20,FALSE)</f>
        <v>2470.88</v>
      </c>
      <c r="C73">
        <f>_xlfn.XLOOKUP(Vlookup!A73,Amazon_Data_Set[Order ID],Amazon_Data_Set[Profit])</f>
        <v>754.1</v>
      </c>
      <c r="D73" t="str">
        <f>INDEX('Amazon Data Set'!F:F,MATCH(Vlookup!A73,'Amazon Data Set'!A:A,0))</f>
        <v>Pune</v>
      </c>
    </row>
    <row r="74" spans="1:4">
      <c r="A74" s="16" t="s">
        <v>399</v>
      </c>
      <c r="B74">
        <f>VLOOKUP(A74,Amazon_Data_Set[],20,FALSE)</f>
        <v>3664.84</v>
      </c>
      <c r="C74">
        <f>_xlfn.XLOOKUP(Vlookup!A74,Amazon_Data_Set[Order ID],Amazon_Data_Set[Profit])</f>
        <v>1202.6199999999999</v>
      </c>
      <c r="D74" t="str">
        <f>INDEX('Amazon Data Set'!F:F,MATCH(Vlookup!A74,'Amazon Data Set'!A:A,0))</f>
        <v>New Delhi</v>
      </c>
    </row>
    <row r="75" spans="1:4">
      <c r="A75" s="17" t="s">
        <v>402</v>
      </c>
      <c r="B75">
        <f>VLOOKUP(A75,Amazon_Data_Set[],20,FALSE)</f>
        <v>1356.03</v>
      </c>
      <c r="C75">
        <f>_xlfn.XLOOKUP(Vlookup!A75,Amazon_Data_Set[Order ID],Amazon_Data_Set[Profit])</f>
        <v>391.25</v>
      </c>
      <c r="D75" t="str">
        <f>INDEX('Amazon Data Set'!F:F,MATCH(Vlookup!A75,'Amazon Data Set'!A:A,0))</f>
        <v>Kolkata</v>
      </c>
    </row>
    <row r="76" spans="1:4">
      <c r="A76" s="16" t="s">
        <v>405</v>
      </c>
      <c r="B76">
        <f>VLOOKUP(A76,Amazon_Data_Set[],20,FALSE)</f>
        <v>1911.09</v>
      </c>
      <c r="C76">
        <f>_xlfn.XLOOKUP(Vlookup!A76,Amazon_Data_Set[Order ID],Amazon_Data_Set[Profit])</f>
        <v>215.75</v>
      </c>
      <c r="D76" t="str">
        <f>INDEX('Amazon Data Set'!F:F,MATCH(Vlookup!A76,'Amazon Data Set'!A:A,0))</f>
        <v>Mysuru</v>
      </c>
    </row>
    <row r="77" spans="1:4">
      <c r="A77" s="17" t="s">
        <v>408</v>
      </c>
      <c r="B77">
        <f>VLOOKUP(A77,Amazon_Data_Set[],20,FALSE)</f>
        <v>11756.55</v>
      </c>
      <c r="C77">
        <f>_xlfn.XLOOKUP(Vlookup!A77,Amazon_Data_Set[Order ID],Amazon_Data_Set[Profit])</f>
        <v>3356.68</v>
      </c>
      <c r="D77" t="str">
        <f>INDEX('Amazon Data Set'!F:F,MATCH(Vlookup!A77,'Amazon Data Set'!A:A,0))</f>
        <v>Jaipur</v>
      </c>
    </row>
    <row r="78" spans="1:4">
      <c r="A78" s="16" t="s">
        <v>410</v>
      </c>
      <c r="B78">
        <f>VLOOKUP(A78,Amazon_Data_Set[],20,FALSE)</f>
        <v>28455.18</v>
      </c>
      <c r="C78">
        <f>_xlfn.XLOOKUP(Vlookup!A78,Amazon_Data_Set[Order ID],Amazon_Data_Set[Profit])</f>
        <v>9930.77</v>
      </c>
      <c r="D78" t="str">
        <f>INDEX('Amazon Data Set'!F:F,MATCH(Vlookup!A78,'Amazon Data Set'!A:A,0))</f>
        <v>Pune</v>
      </c>
    </row>
    <row r="79" spans="1:4">
      <c r="A79" s="17" t="s">
        <v>413</v>
      </c>
      <c r="B79">
        <f>VLOOKUP(A79,Amazon_Data_Set[],20,FALSE)</f>
        <v>2334.64</v>
      </c>
      <c r="C79">
        <f>_xlfn.XLOOKUP(Vlookup!A79,Amazon_Data_Set[Order ID],Amazon_Data_Set[Profit])</f>
        <v>773.67</v>
      </c>
      <c r="D79" t="str">
        <f>INDEX('Amazon Data Set'!F:F,MATCH(Vlookup!A79,'Amazon Data Set'!A:A,0))</f>
        <v>Gurugram</v>
      </c>
    </row>
    <row r="80" spans="1:4">
      <c r="A80" s="16" t="s">
        <v>416</v>
      </c>
      <c r="B80">
        <f>VLOOKUP(A80,Amazon_Data_Set[],20,FALSE)</f>
        <v>378.9</v>
      </c>
      <c r="C80">
        <f>_xlfn.XLOOKUP(Vlookup!A80,Amazon_Data_Set[Order ID],Amazon_Data_Set[Profit])</f>
        <v>116.1</v>
      </c>
      <c r="D80" t="str">
        <f>INDEX('Amazon Data Set'!F:F,MATCH(Vlookup!A80,'Amazon Data Set'!A:A,0))</f>
        <v>Kochi</v>
      </c>
    </row>
    <row r="81" spans="1:4">
      <c r="A81" s="17" t="s">
        <v>418</v>
      </c>
      <c r="B81">
        <f>VLOOKUP(A81,Amazon_Data_Set[],20,FALSE)</f>
        <v>1642.05</v>
      </c>
      <c r="C81">
        <f>_xlfn.XLOOKUP(Vlookup!A81,Amazon_Data_Set[Order ID],Amazon_Data_Set[Profit])</f>
        <v>279.17</v>
      </c>
      <c r="D81" t="str">
        <f>INDEX('Amazon Data Set'!F:F,MATCH(Vlookup!A81,'Amazon Data Set'!A:A,0))</f>
        <v>Ahmedabad</v>
      </c>
    </row>
    <row r="82" spans="1:4">
      <c r="A82" s="16" t="s">
        <v>420</v>
      </c>
      <c r="B82">
        <f>VLOOKUP(A82,Amazon_Data_Set[],20,FALSE)</f>
        <v>9316.1200000000008</v>
      </c>
      <c r="C82">
        <f>_xlfn.XLOOKUP(Vlookup!A82,Amazon_Data_Set[Order ID],Amazon_Data_Set[Profit])</f>
        <v>2224.23</v>
      </c>
      <c r="D82" t="str">
        <f>INDEX('Amazon Data Set'!F:F,MATCH(Vlookup!A82,'Amazon Data Set'!A:A,0))</f>
        <v>Ludhiana</v>
      </c>
    </row>
    <row r="83" spans="1:4">
      <c r="A83" s="17" t="s">
        <v>422</v>
      </c>
      <c r="B83">
        <f>VLOOKUP(A83,Amazon_Data_Set[],20,FALSE)</f>
        <v>2255</v>
      </c>
      <c r="C83">
        <f>_xlfn.XLOOKUP(Vlookup!A83,Amazon_Data_Set[Order ID],Amazon_Data_Set[Profit])</f>
        <v>361.5</v>
      </c>
      <c r="D83" t="str">
        <f>INDEX('Amazon Data Set'!F:F,MATCH(Vlookup!A83,'Amazon Data Set'!A:A,0))</f>
        <v>Kochi</v>
      </c>
    </row>
    <row r="84" spans="1:4">
      <c r="A84" s="16" t="s">
        <v>425</v>
      </c>
      <c r="B84">
        <f>VLOOKUP(A84,Amazon_Data_Set[],20,FALSE)</f>
        <v>22439.79</v>
      </c>
      <c r="C84">
        <f>_xlfn.XLOOKUP(Vlookup!A84,Amazon_Data_Set[Order ID],Amazon_Data_Set[Profit])</f>
        <v>7346.73</v>
      </c>
      <c r="D84" t="str">
        <f>INDEX('Amazon Data Set'!F:F,MATCH(Vlookup!A84,'Amazon Data Set'!A:A,0))</f>
        <v>Pune</v>
      </c>
    </row>
    <row r="85" spans="1:4">
      <c r="A85" s="17" t="s">
        <v>428</v>
      </c>
      <c r="B85">
        <f>VLOOKUP(A85,Amazon_Data_Set[],20,FALSE)</f>
        <v>3976.6</v>
      </c>
      <c r="C85">
        <f>_xlfn.XLOOKUP(Vlookup!A85,Amazon_Data_Set[Order ID],Amazon_Data_Set[Profit])</f>
        <v>1573.97</v>
      </c>
      <c r="D85" t="str">
        <f>INDEX('Amazon Data Set'!F:F,MATCH(Vlookup!A85,'Amazon Data Set'!A:A,0))</f>
        <v>Pune</v>
      </c>
    </row>
    <row r="86" spans="1:4">
      <c r="A86" s="16" t="s">
        <v>431</v>
      </c>
      <c r="B86">
        <f>VLOOKUP(A86,Amazon_Data_Set[],20,FALSE)</f>
        <v>14527.53</v>
      </c>
      <c r="C86">
        <f>_xlfn.XLOOKUP(Vlookup!A86,Amazon_Data_Set[Order ID],Amazon_Data_Set[Profit])</f>
        <v>3944.46</v>
      </c>
      <c r="D86" t="str">
        <f>INDEX('Amazon Data Set'!F:F,MATCH(Vlookup!A86,'Amazon Data Set'!A:A,0))</f>
        <v>Ahmedabad</v>
      </c>
    </row>
    <row r="87" spans="1:4">
      <c r="A87" s="17" t="s">
        <v>433</v>
      </c>
      <c r="B87">
        <f>VLOOKUP(A87,Amazon_Data_Set[],20,FALSE)</f>
        <v>9086.44</v>
      </c>
      <c r="C87">
        <f>_xlfn.XLOOKUP(Vlookup!A87,Amazon_Data_Set[Order ID],Amazon_Data_Set[Profit])</f>
        <v>3889.76</v>
      </c>
      <c r="D87" t="str">
        <f>INDEX('Amazon Data Set'!F:F,MATCH(Vlookup!A87,'Amazon Data Set'!A:A,0))</f>
        <v>Chennai</v>
      </c>
    </row>
    <row r="88" spans="1:4">
      <c r="A88" s="16" t="s">
        <v>436</v>
      </c>
      <c r="B88">
        <f>VLOOKUP(A88,Amazon_Data_Set[],20,FALSE)</f>
        <v>1104.3900000000001</v>
      </c>
      <c r="C88">
        <f>_xlfn.XLOOKUP(Vlookup!A88,Amazon_Data_Set[Order ID],Amazon_Data_Set[Profit])</f>
        <v>199.04</v>
      </c>
      <c r="D88" t="str">
        <f>INDEX('Amazon Data Set'!F:F,MATCH(Vlookup!A88,'Amazon Data Set'!A:A,0))</f>
        <v>Kolkata</v>
      </c>
    </row>
    <row r="89" spans="1:4">
      <c r="A89" s="17" t="s">
        <v>439</v>
      </c>
      <c r="B89">
        <f>VLOOKUP(A89,Amazon_Data_Set[],20,FALSE)</f>
        <v>6255.32</v>
      </c>
      <c r="C89">
        <f>_xlfn.XLOOKUP(Vlookup!A89,Amazon_Data_Set[Order ID],Amazon_Data_Set[Profit])</f>
        <v>1102.33</v>
      </c>
      <c r="D89" t="str">
        <f>INDEX('Amazon Data Set'!F:F,MATCH(Vlookup!A89,'Amazon Data Set'!A:A,0))</f>
        <v>Bhubaneswar</v>
      </c>
    </row>
    <row r="90" spans="1:4">
      <c r="A90" s="16" t="s">
        <v>441</v>
      </c>
      <c r="B90">
        <f>VLOOKUP(A90,Amazon_Data_Set[],20,FALSE)</f>
        <v>4651</v>
      </c>
      <c r="C90">
        <f>_xlfn.XLOOKUP(Vlookup!A90,Amazon_Data_Set[Order ID],Amazon_Data_Set[Profit])</f>
        <v>1656.43</v>
      </c>
      <c r="D90" t="str">
        <f>INDEX('Amazon Data Set'!F:F,MATCH(Vlookup!A90,'Amazon Data Set'!A:A,0))</f>
        <v>Patna</v>
      </c>
    </row>
    <row r="91" spans="1:4">
      <c r="A91" s="17" t="s">
        <v>446</v>
      </c>
      <c r="B91">
        <f>VLOOKUP(A91,Amazon_Data_Set[],20,FALSE)</f>
        <v>48487.5</v>
      </c>
      <c r="C91">
        <f>_xlfn.XLOOKUP(Vlookup!A91,Amazon_Data_Set[Order ID],Amazon_Data_Set[Profit])</f>
        <v>22391.48</v>
      </c>
      <c r="D91" t="str">
        <f>INDEX('Amazon Data Set'!F:F,MATCH(Vlookup!A91,'Amazon Data Set'!A:A,0))</f>
        <v>Guwahati</v>
      </c>
    </row>
    <row r="92" spans="1:4">
      <c r="A92" s="16" t="s">
        <v>450</v>
      </c>
      <c r="B92">
        <f>VLOOKUP(A92,Amazon_Data_Set[],20,FALSE)</f>
        <v>1700.57</v>
      </c>
      <c r="C92">
        <f>_xlfn.XLOOKUP(Vlookup!A92,Amazon_Data_Set[Order ID],Amazon_Data_Set[Profit])</f>
        <v>514.66</v>
      </c>
      <c r="D92" t="str">
        <f>INDEX('Amazon Data Set'!F:F,MATCH(Vlookup!A92,'Amazon Data Set'!A:A,0))</f>
        <v>Mysuru</v>
      </c>
    </row>
    <row r="93" spans="1:4">
      <c r="A93" s="17" t="s">
        <v>452</v>
      </c>
      <c r="B93">
        <f>VLOOKUP(A93,Amazon_Data_Set[],20,FALSE)</f>
        <v>121722.78</v>
      </c>
      <c r="C93">
        <f>_xlfn.XLOOKUP(Vlookup!A93,Amazon_Data_Set[Order ID],Amazon_Data_Set[Profit])</f>
        <v>27063.63</v>
      </c>
      <c r="D93" t="str">
        <f>INDEX('Amazon Data Set'!F:F,MATCH(Vlookup!A93,'Amazon Data Set'!A:A,0))</f>
        <v>Jaipur</v>
      </c>
    </row>
    <row r="94" spans="1:4">
      <c r="A94" s="16" t="s">
        <v>454</v>
      </c>
      <c r="B94">
        <f>VLOOKUP(A94,Amazon_Data_Set[],20,FALSE)</f>
        <v>13479.64</v>
      </c>
      <c r="C94">
        <f>_xlfn.XLOOKUP(Vlookup!A94,Amazon_Data_Set[Order ID],Amazon_Data_Set[Profit])</f>
        <v>4635.7700000000004</v>
      </c>
      <c r="D94" t="str">
        <f>INDEX('Amazon Data Set'!F:F,MATCH(Vlookup!A94,'Amazon Data Set'!A:A,0))</f>
        <v>Ahmedabad</v>
      </c>
    </row>
    <row r="95" spans="1:4">
      <c r="A95" s="17" t="s">
        <v>457</v>
      </c>
      <c r="B95">
        <f>VLOOKUP(A95,Amazon_Data_Set[],20,FALSE)</f>
        <v>8311.35</v>
      </c>
      <c r="C95">
        <f>_xlfn.XLOOKUP(Vlookup!A95,Amazon_Data_Set[Order ID],Amazon_Data_Set[Profit])</f>
        <v>2694.76</v>
      </c>
      <c r="D95" t="str">
        <f>INDEX('Amazon Data Set'!F:F,MATCH(Vlookup!A95,'Amazon Data Set'!A:A,0))</f>
        <v>Kochi</v>
      </c>
    </row>
    <row r="96" spans="1:4">
      <c r="A96" s="16" t="s">
        <v>459</v>
      </c>
      <c r="B96">
        <f>VLOOKUP(A96,Amazon_Data_Set[],20,FALSE)</f>
        <v>12147.5</v>
      </c>
      <c r="C96">
        <f>_xlfn.XLOOKUP(Vlookup!A96,Amazon_Data_Set[Order ID],Amazon_Data_Set[Profit])</f>
        <v>3872.81</v>
      </c>
      <c r="D96" t="str">
        <f>INDEX('Amazon Data Set'!F:F,MATCH(Vlookup!A96,'Amazon Data Set'!A:A,0))</f>
        <v>Bengaluru</v>
      </c>
    </row>
    <row r="97" spans="1:4">
      <c r="A97" s="17" t="s">
        <v>461</v>
      </c>
      <c r="B97">
        <f>VLOOKUP(A97,Amazon_Data_Set[],20,FALSE)</f>
        <v>5178.1499999999996</v>
      </c>
      <c r="C97">
        <f>_xlfn.XLOOKUP(Vlookup!A97,Amazon_Data_Set[Order ID],Amazon_Data_Set[Profit])</f>
        <v>1472.63</v>
      </c>
      <c r="D97" t="str">
        <f>INDEX('Amazon Data Set'!F:F,MATCH(Vlookup!A97,'Amazon Data Set'!A:A,0))</f>
        <v>Kolkata</v>
      </c>
    </row>
    <row r="98" spans="1:4">
      <c r="A98" s="16" t="s">
        <v>464</v>
      </c>
      <c r="B98">
        <f>VLOOKUP(A98,Amazon_Data_Set[],20,FALSE)</f>
        <v>2250.0300000000002</v>
      </c>
      <c r="C98">
        <f>_xlfn.XLOOKUP(Vlookup!A98,Amazon_Data_Set[Order ID],Amazon_Data_Set[Profit])</f>
        <v>687.7</v>
      </c>
      <c r="D98" t="str">
        <f>INDEX('Amazon Data Set'!F:F,MATCH(Vlookup!A98,'Amazon Data Set'!A:A,0))</f>
        <v>Mysuru</v>
      </c>
    </row>
    <row r="99" spans="1:4">
      <c r="A99" s="17" t="s">
        <v>467</v>
      </c>
      <c r="B99">
        <f>VLOOKUP(A99,Amazon_Data_Set[],20,FALSE)</f>
        <v>4392.8100000000004</v>
      </c>
      <c r="C99">
        <f>_xlfn.XLOOKUP(Vlookup!A99,Amazon_Data_Set[Order ID],Amazon_Data_Set[Profit])</f>
        <v>1472.58</v>
      </c>
      <c r="D99" t="str">
        <f>INDEX('Amazon Data Set'!F:F,MATCH(Vlookup!A99,'Amazon Data Set'!A:A,0))</f>
        <v>Ahmedabad</v>
      </c>
    </row>
    <row r="100" spans="1:4">
      <c r="A100" s="16" t="s">
        <v>470</v>
      </c>
      <c r="B100">
        <f>VLOOKUP(A100,Amazon_Data_Set[],20,FALSE)</f>
        <v>2536.52</v>
      </c>
      <c r="C100">
        <f>_xlfn.XLOOKUP(Vlookup!A100,Amazon_Data_Set[Order ID],Amazon_Data_Set[Profit])</f>
        <v>977.12</v>
      </c>
      <c r="D100" t="str">
        <f>INDEX('Amazon Data Set'!F:F,MATCH(Vlookup!A100,'Amazon Data Set'!A:A,0))</f>
        <v>Kolkata</v>
      </c>
    </row>
    <row r="101" spans="1:4">
      <c r="A101" s="17" t="s">
        <v>473</v>
      </c>
      <c r="B101">
        <f>VLOOKUP(A101,Amazon_Data_Set[],20,FALSE)</f>
        <v>1435.1</v>
      </c>
      <c r="C101">
        <f>_xlfn.XLOOKUP(Vlookup!A101,Amazon_Data_Set[Order ID],Amazon_Data_Set[Profit])</f>
        <v>323.43</v>
      </c>
      <c r="D101" t="str">
        <f>INDEX('Amazon Data Set'!F:F,MATCH(Vlookup!A101,'Amazon Data Set'!A:A,0))</f>
        <v>Ahmedabad</v>
      </c>
    </row>
    <row r="102" spans="1:4">
      <c r="A102" s="16" t="s">
        <v>478</v>
      </c>
      <c r="B102">
        <f>VLOOKUP(A102,Amazon_Data_Set[],20,FALSE)</f>
        <v>235.06</v>
      </c>
      <c r="C102">
        <f>_xlfn.XLOOKUP(Vlookup!A102,Amazon_Data_Set[Order ID],Amazon_Data_Set[Profit])</f>
        <v>-75.650000000000006</v>
      </c>
      <c r="D102" t="str">
        <f>INDEX('Amazon Data Set'!F:F,MATCH(Vlookup!A102,'Amazon Data Set'!A:A,0))</f>
        <v>Jaipur</v>
      </c>
    </row>
    <row r="103" spans="1:4">
      <c r="A103" s="17" t="s">
        <v>481</v>
      </c>
      <c r="B103">
        <f>VLOOKUP(A103,Amazon_Data_Set[],20,FALSE)</f>
        <v>288346.90000000002</v>
      </c>
      <c r="C103">
        <f>_xlfn.XLOOKUP(Vlookup!A103,Amazon_Data_Set[Order ID],Amazon_Data_Set[Profit])</f>
        <v>79941.679999999993</v>
      </c>
      <c r="D103" t="str">
        <f>INDEX('Amazon Data Set'!F:F,MATCH(Vlookup!A103,'Amazon Data Set'!A:A,0))</f>
        <v>Jaipur</v>
      </c>
    </row>
    <row r="104" spans="1:4">
      <c r="A104" s="16" t="s">
        <v>483</v>
      </c>
      <c r="B104">
        <f>VLOOKUP(A104,Amazon_Data_Set[],20,FALSE)</f>
        <v>246671.6</v>
      </c>
      <c r="C104">
        <f>_xlfn.XLOOKUP(Vlookup!A104,Amazon_Data_Set[Order ID],Amazon_Data_Set[Profit])</f>
        <v>50489.52</v>
      </c>
      <c r="D104" t="str">
        <f>INDEX('Amazon Data Set'!F:F,MATCH(Vlookup!A104,'Amazon Data Set'!A:A,0))</f>
        <v>Kolkata</v>
      </c>
    </row>
    <row r="105" spans="1:4">
      <c r="A105" s="17" t="s">
        <v>485</v>
      </c>
      <c r="B105">
        <f>VLOOKUP(A105,Amazon_Data_Set[],20,FALSE)</f>
        <v>14610.51</v>
      </c>
      <c r="C105">
        <f>_xlfn.XLOOKUP(Vlookup!A105,Amazon_Data_Set[Order ID],Amazon_Data_Set[Profit])</f>
        <v>4213.1099999999997</v>
      </c>
      <c r="D105" t="str">
        <f>INDEX('Amazon Data Set'!F:F,MATCH(Vlookup!A105,'Amazon Data Set'!A:A,0))</f>
        <v>Ahmedabad</v>
      </c>
    </row>
    <row r="106" spans="1:4">
      <c r="A106" s="16" t="s">
        <v>488</v>
      </c>
      <c r="B106">
        <f>VLOOKUP(A106,Amazon_Data_Set[],20,FALSE)</f>
        <v>302.10000000000002</v>
      </c>
      <c r="C106">
        <f>_xlfn.XLOOKUP(Vlookup!A106,Amazon_Data_Set[Order ID],Amazon_Data_Set[Profit])</f>
        <v>61.98</v>
      </c>
      <c r="D106" t="str">
        <f>INDEX('Amazon Data Set'!F:F,MATCH(Vlookup!A106,'Amazon Data Set'!A:A,0))</f>
        <v>Noida</v>
      </c>
    </row>
    <row r="107" spans="1:4">
      <c r="A107" s="17" t="s">
        <v>490</v>
      </c>
      <c r="B107">
        <f>VLOOKUP(A107,Amazon_Data_Set[],20,FALSE)</f>
        <v>609.32000000000005</v>
      </c>
      <c r="C107">
        <f>_xlfn.XLOOKUP(Vlookup!A107,Amazon_Data_Set[Order ID],Amazon_Data_Set[Profit])</f>
        <v>56.03</v>
      </c>
      <c r="D107" t="str">
        <f>INDEX('Amazon Data Set'!F:F,MATCH(Vlookup!A107,'Amazon Data Set'!A:A,0))</f>
        <v>Mumbai</v>
      </c>
    </row>
    <row r="108" spans="1:4">
      <c r="A108" s="16" t="s">
        <v>492</v>
      </c>
      <c r="B108">
        <f>VLOOKUP(A108,Amazon_Data_Set[],20,FALSE)</f>
        <v>217.8</v>
      </c>
      <c r="C108">
        <f>_xlfn.XLOOKUP(Vlookup!A108,Amazon_Data_Set[Order ID],Amazon_Data_Set[Profit])</f>
        <v>-48.5</v>
      </c>
      <c r="D108" t="str">
        <f>INDEX('Amazon Data Set'!F:F,MATCH(Vlookup!A108,'Amazon Data Set'!A:A,0))</f>
        <v>Bhubaneswar</v>
      </c>
    </row>
    <row r="109" spans="1:4">
      <c r="A109" s="17" t="s">
        <v>494</v>
      </c>
      <c r="B109">
        <f>VLOOKUP(A109,Amazon_Data_Set[],20,FALSE)</f>
        <v>803.86</v>
      </c>
      <c r="C109">
        <f>_xlfn.XLOOKUP(Vlookup!A109,Amazon_Data_Set[Order ID],Amazon_Data_Set[Profit])</f>
        <v>-29.06</v>
      </c>
      <c r="D109" t="str">
        <f>INDEX('Amazon Data Set'!F:F,MATCH(Vlookup!A109,'Amazon Data Set'!A:A,0))</f>
        <v>Kochi</v>
      </c>
    </row>
    <row r="110" spans="1:4">
      <c r="A110" s="16" t="s">
        <v>497</v>
      </c>
      <c r="B110">
        <f>VLOOKUP(A110,Amazon_Data_Set[],20,FALSE)</f>
        <v>7120.53</v>
      </c>
      <c r="C110">
        <f>_xlfn.XLOOKUP(Vlookup!A110,Amazon_Data_Set[Order ID],Amazon_Data_Set[Profit])</f>
        <v>1681.18</v>
      </c>
      <c r="D110" t="str">
        <f>INDEX('Amazon Data Set'!F:F,MATCH(Vlookup!A110,'Amazon Data Set'!A:A,0))</f>
        <v>Bhubaneswar</v>
      </c>
    </row>
    <row r="111" spans="1:4">
      <c r="A111" s="17" t="s">
        <v>500</v>
      </c>
      <c r="B111">
        <f>VLOOKUP(A111,Amazon_Data_Set[],20,FALSE)</f>
        <v>9563.92</v>
      </c>
      <c r="C111">
        <f>_xlfn.XLOOKUP(Vlookup!A111,Amazon_Data_Set[Order ID],Amazon_Data_Set[Profit])</f>
        <v>3412.62</v>
      </c>
      <c r="D111" t="str">
        <f>INDEX('Amazon Data Set'!F:F,MATCH(Vlookup!A111,'Amazon Data Set'!A:A,0))</f>
        <v>Chennai</v>
      </c>
    </row>
    <row r="112" spans="1:4">
      <c r="A112" s="16" t="s">
        <v>503</v>
      </c>
      <c r="B112">
        <f>VLOOKUP(A112,Amazon_Data_Set[],20,FALSE)</f>
        <v>1659.92</v>
      </c>
      <c r="C112">
        <f>_xlfn.XLOOKUP(Vlookup!A112,Amazon_Data_Set[Order ID],Amazon_Data_Set[Profit])</f>
        <v>233.46</v>
      </c>
      <c r="D112" t="str">
        <f>INDEX('Amazon Data Set'!F:F,MATCH(Vlookup!A112,'Amazon Data Set'!A:A,0))</f>
        <v>Kolkata</v>
      </c>
    </row>
    <row r="113" spans="1:4">
      <c r="A113" s="17" t="s">
        <v>506</v>
      </c>
      <c r="B113">
        <f>VLOOKUP(A113,Amazon_Data_Set[],20,FALSE)</f>
        <v>2048.35</v>
      </c>
      <c r="C113">
        <f>_xlfn.XLOOKUP(Vlookup!A113,Amazon_Data_Set[Order ID],Amazon_Data_Set[Profit])</f>
        <v>670.53</v>
      </c>
      <c r="D113" t="str">
        <f>INDEX('Amazon Data Set'!F:F,MATCH(Vlookup!A113,'Amazon Data Set'!A:A,0))</f>
        <v>Chennai</v>
      </c>
    </row>
    <row r="114" spans="1:4">
      <c r="A114" s="16" t="s">
        <v>509</v>
      </c>
      <c r="B114">
        <f>VLOOKUP(A114,Amazon_Data_Set[],20,FALSE)</f>
        <v>15145.56</v>
      </c>
      <c r="C114">
        <f>_xlfn.XLOOKUP(Vlookup!A114,Amazon_Data_Set[Order ID],Amazon_Data_Set[Profit])</f>
        <v>6129.98</v>
      </c>
      <c r="D114" t="str">
        <f>INDEX('Amazon Data Set'!F:F,MATCH(Vlookup!A114,'Amazon Data Set'!A:A,0))</f>
        <v>Mysuru</v>
      </c>
    </row>
    <row r="115" spans="1:4">
      <c r="A115" s="17" t="s">
        <v>514</v>
      </c>
      <c r="B115">
        <f>VLOOKUP(A115,Amazon_Data_Set[],20,FALSE)</f>
        <v>2269.8000000000002</v>
      </c>
      <c r="C115">
        <f>_xlfn.XLOOKUP(Vlookup!A115,Amazon_Data_Set[Order ID],Amazon_Data_Set[Profit])</f>
        <v>817.67</v>
      </c>
      <c r="D115" t="str">
        <f>INDEX('Amazon Data Set'!F:F,MATCH(Vlookup!A115,'Amazon Data Set'!A:A,0))</f>
        <v>Bengaluru</v>
      </c>
    </row>
    <row r="116" spans="1:4">
      <c r="A116" s="16" t="s">
        <v>517</v>
      </c>
      <c r="B116">
        <f>VLOOKUP(A116,Amazon_Data_Set[],20,FALSE)</f>
        <v>921.65</v>
      </c>
      <c r="C116">
        <f>_xlfn.XLOOKUP(Vlookup!A116,Amazon_Data_Set[Order ID],Amazon_Data_Set[Profit])</f>
        <v>144.97999999999999</v>
      </c>
      <c r="D116" t="str">
        <f>INDEX('Amazon Data Set'!F:F,MATCH(Vlookup!A116,'Amazon Data Set'!A:A,0))</f>
        <v>Mumbai</v>
      </c>
    </row>
    <row r="117" spans="1:4">
      <c r="A117" s="17" t="s">
        <v>521</v>
      </c>
      <c r="B117">
        <f>VLOOKUP(A117,Amazon_Data_Set[],20,FALSE)</f>
        <v>402.57</v>
      </c>
      <c r="C117">
        <f>_xlfn.XLOOKUP(Vlookup!A117,Amazon_Data_Set[Order ID],Amazon_Data_Set[Profit])</f>
        <v>28.23</v>
      </c>
      <c r="D117" t="str">
        <f>INDEX('Amazon Data Set'!F:F,MATCH(Vlookup!A117,'Amazon Data Set'!A:A,0))</f>
        <v>Pune</v>
      </c>
    </row>
    <row r="118" spans="1:4">
      <c r="A118" s="16" t="s">
        <v>523</v>
      </c>
      <c r="B118">
        <f>VLOOKUP(A118,Amazon_Data_Set[],20,FALSE)</f>
        <v>568.14</v>
      </c>
      <c r="C118">
        <f>_xlfn.XLOOKUP(Vlookup!A118,Amazon_Data_Set[Order ID],Amazon_Data_Set[Profit])</f>
        <v>128.79</v>
      </c>
      <c r="D118" t="str">
        <f>INDEX('Amazon Data Set'!F:F,MATCH(Vlookup!A118,'Amazon Data Set'!A:A,0))</f>
        <v>Pune</v>
      </c>
    </row>
    <row r="119" spans="1:4">
      <c r="A119" s="17" t="s">
        <v>526</v>
      </c>
      <c r="B119">
        <f>VLOOKUP(A119,Amazon_Data_Set[],20,FALSE)</f>
        <v>1467.99</v>
      </c>
      <c r="C119">
        <f>_xlfn.XLOOKUP(Vlookup!A119,Amazon_Data_Set[Order ID],Amazon_Data_Set[Profit])</f>
        <v>340.14</v>
      </c>
      <c r="D119" t="str">
        <f>INDEX('Amazon Data Set'!F:F,MATCH(Vlookup!A119,'Amazon Data Set'!A:A,0))</f>
        <v>Bengaluru</v>
      </c>
    </row>
    <row r="120" spans="1:4">
      <c r="A120" s="16" t="s">
        <v>531</v>
      </c>
      <c r="B120">
        <f>VLOOKUP(A120,Amazon_Data_Set[],20,FALSE)</f>
        <v>29563.17</v>
      </c>
      <c r="C120">
        <f>_xlfn.XLOOKUP(Vlookup!A120,Amazon_Data_Set[Order ID],Amazon_Data_Set[Profit])</f>
        <v>5291.55</v>
      </c>
      <c r="D120" t="str">
        <f>INDEX('Amazon Data Set'!F:F,MATCH(Vlookup!A120,'Amazon Data Set'!A:A,0))</f>
        <v>Ahmedabad</v>
      </c>
    </row>
    <row r="121" spans="1:4">
      <c r="A121" s="17" t="s">
        <v>533</v>
      </c>
      <c r="B121">
        <f>VLOOKUP(A121,Amazon_Data_Set[],20,FALSE)</f>
        <v>803.68</v>
      </c>
      <c r="C121">
        <f>_xlfn.XLOOKUP(Vlookup!A121,Amazon_Data_Set[Order ID],Amazon_Data_Set[Profit])</f>
        <v>60.85</v>
      </c>
      <c r="D121" t="str">
        <f>INDEX('Amazon Data Set'!F:F,MATCH(Vlookup!A121,'Amazon Data Set'!A:A,0))</f>
        <v>Kolkata</v>
      </c>
    </row>
    <row r="122" spans="1:4">
      <c r="A122" s="16" t="s">
        <v>536</v>
      </c>
      <c r="B122">
        <f>VLOOKUP(A122,Amazon_Data_Set[],20,FALSE)</f>
        <v>1652.25</v>
      </c>
      <c r="C122">
        <f>_xlfn.XLOOKUP(Vlookup!A122,Amazon_Data_Set[Order ID],Amazon_Data_Set[Profit])</f>
        <v>336.22</v>
      </c>
      <c r="D122" t="str">
        <f>INDEX('Amazon Data Set'!F:F,MATCH(Vlookup!A122,'Amazon Data Set'!A:A,0))</f>
        <v>Mumbai</v>
      </c>
    </row>
    <row r="123" spans="1:4">
      <c r="A123" s="17" t="s">
        <v>539</v>
      </c>
      <c r="B123">
        <f>VLOOKUP(A123,Amazon_Data_Set[],20,FALSE)</f>
        <v>621.41999999999996</v>
      </c>
      <c r="C123">
        <f>_xlfn.XLOOKUP(Vlookup!A123,Amazon_Data_Set[Order ID],Amazon_Data_Set[Profit])</f>
        <v>14.3</v>
      </c>
      <c r="D123" t="str">
        <f>INDEX('Amazon Data Set'!F:F,MATCH(Vlookup!A123,'Amazon Data Set'!A:A,0))</f>
        <v>Hyderabad</v>
      </c>
    </row>
    <row r="124" spans="1:4">
      <c r="A124" s="16" t="s">
        <v>541</v>
      </c>
      <c r="B124">
        <f>VLOOKUP(A124,Amazon_Data_Set[],20,FALSE)</f>
        <v>20014.48</v>
      </c>
      <c r="C124">
        <f>_xlfn.XLOOKUP(Vlookup!A124,Amazon_Data_Set[Order ID],Amazon_Data_Set[Profit])</f>
        <v>7687.68</v>
      </c>
      <c r="D124" t="str">
        <f>INDEX('Amazon Data Set'!F:F,MATCH(Vlookup!A124,'Amazon Data Set'!A:A,0))</f>
        <v>Bengaluru</v>
      </c>
    </row>
    <row r="125" spans="1:4">
      <c r="A125" s="17" t="s">
        <v>543</v>
      </c>
      <c r="B125">
        <f>VLOOKUP(A125,Amazon_Data_Set[],20,FALSE)</f>
        <v>33588.61</v>
      </c>
      <c r="C125">
        <f>_xlfn.XLOOKUP(Vlookup!A125,Amazon_Data_Set[Order ID],Amazon_Data_Set[Profit])</f>
        <v>9459.9599999999991</v>
      </c>
      <c r="D125" t="str">
        <f>INDEX('Amazon Data Set'!F:F,MATCH(Vlookup!A125,'Amazon Data Set'!A:A,0))</f>
        <v>Mysuru</v>
      </c>
    </row>
    <row r="126" spans="1:4">
      <c r="A126" s="16" t="s">
        <v>546</v>
      </c>
      <c r="B126">
        <f>VLOOKUP(A126,Amazon_Data_Set[],20,FALSE)</f>
        <v>3480.84</v>
      </c>
      <c r="C126">
        <f>_xlfn.XLOOKUP(Vlookup!A126,Amazon_Data_Set[Order ID],Amazon_Data_Set[Profit])</f>
        <v>816.34</v>
      </c>
      <c r="D126" t="str">
        <f>INDEX('Amazon Data Set'!F:F,MATCH(Vlookup!A126,'Amazon Data Set'!A:A,0))</f>
        <v>Gurugram</v>
      </c>
    </row>
    <row r="127" spans="1:4">
      <c r="A127" s="17" t="s">
        <v>549</v>
      </c>
      <c r="B127">
        <f>VLOOKUP(A127,Amazon_Data_Set[],20,FALSE)</f>
        <v>3690.62</v>
      </c>
      <c r="C127">
        <f>_xlfn.XLOOKUP(Vlookup!A127,Amazon_Data_Set[Order ID],Amazon_Data_Set[Profit])</f>
        <v>1062.04</v>
      </c>
      <c r="D127" t="str">
        <f>INDEX('Amazon Data Set'!F:F,MATCH(Vlookup!A127,'Amazon Data Set'!A:A,0))</f>
        <v>Ahmedabad</v>
      </c>
    </row>
    <row r="128" spans="1:4">
      <c r="A128" s="16" t="s">
        <v>552</v>
      </c>
      <c r="B128">
        <f>VLOOKUP(A128,Amazon_Data_Set[],20,FALSE)</f>
        <v>7564.72</v>
      </c>
      <c r="C128">
        <f>_xlfn.XLOOKUP(Vlookup!A128,Amazon_Data_Set[Order ID],Amazon_Data_Set[Profit])</f>
        <v>1798.71</v>
      </c>
      <c r="D128" t="str">
        <f>INDEX('Amazon Data Set'!F:F,MATCH(Vlookup!A128,'Amazon Data Set'!A:A,0))</f>
        <v>Mysuru</v>
      </c>
    </row>
    <row r="129" spans="1:4">
      <c r="A129" s="17" t="s">
        <v>555</v>
      </c>
      <c r="B129">
        <f>VLOOKUP(A129,Amazon_Data_Set[],20,FALSE)</f>
        <v>489.84</v>
      </c>
      <c r="C129">
        <f>_xlfn.XLOOKUP(Vlookup!A129,Amazon_Data_Set[Order ID],Amazon_Data_Set[Profit])</f>
        <v>202.08</v>
      </c>
      <c r="D129" t="str">
        <f>INDEX('Amazon Data Set'!F:F,MATCH(Vlookup!A129,'Amazon Data Set'!A:A,0))</f>
        <v>Jaipur</v>
      </c>
    </row>
    <row r="130" spans="1:4">
      <c r="A130" s="16" t="s">
        <v>557</v>
      </c>
      <c r="B130">
        <f>VLOOKUP(A130,Amazon_Data_Set[],20,FALSE)</f>
        <v>8254.52</v>
      </c>
      <c r="C130">
        <f>_xlfn.XLOOKUP(Vlookup!A130,Amazon_Data_Set[Order ID],Amazon_Data_Set[Profit])</f>
        <v>2166.75</v>
      </c>
      <c r="D130" t="str">
        <f>INDEX('Amazon Data Set'!F:F,MATCH(Vlookup!A130,'Amazon Data Set'!A:A,0))</f>
        <v>Mysuru</v>
      </c>
    </row>
    <row r="131" spans="1:4">
      <c r="A131" s="17" t="s">
        <v>560</v>
      </c>
      <c r="B131">
        <f>VLOOKUP(A131,Amazon_Data_Set[],20,FALSE)</f>
        <v>5979.52</v>
      </c>
      <c r="C131">
        <f>_xlfn.XLOOKUP(Vlookup!A131,Amazon_Data_Set[Order ID],Amazon_Data_Set[Profit])</f>
        <v>2016.4</v>
      </c>
      <c r="D131" t="str">
        <f>INDEX('Amazon Data Set'!F:F,MATCH(Vlookup!A131,'Amazon Data Set'!A:A,0))</f>
        <v>Kolkata</v>
      </c>
    </row>
    <row r="132" spans="1:4">
      <c r="A132" s="16" t="s">
        <v>563</v>
      </c>
      <c r="B132">
        <f>VLOOKUP(A132,Amazon_Data_Set[],20,FALSE)</f>
        <v>1586.45</v>
      </c>
      <c r="C132">
        <f>_xlfn.XLOOKUP(Vlookup!A132,Amazon_Data_Set[Order ID],Amazon_Data_Set[Profit])</f>
        <v>434.41</v>
      </c>
      <c r="D132" t="str">
        <f>INDEX('Amazon Data Set'!F:F,MATCH(Vlookup!A132,'Amazon Data Set'!A:A,0))</f>
        <v>Pune</v>
      </c>
    </row>
    <row r="133" spans="1:4">
      <c r="A133" s="17" t="s">
        <v>565</v>
      </c>
      <c r="B133">
        <f>VLOOKUP(A133,Amazon_Data_Set[],20,FALSE)</f>
        <v>5499.99</v>
      </c>
      <c r="C133">
        <f>_xlfn.XLOOKUP(Vlookup!A133,Amazon_Data_Set[Order ID],Amazon_Data_Set[Profit])</f>
        <v>1362.09</v>
      </c>
      <c r="D133" t="str">
        <f>INDEX('Amazon Data Set'!F:F,MATCH(Vlookup!A133,'Amazon Data Set'!A:A,0))</f>
        <v>Ludhiana</v>
      </c>
    </row>
    <row r="134" spans="1:4">
      <c r="A134" s="16" t="s">
        <v>568</v>
      </c>
      <c r="B134">
        <f>VLOOKUP(A134,Amazon_Data_Set[],20,FALSE)</f>
        <v>8949.35</v>
      </c>
      <c r="C134">
        <f>_xlfn.XLOOKUP(Vlookup!A134,Amazon_Data_Set[Order ID],Amazon_Data_Set[Profit])</f>
        <v>3133.63</v>
      </c>
      <c r="D134" t="str">
        <f>INDEX('Amazon Data Set'!F:F,MATCH(Vlookup!A134,'Amazon Data Set'!A:A,0))</f>
        <v>Chennai</v>
      </c>
    </row>
    <row r="135" spans="1:4">
      <c r="A135" s="17" t="s">
        <v>571</v>
      </c>
      <c r="B135">
        <f>VLOOKUP(A135,Amazon_Data_Set[],20,FALSE)</f>
        <v>1206.1600000000001</v>
      </c>
      <c r="C135">
        <f>_xlfn.XLOOKUP(Vlookup!A135,Amazon_Data_Set[Order ID],Amazon_Data_Set[Profit])</f>
        <v>124.41</v>
      </c>
      <c r="D135" t="str">
        <f>INDEX('Amazon Data Set'!F:F,MATCH(Vlookup!A135,'Amazon Data Set'!A:A,0))</f>
        <v>Noida</v>
      </c>
    </row>
    <row r="136" spans="1:4">
      <c r="A136" s="16" t="s">
        <v>574</v>
      </c>
      <c r="B136">
        <f>VLOOKUP(A136,Amazon_Data_Set[],20,FALSE)</f>
        <v>27518.240000000002</v>
      </c>
      <c r="C136">
        <f>_xlfn.XLOOKUP(Vlookup!A136,Amazon_Data_Set[Order ID],Amazon_Data_Set[Profit])</f>
        <v>13251.86</v>
      </c>
      <c r="D136" t="str">
        <f>INDEX('Amazon Data Set'!F:F,MATCH(Vlookup!A136,'Amazon Data Set'!A:A,0))</f>
        <v>Mysuru</v>
      </c>
    </row>
    <row r="137" spans="1:4">
      <c r="A137" s="17" t="s">
        <v>576</v>
      </c>
      <c r="B137">
        <f>VLOOKUP(A137,Amazon_Data_Set[],20,FALSE)</f>
        <v>307.29000000000002</v>
      </c>
      <c r="C137">
        <f>_xlfn.XLOOKUP(Vlookup!A137,Amazon_Data_Set[Order ID],Amazon_Data_Set[Profit])</f>
        <v>-11.07</v>
      </c>
      <c r="D137" t="str">
        <f>INDEX('Amazon Data Set'!F:F,MATCH(Vlookup!A137,'Amazon Data Set'!A:A,0))</f>
        <v>Bengaluru</v>
      </c>
    </row>
    <row r="138" spans="1:4">
      <c r="A138" s="16" t="s">
        <v>578</v>
      </c>
      <c r="B138">
        <f>VLOOKUP(A138,Amazon_Data_Set[],20,FALSE)</f>
        <v>648.84</v>
      </c>
      <c r="C138">
        <f>_xlfn.XLOOKUP(Vlookup!A138,Amazon_Data_Set[Order ID],Amazon_Data_Set[Profit])</f>
        <v>107.94</v>
      </c>
      <c r="D138" t="str">
        <f>INDEX('Amazon Data Set'!F:F,MATCH(Vlookup!A138,'Amazon Data Set'!A:A,0))</f>
        <v>Mumbai</v>
      </c>
    </row>
    <row r="139" spans="1:4">
      <c r="A139" s="17" t="s">
        <v>580</v>
      </c>
      <c r="B139">
        <f>VLOOKUP(A139,Amazon_Data_Set[],20,FALSE)</f>
        <v>17124.46</v>
      </c>
      <c r="C139">
        <f>_xlfn.XLOOKUP(Vlookup!A139,Amazon_Data_Set[Order ID],Amazon_Data_Set[Profit])</f>
        <v>3474.05</v>
      </c>
      <c r="D139" t="str">
        <f>INDEX('Amazon Data Set'!F:F,MATCH(Vlookup!A139,'Amazon Data Set'!A:A,0))</f>
        <v>Kolkata</v>
      </c>
    </row>
    <row r="140" spans="1:4">
      <c r="A140" s="16" t="s">
        <v>585</v>
      </c>
      <c r="B140">
        <f>VLOOKUP(A140,Amazon_Data_Set[],20,FALSE)</f>
        <v>3315.45</v>
      </c>
      <c r="C140">
        <f>_xlfn.XLOOKUP(Vlookup!A140,Amazon_Data_Set[Order ID],Amazon_Data_Set[Profit])</f>
        <v>717.92</v>
      </c>
      <c r="D140" t="str">
        <f>INDEX('Amazon Data Set'!F:F,MATCH(Vlookup!A140,'Amazon Data Set'!A:A,0))</f>
        <v>New Delhi</v>
      </c>
    </row>
    <row r="141" spans="1:4">
      <c r="A141" s="17" t="s">
        <v>588</v>
      </c>
      <c r="B141">
        <f>VLOOKUP(A141,Amazon_Data_Set[],20,FALSE)</f>
        <v>601.46</v>
      </c>
      <c r="C141">
        <f>_xlfn.XLOOKUP(Vlookup!A141,Amazon_Data_Set[Order ID],Amazon_Data_Set[Profit])</f>
        <v>47.07</v>
      </c>
      <c r="D141" t="str">
        <f>INDEX('Amazon Data Set'!F:F,MATCH(Vlookup!A141,'Amazon Data Set'!A:A,0))</f>
        <v>Gurugram</v>
      </c>
    </row>
    <row r="142" spans="1:4">
      <c r="A142" s="16" t="s">
        <v>591</v>
      </c>
      <c r="B142">
        <f>VLOOKUP(A142,Amazon_Data_Set[],20,FALSE)</f>
        <v>120132.09</v>
      </c>
      <c r="C142">
        <f>_xlfn.XLOOKUP(Vlookup!A142,Amazon_Data_Set[Order ID],Amazon_Data_Set[Profit])</f>
        <v>26904.46</v>
      </c>
      <c r="D142" t="str">
        <f>INDEX('Amazon Data Set'!F:F,MATCH(Vlookup!A142,'Amazon Data Set'!A:A,0))</f>
        <v>Gurugram</v>
      </c>
    </row>
    <row r="143" spans="1:4">
      <c r="A143" s="17" t="s">
        <v>594</v>
      </c>
      <c r="B143">
        <f>VLOOKUP(A143,Amazon_Data_Set[],20,FALSE)</f>
        <v>3098.74</v>
      </c>
      <c r="C143">
        <f>_xlfn.XLOOKUP(Vlookup!A143,Amazon_Data_Set[Order ID],Amazon_Data_Set[Profit])</f>
        <v>504.04</v>
      </c>
      <c r="D143" t="str">
        <f>INDEX('Amazon Data Set'!F:F,MATCH(Vlookup!A143,'Amazon Data Set'!A:A,0))</f>
        <v>Kolkata</v>
      </c>
    </row>
    <row r="144" spans="1:4">
      <c r="A144" s="16" t="s">
        <v>597</v>
      </c>
      <c r="B144">
        <f>VLOOKUP(A144,Amazon_Data_Set[],20,FALSE)</f>
        <v>18751.39</v>
      </c>
      <c r="C144">
        <f>_xlfn.XLOOKUP(Vlookup!A144,Amazon_Data_Set[Order ID],Amazon_Data_Set[Profit])</f>
        <v>4072.9</v>
      </c>
      <c r="D144" t="str">
        <f>INDEX('Amazon Data Set'!F:F,MATCH(Vlookup!A144,'Amazon Data Set'!A:A,0))</f>
        <v>Kochi</v>
      </c>
    </row>
    <row r="145" spans="1:4">
      <c r="A145" s="17" t="s">
        <v>599</v>
      </c>
      <c r="B145">
        <f>VLOOKUP(A145,Amazon_Data_Set[],20,FALSE)</f>
        <v>9927.65</v>
      </c>
      <c r="C145">
        <f>_xlfn.XLOOKUP(Vlookup!A145,Amazon_Data_Set[Order ID],Amazon_Data_Set[Profit])</f>
        <v>4113.58</v>
      </c>
      <c r="D145" t="str">
        <f>INDEX('Amazon Data Set'!F:F,MATCH(Vlookup!A145,'Amazon Data Set'!A:A,0))</f>
        <v>Mumbai</v>
      </c>
    </row>
    <row r="146" spans="1:4">
      <c r="A146" s="16" t="s">
        <v>601</v>
      </c>
      <c r="B146">
        <f>VLOOKUP(A146,Amazon_Data_Set[],20,FALSE)</f>
        <v>1086.78</v>
      </c>
      <c r="C146">
        <f>_xlfn.XLOOKUP(Vlookup!A146,Amazon_Data_Set[Order ID],Amazon_Data_Set[Profit])</f>
        <v>389.05</v>
      </c>
      <c r="D146" t="str">
        <f>INDEX('Amazon Data Set'!F:F,MATCH(Vlookup!A146,'Amazon Data Set'!A:A,0))</f>
        <v>Guwahati</v>
      </c>
    </row>
    <row r="147" spans="1:4">
      <c r="A147" s="17" t="s">
        <v>604</v>
      </c>
      <c r="B147">
        <f>VLOOKUP(A147,Amazon_Data_Set[],20,FALSE)</f>
        <v>13274.8</v>
      </c>
      <c r="C147">
        <f>_xlfn.XLOOKUP(Vlookup!A147,Amazon_Data_Set[Order ID],Amazon_Data_Set[Profit])</f>
        <v>2592.85</v>
      </c>
      <c r="D147" t="str">
        <f>INDEX('Amazon Data Set'!F:F,MATCH(Vlookup!A147,'Amazon Data Set'!A:A,0))</f>
        <v>Kochi</v>
      </c>
    </row>
    <row r="148" spans="1:4">
      <c r="A148" s="16" t="s">
        <v>607</v>
      </c>
      <c r="B148">
        <f>VLOOKUP(A148,Amazon_Data_Set[],20,FALSE)</f>
        <v>4935.8999999999996</v>
      </c>
      <c r="C148">
        <f>_xlfn.XLOOKUP(Vlookup!A148,Amazon_Data_Set[Order ID],Amazon_Data_Set[Profit])</f>
        <v>1089.5</v>
      </c>
      <c r="D148" t="str">
        <f>INDEX('Amazon Data Set'!F:F,MATCH(Vlookup!A148,'Amazon Data Set'!A:A,0))</f>
        <v>New Delhi</v>
      </c>
    </row>
    <row r="149" spans="1:4">
      <c r="A149" s="17" t="s">
        <v>609</v>
      </c>
      <c r="B149">
        <f>VLOOKUP(A149,Amazon_Data_Set[],20,FALSE)</f>
        <v>3518.94</v>
      </c>
      <c r="C149">
        <f>_xlfn.XLOOKUP(Vlookup!A149,Amazon_Data_Set[Order ID],Amazon_Data_Set[Profit])</f>
        <v>1239.5</v>
      </c>
      <c r="D149" t="str">
        <f>INDEX('Amazon Data Set'!F:F,MATCH(Vlookup!A149,'Amazon Data Set'!A:A,0))</f>
        <v>Pune</v>
      </c>
    </row>
    <row r="150" spans="1:4">
      <c r="A150" s="16" t="s">
        <v>611</v>
      </c>
      <c r="B150">
        <f>VLOOKUP(A150,Amazon_Data_Set[],20,FALSE)</f>
        <v>1424.95</v>
      </c>
      <c r="C150">
        <f>_xlfn.XLOOKUP(Vlookup!A150,Amazon_Data_Set[Order ID],Amazon_Data_Set[Profit])</f>
        <v>576.41999999999996</v>
      </c>
      <c r="D150" t="str">
        <f>INDEX('Amazon Data Set'!F:F,MATCH(Vlookup!A150,'Amazon Data Set'!A:A,0))</f>
        <v>Gurugram</v>
      </c>
    </row>
    <row r="151" spans="1:4">
      <c r="A151" s="17" t="s">
        <v>613</v>
      </c>
      <c r="B151">
        <f>VLOOKUP(A151,Amazon_Data_Set[],20,FALSE)</f>
        <v>29586.39</v>
      </c>
      <c r="C151">
        <f>_xlfn.XLOOKUP(Vlookup!A151,Amazon_Data_Set[Order ID],Amazon_Data_Set[Profit])</f>
        <v>11449.04</v>
      </c>
      <c r="D151" t="str">
        <f>INDEX('Amazon Data Set'!F:F,MATCH(Vlookup!A151,'Amazon Data Set'!A:A,0))</f>
        <v>Kochi</v>
      </c>
    </row>
    <row r="152" spans="1:4">
      <c r="A152" s="16" t="s">
        <v>616</v>
      </c>
      <c r="B152">
        <f>VLOOKUP(A152,Amazon_Data_Set[],20,FALSE)</f>
        <v>8825.76</v>
      </c>
      <c r="C152">
        <f>_xlfn.XLOOKUP(Vlookup!A152,Amazon_Data_Set[Order ID],Amazon_Data_Set[Profit])</f>
        <v>4042.82</v>
      </c>
      <c r="D152" t="str">
        <f>INDEX('Amazon Data Set'!F:F,MATCH(Vlookup!A152,'Amazon Data Set'!A:A,0))</f>
        <v>Kochi</v>
      </c>
    </row>
    <row r="153" spans="1:4">
      <c r="A153" s="17" t="s">
        <v>618</v>
      </c>
      <c r="B153">
        <f>VLOOKUP(A153,Amazon_Data_Set[],20,FALSE)</f>
        <v>18428.669999999998</v>
      </c>
      <c r="C153">
        <f>_xlfn.XLOOKUP(Vlookup!A153,Amazon_Data_Set[Order ID],Amazon_Data_Set[Profit])</f>
        <v>4544.3500000000004</v>
      </c>
      <c r="D153" t="str">
        <f>INDEX('Amazon Data Set'!F:F,MATCH(Vlookup!A153,'Amazon Data Set'!A:A,0))</f>
        <v>Mumbai</v>
      </c>
    </row>
    <row r="154" spans="1:4">
      <c r="A154" s="16" t="s">
        <v>621</v>
      </c>
      <c r="B154">
        <f>VLOOKUP(A154,Amazon_Data_Set[],20,FALSE)</f>
        <v>6887.84</v>
      </c>
      <c r="C154">
        <f>_xlfn.XLOOKUP(Vlookup!A154,Amazon_Data_Set[Order ID],Amazon_Data_Set[Profit])</f>
        <v>1501.58</v>
      </c>
      <c r="D154" t="str">
        <f>INDEX('Amazon Data Set'!F:F,MATCH(Vlookup!A154,'Amazon Data Set'!A:A,0))</f>
        <v>Ludhiana</v>
      </c>
    </row>
    <row r="155" spans="1:4">
      <c r="A155" s="17" t="s">
        <v>623</v>
      </c>
      <c r="B155">
        <f>VLOOKUP(A155,Amazon_Data_Set[],20,FALSE)</f>
        <v>4669.78</v>
      </c>
      <c r="C155">
        <f>_xlfn.XLOOKUP(Vlookup!A155,Amazon_Data_Set[Order ID],Amazon_Data_Set[Profit])</f>
        <v>1205.53</v>
      </c>
      <c r="D155" t="str">
        <f>INDEX('Amazon Data Set'!F:F,MATCH(Vlookup!A155,'Amazon Data Set'!A:A,0))</f>
        <v>Pune</v>
      </c>
    </row>
    <row r="156" spans="1:4">
      <c r="A156" s="16" t="s">
        <v>626</v>
      </c>
      <c r="B156">
        <f>VLOOKUP(A156,Amazon_Data_Set[],20,FALSE)</f>
        <v>26459.279999999999</v>
      </c>
      <c r="C156">
        <f>_xlfn.XLOOKUP(Vlookup!A156,Amazon_Data_Set[Order ID],Amazon_Data_Set[Profit])</f>
        <v>5519.37</v>
      </c>
      <c r="D156" t="str">
        <f>INDEX('Amazon Data Set'!F:F,MATCH(Vlookup!A156,'Amazon Data Set'!A:A,0))</f>
        <v>Patna</v>
      </c>
    </row>
    <row r="157" spans="1:4">
      <c r="A157" s="17" t="s">
        <v>629</v>
      </c>
      <c r="B157">
        <f>VLOOKUP(A157,Amazon_Data_Set[],20,FALSE)</f>
        <v>2456.92</v>
      </c>
      <c r="C157">
        <f>_xlfn.XLOOKUP(Vlookup!A157,Amazon_Data_Set[Order ID],Amazon_Data_Set[Profit])</f>
        <v>855.15</v>
      </c>
      <c r="D157" t="str">
        <f>INDEX('Amazon Data Set'!F:F,MATCH(Vlookup!A157,'Amazon Data Set'!A:A,0))</f>
        <v>New Delhi</v>
      </c>
    </row>
    <row r="158" spans="1:4">
      <c r="A158" s="16" t="s">
        <v>631</v>
      </c>
      <c r="B158">
        <f>VLOOKUP(A158,Amazon_Data_Set[],20,FALSE)</f>
        <v>1236.96</v>
      </c>
      <c r="C158">
        <f>_xlfn.XLOOKUP(Vlookup!A158,Amazon_Data_Set[Order ID],Amazon_Data_Set[Profit])</f>
        <v>177.15</v>
      </c>
      <c r="D158" t="str">
        <f>INDEX('Amazon Data Set'!F:F,MATCH(Vlookup!A158,'Amazon Data Set'!A:A,0))</f>
        <v>Mumbai</v>
      </c>
    </row>
    <row r="159" spans="1:4">
      <c r="A159" s="17" t="s">
        <v>634</v>
      </c>
      <c r="B159">
        <f>VLOOKUP(A159,Amazon_Data_Set[],20,FALSE)</f>
        <v>5781.4</v>
      </c>
      <c r="C159">
        <f>_xlfn.XLOOKUP(Vlookup!A159,Amazon_Data_Set[Order ID],Amazon_Data_Set[Profit])</f>
        <v>1276.96</v>
      </c>
      <c r="D159" t="str">
        <f>INDEX('Amazon Data Set'!F:F,MATCH(Vlookup!A159,'Amazon Data Set'!A:A,0))</f>
        <v>Bhubaneswar</v>
      </c>
    </row>
    <row r="160" spans="1:4">
      <c r="A160" s="16" t="s">
        <v>637</v>
      </c>
      <c r="B160">
        <f>VLOOKUP(A160,Amazon_Data_Set[],20,FALSE)</f>
        <v>8419.9500000000007</v>
      </c>
      <c r="C160">
        <f>_xlfn.XLOOKUP(Vlookup!A160,Amazon_Data_Set[Order ID],Amazon_Data_Set[Profit])</f>
        <v>2433.06</v>
      </c>
      <c r="D160" t="str">
        <f>INDEX('Amazon Data Set'!F:F,MATCH(Vlookup!A160,'Amazon Data Set'!A:A,0))</f>
        <v>Pune</v>
      </c>
    </row>
    <row r="161" spans="1:4">
      <c r="A161" s="17" t="s">
        <v>640</v>
      </c>
      <c r="B161">
        <f>VLOOKUP(A161,Amazon_Data_Set[],20,FALSE)</f>
        <v>3544.14</v>
      </c>
      <c r="C161">
        <f>_xlfn.XLOOKUP(Vlookup!A161,Amazon_Data_Set[Order ID],Amazon_Data_Set[Profit])</f>
        <v>882.84</v>
      </c>
      <c r="D161" t="str">
        <f>INDEX('Amazon Data Set'!F:F,MATCH(Vlookup!A161,'Amazon Data Set'!A:A,0))</f>
        <v>Ahmedabad</v>
      </c>
    </row>
    <row r="162" spans="1:4">
      <c r="A162" s="16" t="s">
        <v>642</v>
      </c>
      <c r="B162">
        <f>VLOOKUP(A162,Amazon_Data_Set[],20,FALSE)</f>
        <v>56036.480000000003</v>
      </c>
      <c r="C162">
        <f>_xlfn.XLOOKUP(Vlookup!A162,Amazon_Data_Set[Order ID],Amazon_Data_Set[Profit])</f>
        <v>19195.23</v>
      </c>
      <c r="D162" t="str">
        <f>INDEX('Amazon Data Set'!F:F,MATCH(Vlookup!A162,'Amazon Data Set'!A:A,0))</f>
        <v>Guwahati</v>
      </c>
    </row>
    <row r="163" spans="1:4">
      <c r="A163" s="17" t="s">
        <v>645</v>
      </c>
      <c r="B163">
        <f>VLOOKUP(A163,Amazon_Data_Set[],20,FALSE)</f>
        <v>2017.89</v>
      </c>
      <c r="C163">
        <f>_xlfn.XLOOKUP(Vlookup!A163,Amazon_Data_Set[Order ID],Amazon_Data_Set[Profit])</f>
        <v>395.17</v>
      </c>
      <c r="D163" t="str">
        <f>INDEX('Amazon Data Set'!F:F,MATCH(Vlookup!A163,'Amazon Data Set'!A:A,0))</f>
        <v>Mysuru</v>
      </c>
    </row>
    <row r="164" spans="1:4">
      <c r="A164" s="16" t="s">
        <v>647</v>
      </c>
      <c r="B164">
        <f>VLOOKUP(A164,Amazon_Data_Set[],20,FALSE)</f>
        <v>979.6</v>
      </c>
      <c r="C164">
        <f>_xlfn.XLOOKUP(Vlookup!A164,Amazon_Data_Set[Order ID],Amazon_Data_Set[Profit])</f>
        <v>231.58</v>
      </c>
      <c r="D164" t="str">
        <f>INDEX('Amazon Data Set'!F:F,MATCH(Vlookup!A164,'Amazon Data Set'!A:A,0))</f>
        <v>Guwahati</v>
      </c>
    </row>
    <row r="165" spans="1:4">
      <c r="A165" s="17" t="s">
        <v>650</v>
      </c>
      <c r="B165">
        <f>VLOOKUP(A165,Amazon_Data_Set[],20,FALSE)</f>
        <v>5510</v>
      </c>
      <c r="C165">
        <f>_xlfn.XLOOKUP(Vlookup!A165,Amazon_Data_Set[Order ID],Amazon_Data_Set[Profit])</f>
        <v>1143.0899999999999</v>
      </c>
      <c r="D165" t="str">
        <f>INDEX('Amazon Data Set'!F:F,MATCH(Vlookup!A165,'Amazon Data Set'!A:A,0))</f>
        <v>Bengaluru</v>
      </c>
    </row>
    <row r="166" spans="1:4">
      <c r="A166" s="16" t="s">
        <v>653</v>
      </c>
      <c r="B166">
        <f>VLOOKUP(A166,Amazon_Data_Set[],20,FALSE)</f>
        <v>763.32</v>
      </c>
      <c r="C166">
        <f>_xlfn.XLOOKUP(Vlookup!A166,Amazon_Data_Set[Order ID],Amazon_Data_Set[Profit])</f>
        <v>189.46</v>
      </c>
      <c r="D166" t="str">
        <f>INDEX('Amazon Data Set'!F:F,MATCH(Vlookup!A166,'Amazon Data Set'!A:A,0))</f>
        <v>Bhubaneswar</v>
      </c>
    </row>
    <row r="167" spans="1:4">
      <c r="A167" s="17" t="s">
        <v>656</v>
      </c>
      <c r="B167">
        <f>VLOOKUP(A167,Amazon_Data_Set[],20,FALSE)</f>
        <v>1198.46</v>
      </c>
      <c r="C167">
        <f>_xlfn.XLOOKUP(Vlookup!A167,Amazon_Data_Set[Order ID],Amazon_Data_Set[Profit])</f>
        <v>260.72000000000003</v>
      </c>
      <c r="D167" t="str">
        <f>INDEX('Amazon Data Set'!F:F,MATCH(Vlookup!A167,'Amazon Data Set'!A:A,0))</f>
        <v>Mysuru</v>
      </c>
    </row>
    <row r="168" spans="1:4">
      <c r="A168" s="16" t="s">
        <v>658</v>
      </c>
      <c r="B168">
        <f>VLOOKUP(A168,Amazon_Data_Set[],20,FALSE)</f>
        <v>135.53</v>
      </c>
      <c r="C168">
        <f>_xlfn.XLOOKUP(Vlookup!A168,Amazon_Data_Set[Order ID],Amazon_Data_Set[Profit])</f>
        <v>-112.37</v>
      </c>
      <c r="D168" t="str">
        <f>INDEX('Amazon Data Set'!F:F,MATCH(Vlookup!A168,'Amazon Data Set'!A:A,0))</f>
        <v>Gurugram</v>
      </c>
    </row>
    <row r="169" spans="1:4">
      <c r="A169" s="17" t="s">
        <v>660</v>
      </c>
      <c r="B169">
        <f>VLOOKUP(A169,Amazon_Data_Set[],20,FALSE)</f>
        <v>3344.24</v>
      </c>
      <c r="C169">
        <f>_xlfn.XLOOKUP(Vlookup!A169,Amazon_Data_Set[Order ID],Amazon_Data_Set[Profit])</f>
        <v>1284.53</v>
      </c>
      <c r="D169" t="str">
        <f>INDEX('Amazon Data Set'!F:F,MATCH(Vlookup!A169,'Amazon Data Set'!A:A,0))</f>
        <v>Ludhiana</v>
      </c>
    </row>
    <row r="170" spans="1:4">
      <c r="A170" s="16" t="s">
        <v>662</v>
      </c>
      <c r="B170">
        <f>VLOOKUP(A170,Amazon_Data_Set[],20,FALSE)</f>
        <v>153828.18</v>
      </c>
      <c r="C170">
        <f>_xlfn.XLOOKUP(Vlookup!A170,Amazon_Data_Set[Order ID],Amazon_Data_Set[Profit])</f>
        <v>76428.429999999993</v>
      </c>
      <c r="D170" t="str">
        <f>INDEX('Amazon Data Set'!F:F,MATCH(Vlookup!A170,'Amazon Data Set'!A:A,0))</f>
        <v>Patna</v>
      </c>
    </row>
    <row r="171" spans="1:4">
      <c r="A171" s="17" t="s">
        <v>665</v>
      </c>
      <c r="B171">
        <f>VLOOKUP(A171,Amazon_Data_Set[],20,FALSE)</f>
        <v>3495.6</v>
      </c>
      <c r="C171">
        <f>_xlfn.XLOOKUP(Vlookup!A171,Amazon_Data_Set[Order ID],Amazon_Data_Set[Profit])</f>
        <v>554.04</v>
      </c>
      <c r="D171" t="str">
        <f>INDEX('Amazon Data Set'!F:F,MATCH(Vlookup!A171,'Amazon Data Set'!A:A,0))</f>
        <v>Patna</v>
      </c>
    </row>
    <row r="172" spans="1:4">
      <c r="A172" s="16" t="s">
        <v>668</v>
      </c>
      <c r="B172">
        <f>VLOOKUP(A172,Amazon_Data_Set[],20,FALSE)</f>
        <v>2595.42</v>
      </c>
      <c r="C172">
        <f>_xlfn.XLOOKUP(Vlookup!A172,Amazon_Data_Set[Order ID],Amazon_Data_Set[Profit])</f>
        <v>875.05</v>
      </c>
      <c r="D172" t="str">
        <f>INDEX('Amazon Data Set'!F:F,MATCH(Vlookup!A172,'Amazon Data Set'!A:A,0))</f>
        <v>Patna</v>
      </c>
    </row>
    <row r="173" spans="1:4">
      <c r="A173" s="17" t="s">
        <v>671</v>
      </c>
      <c r="B173">
        <f>VLOOKUP(A173,Amazon_Data_Set[],20,FALSE)</f>
        <v>3566.28</v>
      </c>
      <c r="C173">
        <f>_xlfn.XLOOKUP(Vlookup!A173,Amazon_Data_Set[Order ID],Amazon_Data_Set[Profit])</f>
        <v>822.16</v>
      </c>
      <c r="D173" t="str">
        <f>INDEX('Amazon Data Set'!F:F,MATCH(Vlookup!A173,'Amazon Data Set'!A:A,0))</f>
        <v>Patna</v>
      </c>
    </row>
    <row r="174" spans="1:4">
      <c r="A174" s="16" t="s">
        <v>673</v>
      </c>
      <c r="B174">
        <f>VLOOKUP(A174,Amazon_Data_Set[],20,FALSE)</f>
        <v>464.14</v>
      </c>
      <c r="C174">
        <f>_xlfn.XLOOKUP(Vlookup!A174,Amazon_Data_Set[Order ID],Amazon_Data_Set[Profit])</f>
        <v>15.82</v>
      </c>
      <c r="D174" t="str">
        <f>INDEX('Amazon Data Set'!F:F,MATCH(Vlookup!A174,'Amazon Data Set'!A:A,0))</f>
        <v>Ludhiana</v>
      </c>
    </row>
    <row r="175" spans="1:4">
      <c r="A175" s="17" t="s">
        <v>676</v>
      </c>
      <c r="B175">
        <f>VLOOKUP(A175,Amazon_Data_Set[],20,FALSE)</f>
        <v>2254.92</v>
      </c>
      <c r="C175">
        <f>_xlfn.XLOOKUP(Vlookup!A175,Amazon_Data_Set[Order ID],Amazon_Data_Set[Profit])</f>
        <v>282.20999999999998</v>
      </c>
      <c r="D175" t="str">
        <f>INDEX('Amazon Data Set'!F:F,MATCH(Vlookup!A175,'Amazon Data Set'!A:A,0))</f>
        <v>Pune</v>
      </c>
    </row>
    <row r="176" spans="1:4">
      <c r="A176" s="16" t="s">
        <v>678</v>
      </c>
      <c r="B176">
        <f>VLOOKUP(A176,Amazon_Data_Set[],20,FALSE)</f>
        <v>25764.99</v>
      </c>
      <c r="C176">
        <f>_xlfn.XLOOKUP(Vlookup!A176,Amazon_Data_Set[Order ID],Amazon_Data_Set[Profit])</f>
        <v>9297.15</v>
      </c>
      <c r="D176" t="str">
        <f>INDEX('Amazon Data Set'!F:F,MATCH(Vlookup!A176,'Amazon Data Set'!A:A,0))</f>
        <v>Patna</v>
      </c>
    </row>
    <row r="177" spans="1:4">
      <c r="A177" s="17" t="s">
        <v>680</v>
      </c>
      <c r="B177">
        <f>VLOOKUP(A177,Amazon_Data_Set[],20,FALSE)</f>
        <v>11515.44</v>
      </c>
      <c r="C177">
        <f>_xlfn.XLOOKUP(Vlookup!A177,Amazon_Data_Set[Order ID],Amazon_Data_Set[Profit])</f>
        <v>2873.59</v>
      </c>
      <c r="D177" t="str">
        <f>INDEX('Amazon Data Set'!F:F,MATCH(Vlookup!A177,'Amazon Data Set'!A:A,0))</f>
        <v>Noida</v>
      </c>
    </row>
    <row r="178" spans="1:4">
      <c r="A178" s="16" t="s">
        <v>683</v>
      </c>
      <c r="B178">
        <f>VLOOKUP(A178,Amazon_Data_Set[],20,FALSE)</f>
        <v>9908.25</v>
      </c>
      <c r="C178">
        <f>_xlfn.XLOOKUP(Vlookup!A178,Amazon_Data_Set[Order ID],Amazon_Data_Set[Profit])</f>
        <v>2095.1999999999998</v>
      </c>
      <c r="D178" t="str">
        <f>INDEX('Amazon Data Set'!F:F,MATCH(Vlookup!A178,'Amazon Data Set'!A:A,0))</f>
        <v>Mumbai</v>
      </c>
    </row>
    <row r="179" spans="1:4">
      <c r="A179" s="17" t="s">
        <v>685</v>
      </c>
      <c r="B179">
        <f>VLOOKUP(A179,Amazon_Data_Set[],20,FALSE)</f>
        <v>17822.599999999999</v>
      </c>
      <c r="C179">
        <f>_xlfn.XLOOKUP(Vlookup!A179,Amazon_Data_Set[Order ID],Amazon_Data_Set[Profit])</f>
        <v>9153.68</v>
      </c>
      <c r="D179" t="str">
        <f>INDEX('Amazon Data Set'!F:F,MATCH(Vlookup!A179,'Amazon Data Set'!A:A,0))</f>
        <v>Mumbai</v>
      </c>
    </row>
    <row r="180" spans="1:4">
      <c r="A180" s="16" t="s">
        <v>687</v>
      </c>
      <c r="B180">
        <f>VLOOKUP(A180,Amazon_Data_Set[],20,FALSE)</f>
        <v>78500.94</v>
      </c>
      <c r="C180">
        <f>_xlfn.XLOOKUP(Vlookup!A180,Amazon_Data_Set[Order ID],Amazon_Data_Set[Profit])</f>
        <v>15900.42</v>
      </c>
      <c r="D180" t="str">
        <f>INDEX('Amazon Data Set'!F:F,MATCH(Vlookup!A180,'Amazon Data Set'!A:A,0))</f>
        <v>Kochi</v>
      </c>
    </row>
    <row r="181" spans="1:4">
      <c r="A181" s="17" t="s">
        <v>689</v>
      </c>
      <c r="B181">
        <f>VLOOKUP(A181,Amazon_Data_Set[],20,FALSE)</f>
        <v>1529.92</v>
      </c>
      <c r="C181">
        <f>_xlfn.XLOOKUP(Vlookup!A181,Amazon_Data_Set[Order ID],Amazon_Data_Set[Profit])</f>
        <v>285.43</v>
      </c>
      <c r="D181" t="str">
        <f>INDEX('Amazon Data Set'!F:F,MATCH(Vlookup!A181,'Amazon Data Set'!A:A,0))</f>
        <v>Guwahati</v>
      </c>
    </row>
    <row r="182" spans="1:4">
      <c r="A182" s="16" t="s">
        <v>693</v>
      </c>
      <c r="B182">
        <f>VLOOKUP(A182,Amazon_Data_Set[],20,FALSE)</f>
        <v>12178.45</v>
      </c>
      <c r="C182">
        <f>_xlfn.XLOOKUP(Vlookup!A182,Amazon_Data_Set[Order ID],Amazon_Data_Set[Profit])</f>
        <v>4254.78</v>
      </c>
      <c r="D182" t="str">
        <f>INDEX('Amazon Data Set'!F:F,MATCH(Vlookup!A182,'Amazon Data Set'!A:A,0))</f>
        <v>Guwahati</v>
      </c>
    </row>
    <row r="183" spans="1:4">
      <c r="A183" s="17" t="s">
        <v>695</v>
      </c>
      <c r="B183">
        <f>VLOOKUP(A183,Amazon_Data_Set[],20,FALSE)</f>
        <v>5605.15</v>
      </c>
      <c r="C183">
        <f>_xlfn.XLOOKUP(Vlookup!A183,Amazon_Data_Set[Order ID],Amazon_Data_Set[Profit])</f>
        <v>2743.97</v>
      </c>
      <c r="D183" t="str">
        <f>INDEX('Amazon Data Set'!F:F,MATCH(Vlookup!A183,'Amazon Data Set'!A:A,0))</f>
        <v>Noida</v>
      </c>
    </row>
    <row r="184" spans="1:4">
      <c r="A184" s="16" t="s">
        <v>698</v>
      </c>
      <c r="B184">
        <f>VLOOKUP(A184,Amazon_Data_Set[],20,FALSE)</f>
        <v>241.1</v>
      </c>
      <c r="C184">
        <f>_xlfn.XLOOKUP(Vlookup!A184,Amazon_Data_Set[Order ID],Amazon_Data_Set[Profit])</f>
        <v>40.18</v>
      </c>
      <c r="D184" t="str">
        <f>INDEX('Amazon Data Set'!F:F,MATCH(Vlookup!A184,'Amazon Data Set'!A:A,0))</f>
        <v>Kochi</v>
      </c>
    </row>
    <row r="185" spans="1:4">
      <c r="A185" s="17" t="s">
        <v>700</v>
      </c>
      <c r="B185">
        <f>VLOOKUP(A185,Amazon_Data_Set[],20,FALSE)</f>
        <v>5275.76</v>
      </c>
      <c r="C185">
        <f>_xlfn.XLOOKUP(Vlookup!A185,Amazon_Data_Set[Order ID],Amazon_Data_Set[Profit])</f>
        <v>1364.47</v>
      </c>
      <c r="D185" t="str">
        <f>INDEX('Amazon Data Set'!F:F,MATCH(Vlookup!A185,'Amazon Data Set'!A:A,0))</f>
        <v>Kolkata</v>
      </c>
    </row>
    <row r="186" spans="1:4">
      <c r="A186" s="16" t="s">
        <v>702</v>
      </c>
      <c r="B186">
        <f>VLOOKUP(A186,Amazon_Data_Set[],20,FALSE)</f>
        <v>18380.32</v>
      </c>
      <c r="C186">
        <f>_xlfn.XLOOKUP(Vlookup!A186,Amazon_Data_Set[Order ID],Amazon_Data_Set[Profit])</f>
        <v>4129.51</v>
      </c>
      <c r="D186" t="str">
        <f>INDEX('Amazon Data Set'!F:F,MATCH(Vlookup!A186,'Amazon Data Set'!A:A,0))</f>
        <v>Chennai</v>
      </c>
    </row>
    <row r="187" spans="1:4">
      <c r="A187" s="17" t="s">
        <v>705</v>
      </c>
      <c r="B187">
        <f>VLOOKUP(A187,Amazon_Data_Set[],20,FALSE)</f>
        <v>726.5</v>
      </c>
      <c r="C187">
        <f>_xlfn.XLOOKUP(Vlookup!A187,Amazon_Data_Set[Order ID],Amazon_Data_Set[Profit])</f>
        <v>108.93</v>
      </c>
      <c r="D187" t="str">
        <f>INDEX('Amazon Data Set'!F:F,MATCH(Vlookup!A187,'Amazon Data Set'!A:A,0))</f>
        <v>Ahmedabad</v>
      </c>
    </row>
    <row r="188" spans="1:4">
      <c r="A188" s="16" t="s">
        <v>708</v>
      </c>
      <c r="B188">
        <f>VLOOKUP(A188,Amazon_Data_Set[],20,FALSE)</f>
        <v>77998.080000000002</v>
      </c>
      <c r="C188">
        <f>_xlfn.XLOOKUP(Vlookup!A188,Amazon_Data_Set[Order ID],Amazon_Data_Set[Profit])</f>
        <v>24591.14</v>
      </c>
      <c r="D188" t="str">
        <f>INDEX('Amazon Data Set'!F:F,MATCH(Vlookup!A188,'Amazon Data Set'!A:A,0))</f>
        <v>Kochi</v>
      </c>
    </row>
    <row r="189" spans="1:4">
      <c r="A189" s="17" t="s">
        <v>710</v>
      </c>
      <c r="B189">
        <f>VLOOKUP(A189,Amazon_Data_Set[],20,FALSE)</f>
        <v>1978.3</v>
      </c>
      <c r="C189">
        <f>_xlfn.XLOOKUP(Vlookup!A189,Amazon_Data_Set[Order ID],Amazon_Data_Set[Profit])</f>
        <v>354.26</v>
      </c>
      <c r="D189" t="str">
        <f>INDEX('Amazon Data Set'!F:F,MATCH(Vlookup!A189,'Amazon Data Set'!A:A,0))</f>
        <v>Bengaluru</v>
      </c>
    </row>
    <row r="190" spans="1:4">
      <c r="A190" s="16" t="s">
        <v>713</v>
      </c>
      <c r="B190">
        <f>VLOOKUP(A190,Amazon_Data_Set[],20,FALSE)</f>
        <v>2339.0100000000002</v>
      </c>
      <c r="C190">
        <f>_xlfn.XLOOKUP(Vlookup!A190,Amazon_Data_Set[Order ID],Amazon_Data_Set[Profit])</f>
        <v>612.12</v>
      </c>
      <c r="D190" t="str">
        <f>INDEX('Amazon Data Set'!F:F,MATCH(Vlookup!A190,'Amazon Data Set'!A:A,0))</f>
        <v>Jaipur</v>
      </c>
    </row>
    <row r="191" spans="1:4">
      <c r="A191" s="17" t="s">
        <v>716</v>
      </c>
      <c r="B191">
        <f>VLOOKUP(A191,Amazon_Data_Set[],20,FALSE)</f>
        <v>76953.48</v>
      </c>
      <c r="C191">
        <f>_xlfn.XLOOKUP(Vlookup!A191,Amazon_Data_Set[Order ID],Amazon_Data_Set[Profit])</f>
        <v>16975.25</v>
      </c>
      <c r="D191" t="str">
        <f>INDEX('Amazon Data Set'!F:F,MATCH(Vlookup!A191,'Amazon Data Set'!A:A,0))</f>
        <v>Jaipur</v>
      </c>
    </row>
    <row r="192" spans="1:4">
      <c r="A192" s="16" t="s">
        <v>718</v>
      </c>
      <c r="B192">
        <f>VLOOKUP(A192,Amazon_Data_Set[],20,FALSE)</f>
        <v>3254.04</v>
      </c>
      <c r="C192">
        <f>_xlfn.XLOOKUP(Vlookup!A192,Amazon_Data_Set[Order ID],Amazon_Data_Set[Profit])</f>
        <v>1184.1600000000001</v>
      </c>
      <c r="D192" t="str">
        <f>INDEX('Amazon Data Set'!F:F,MATCH(Vlookup!A192,'Amazon Data Set'!A:A,0))</f>
        <v>New Delhi</v>
      </c>
    </row>
    <row r="193" spans="1:4">
      <c r="A193" s="17" t="s">
        <v>720</v>
      </c>
      <c r="B193">
        <f>VLOOKUP(A193,Amazon_Data_Set[],20,FALSE)</f>
        <v>3950.76</v>
      </c>
      <c r="C193">
        <f>_xlfn.XLOOKUP(Vlookup!A193,Amazon_Data_Set[Order ID],Amazon_Data_Set[Profit])</f>
        <v>1046.52</v>
      </c>
      <c r="D193" t="str">
        <f>INDEX('Amazon Data Set'!F:F,MATCH(Vlookup!A193,'Amazon Data Set'!A:A,0))</f>
        <v>Noida</v>
      </c>
    </row>
    <row r="194" spans="1:4">
      <c r="A194" s="16" t="s">
        <v>723</v>
      </c>
      <c r="B194">
        <f>VLOOKUP(A194,Amazon_Data_Set[],20,FALSE)</f>
        <v>1713.03</v>
      </c>
      <c r="C194">
        <f>_xlfn.XLOOKUP(Vlookup!A194,Amazon_Data_Set[Order ID],Amazon_Data_Set[Profit])</f>
        <v>437.79</v>
      </c>
      <c r="D194" t="str">
        <f>INDEX('Amazon Data Set'!F:F,MATCH(Vlookup!A194,'Amazon Data Set'!A:A,0))</f>
        <v>Kolkata</v>
      </c>
    </row>
    <row r="195" spans="1:4">
      <c r="A195" s="17" t="s">
        <v>725</v>
      </c>
      <c r="B195">
        <f>VLOOKUP(A195,Amazon_Data_Set[],20,FALSE)</f>
        <v>108462.52</v>
      </c>
      <c r="C195">
        <f>_xlfn.XLOOKUP(Vlookup!A195,Amazon_Data_Set[Order ID],Amazon_Data_Set[Profit])</f>
        <v>29594.13</v>
      </c>
      <c r="D195" t="str">
        <f>INDEX('Amazon Data Set'!F:F,MATCH(Vlookup!A195,'Amazon Data Set'!A:A,0))</f>
        <v>Pune</v>
      </c>
    </row>
    <row r="196" spans="1:4">
      <c r="A196" s="16" t="s">
        <v>728</v>
      </c>
      <c r="B196">
        <f>VLOOKUP(A196,Amazon_Data_Set[],20,FALSE)</f>
        <v>3578.46</v>
      </c>
      <c r="C196">
        <f>_xlfn.XLOOKUP(Vlookup!A196,Amazon_Data_Set[Order ID],Amazon_Data_Set[Profit])</f>
        <v>538.63</v>
      </c>
      <c r="D196" t="str">
        <f>INDEX('Amazon Data Set'!F:F,MATCH(Vlookup!A196,'Amazon Data Set'!A:A,0))</f>
        <v>Patna</v>
      </c>
    </row>
    <row r="197" spans="1:4">
      <c r="A197" s="17" t="s">
        <v>731</v>
      </c>
      <c r="B197">
        <f>VLOOKUP(A197,Amazon_Data_Set[],20,FALSE)</f>
        <v>773.16</v>
      </c>
      <c r="C197">
        <f>_xlfn.XLOOKUP(Vlookup!A197,Amazon_Data_Set[Order ID],Amazon_Data_Set[Profit])</f>
        <v>151.69999999999999</v>
      </c>
      <c r="D197" t="str">
        <f>INDEX('Amazon Data Set'!F:F,MATCH(Vlookup!A197,'Amazon Data Set'!A:A,0))</f>
        <v>Ahmedabad</v>
      </c>
    </row>
    <row r="198" spans="1:4">
      <c r="A198" s="16" t="s">
        <v>734</v>
      </c>
      <c r="B198">
        <f>VLOOKUP(A198,Amazon_Data_Set[],20,FALSE)</f>
        <v>3058.5</v>
      </c>
      <c r="C198">
        <f>_xlfn.XLOOKUP(Vlookup!A198,Amazon_Data_Set[Order ID],Amazon_Data_Set[Profit])</f>
        <v>996.35</v>
      </c>
      <c r="D198" t="str">
        <f>INDEX('Amazon Data Set'!F:F,MATCH(Vlookup!A198,'Amazon Data Set'!A:A,0))</f>
        <v>Chennai</v>
      </c>
    </row>
    <row r="199" spans="1:4">
      <c r="A199" s="17" t="s">
        <v>737</v>
      </c>
      <c r="B199">
        <f>VLOOKUP(A199,Amazon_Data_Set[],20,FALSE)</f>
        <v>509.44</v>
      </c>
      <c r="C199">
        <f>_xlfn.XLOOKUP(Vlookup!A199,Amazon_Data_Set[Order ID],Amazon_Data_Set[Profit])</f>
        <v>7.83</v>
      </c>
      <c r="D199" t="str">
        <f>INDEX('Amazon Data Set'!F:F,MATCH(Vlookup!A199,'Amazon Data Set'!A:A,0))</f>
        <v>New Delhi</v>
      </c>
    </row>
    <row r="200" spans="1:4">
      <c r="A200" s="16" t="s">
        <v>740</v>
      </c>
      <c r="B200">
        <f>VLOOKUP(A200,Amazon_Data_Set[],20,FALSE)</f>
        <v>66418.83</v>
      </c>
      <c r="C200">
        <f>_xlfn.XLOOKUP(Vlookup!A200,Amazon_Data_Set[Order ID],Amazon_Data_Set[Profit])</f>
        <v>21724.11</v>
      </c>
      <c r="D200" t="str">
        <f>INDEX('Amazon Data Set'!F:F,MATCH(Vlookup!A200,'Amazon Data Set'!A:A,0))</f>
        <v>Mumbai</v>
      </c>
    </row>
    <row r="201" spans="1:4">
      <c r="A201" s="17" t="s">
        <v>742</v>
      </c>
      <c r="B201">
        <f>VLOOKUP(A201,Amazon_Data_Set[],20,FALSE)</f>
        <v>3377.52</v>
      </c>
      <c r="C201">
        <f>_xlfn.XLOOKUP(Vlookup!A201,Amazon_Data_Set[Order ID],Amazon_Data_Set[Profit])</f>
        <v>606.54</v>
      </c>
      <c r="D201" t="str">
        <f>INDEX('Amazon Data Set'!F:F,MATCH(Vlookup!A201,'Amazon Data Set'!A:A,0))</f>
        <v>Gurugram</v>
      </c>
    </row>
    <row r="202" spans="1:4">
      <c r="A202" s="16" t="s">
        <v>744</v>
      </c>
      <c r="B202">
        <f>VLOOKUP(A202,Amazon_Data_Set[],20,FALSE)</f>
        <v>977.13</v>
      </c>
      <c r="C202">
        <f>_xlfn.XLOOKUP(Vlookup!A202,Amazon_Data_Set[Order ID],Amazon_Data_Set[Profit])</f>
        <v>211.27</v>
      </c>
      <c r="D202" t="str">
        <f>INDEX('Amazon Data Set'!F:F,MATCH(Vlookup!A202,'Amazon Data Set'!A:A,0))</f>
        <v>Chennai</v>
      </c>
    </row>
    <row r="203" spans="1:4">
      <c r="A203" s="17" t="s">
        <v>747</v>
      </c>
      <c r="B203">
        <f>VLOOKUP(A203,Amazon_Data_Set[],20,FALSE)</f>
        <v>3353.28</v>
      </c>
      <c r="C203">
        <f>_xlfn.XLOOKUP(Vlookup!A203,Amazon_Data_Set[Order ID],Amazon_Data_Set[Profit])</f>
        <v>1312.57</v>
      </c>
      <c r="D203" t="str">
        <f>INDEX('Amazon Data Set'!F:F,MATCH(Vlookup!A203,'Amazon Data Set'!A:A,0))</f>
        <v>Mysuru</v>
      </c>
    </row>
    <row r="204" spans="1:4">
      <c r="A204" s="16" t="s">
        <v>750</v>
      </c>
      <c r="B204">
        <f>VLOOKUP(A204,Amazon_Data_Set[],20,FALSE)</f>
        <v>3493.9</v>
      </c>
      <c r="C204">
        <f>_xlfn.XLOOKUP(Vlookup!A204,Amazon_Data_Set[Order ID],Amazon_Data_Set[Profit])</f>
        <v>1351.31</v>
      </c>
      <c r="D204" t="str">
        <f>INDEX('Amazon Data Set'!F:F,MATCH(Vlookup!A204,'Amazon Data Set'!A:A,0))</f>
        <v>Mysuru</v>
      </c>
    </row>
    <row r="205" spans="1:4">
      <c r="A205" s="17" t="s">
        <v>752</v>
      </c>
      <c r="B205">
        <f>VLOOKUP(A205,Amazon_Data_Set[],20,FALSE)</f>
        <v>12875.5</v>
      </c>
      <c r="C205">
        <f>_xlfn.XLOOKUP(Vlookup!A205,Amazon_Data_Set[Order ID],Amazon_Data_Set[Profit])</f>
        <v>4526.95</v>
      </c>
      <c r="D205" t="str">
        <f>INDEX('Amazon Data Set'!F:F,MATCH(Vlookup!A205,'Amazon Data Set'!A:A,0))</f>
        <v>Gurugram</v>
      </c>
    </row>
    <row r="206" spans="1:4">
      <c r="A206" s="16" t="s">
        <v>754</v>
      </c>
      <c r="B206">
        <f>VLOOKUP(A206,Amazon_Data_Set[],20,FALSE)</f>
        <v>1071.94</v>
      </c>
      <c r="C206">
        <f>_xlfn.XLOOKUP(Vlookup!A206,Amazon_Data_Set[Order ID],Amazon_Data_Set[Profit])</f>
        <v>94.94</v>
      </c>
      <c r="D206" t="str">
        <f>INDEX('Amazon Data Set'!F:F,MATCH(Vlookup!A206,'Amazon Data Set'!A:A,0))</f>
        <v>Ludhiana</v>
      </c>
    </row>
    <row r="207" spans="1:4">
      <c r="A207" s="17" t="s">
        <v>757</v>
      </c>
      <c r="B207">
        <f>VLOOKUP(A207,Amazon_Data_Set[],20,FALSE)</f>
        <v>11430.51</v>
      </c>
      <c r="C207">
        <f>_xlfn.XLOOKUP(Vlookup!A207,Amazon_Data_Set[Order ID],Amazon_Data_Set[Profit])</f>
        <v>4398</v>
      </c>
      <c r="D207" t="str">
        <f>INDEX('Amazon Data Set'!F:F,MATCH(Vlookup!A207,'Amazon Data Set'!A:A,0))</f>
        <v>Ahmedabad</v>
      </c>
    </row>
    <row r="208" spans="1:4">
      <c r="A208" s="16" t="s">
        <v>760</v>
      </c>
      <c r="B208">
        <f>VLOOKUP(A208,Amazon_Data_Set[],20,FALSE)</f>
        <v>375.73</v>
      </c>
      <c r="C208">
        <f>_xlfn.XLOOKUP(Vlookup!A208,Amazon_Data_Set[Order ID],Amazon_Data_Set[Profit])</f>
        <v>-112.42</v>
      </c>
      <c r="D208" t="str">
        <f>INDEX('Amazon Data Set'!F:F,MATCH(Vlookup!A208,'Amazon Data Set'!A:A,0))</f>
        <v>Mysuru</v>
      </c>
    </row>
    <row r="209" spans="1:4">
      <c r="A209" s="17" t="s">
        <v>763</v>
      </c>
      <c r="B209">
        <f>VLOOKUP(A209,Amazon_Data_Set[],20,FALSE)</f>
        <v>8652.5300000000007</v>
      </c>
      <c r="C209">
        <f>_xlfn.XLOOKUP(Vlookup!A209,Amazon_Data_Set[Order ID],Amazon_Data_Set[Profit])</f>
        <v>3698.26</v>
      </c>
      <c r="D209" t="str">
        <f>INDEX('Amazon Data Set'!F:F,MATCH(Vlookup!A209,'Amazon Data Set'!A:A,0))</f>
        <v>Bhubaneswar</v>
      </c>
    </row>
    <row r="210" spans="1:4">
      <c r="A210" s="16" t="s">
        <v>765</v>
      </c>
      <c r="B210">
        <f>VLOOKUP(A210,Amazon_Data_Set[],20,FALSE)</f>
        <v>1170.51</v>
      </c>
      <c r="C210">
        <f>_xlfn.XLOOKUP(Vlookup!A210,Amazon_Data_Set[Order ID],Amazon_Data_Set[Profit])</f>
        <v>250.85</v>
      </c>
      <c r="D210" t="str">
        <f>INDEX('Amazon Data Set'!F:F,MATCH(Vlookup!A210,'Amazon Data Set'!A:A,0))</f>
        <v>Kolkata</v>
      </c>
    </row>
    <row r="211" spans="1:4">
      <c r="A211" s="17" t="s">
        <v>767</v>
      </c>
      <c r="B211">
        <f>VLOOKUP(A211,Amazon_Data_Set[],20,FALSE)</f>
        <v>2948.63</v>
      </c>
      <c r="C211">
        <f>_xlfn.XLOOKUP(Vlookup!A211,Amazon_Data_Set[Order ID],Amazon_Data_Set[Profit])</f>
        <v>867.25</v>
      </c>
      <c r="D211" t="str">
        <f>INDEX('Amazon Data Set'!F:F,MATCH(Vlookup!A211,'Amazon Data Set'!A:A,0))</f>
        <v>Ludhiana</v>
      </c>
    </row>
    <row r="212" spans="1:4">
      <c r="A212" s="16" t="s">
        <v>769</v>
      </c>
      <c r="B212">
        <f>VLOOKUP(A212,Amazon_Data_Set[],20,FALSE)</f>
        <v>155.1</v>
      </c>
      <c r="C212">
        <f>_xlfn.XLOOKUP(Vlookup!A212,Amazon_Data_Set[Order ID],Amazon_Data_Set[Profit])</f>
        <v>-58.13</v>
      </c>
      <c r="D212" t="str">
        <f>INDEX('Amazon Data Set'!F:F,MATCH(Vlookup!A212,'Amazon Data Set'!A:A,0))</f>
        <v>Bhubaneswar</v>
      </c>
    </row>
    <row r="213" spans="1:4">
      <c r="A213" s="17" t="s">
        <v>771</v>
      </c>
      <c r="B213">
        <f>VLOOKUP(A213,Amazon_Data_Set[],20,FALSE)</f>
        <v>243.04</v>
      </c>
      <c r="C213">
        <f>_xlfn.XLOOKUP(Vlookup!A213,Amazon_Data_Set[Order ID],Amazon_Data_Set[Profit])</f>
        <v>16.5</v>
      </c>
      <c r="D213" t="str">
        <f>INDEX('Amazon Data Set'!F:F,MATCH(Vlookup!A213,'Amazon Data Set'!A:A,0))</f>
        <v>New Delhi</v>
      </c>
    </row>
    <row r="214" spans="1:4">
      <c r="A214" s="16" t="s">
        <v>774</v>
      </c>
      <c r="B214">
        <f>VLOOKUP(A214,Amazon_Data_Set[],20,FALSE)</f>
        <v>71650.98</v>
      </c>
      <c r="C214">
        <f>_xlfn.XLOOKUP(Vlookup!A214,Amazon_Data_Set[Order ID],Amazon_Data_Set[Profit])</f>
        <v>19582.900000000001</v>
      </c>
      <c r="D214" t="str">
        <f>INDEX('Amazon Data Set'!F:F,MATCH(Vlookup!A214,'Amazon Data Set'!A:A,0))</f>
        <v>Ahmedabad</v>
      </c>
    </row>
    <row r="215" spans="1:4">
      <c r="A215" s="17" t="s">
        <v>777</v>
      </c>
      <c r="B215">
        <f>VLOOKUP(A215,Amazon_Data_Set[],20,FALSE)</f>
        <v>1666.08</v>
      </c>
      <c r="C215">
        <f>_xlfn.XLOOKUP(Vlookup!A215,Amazon_Data_Set[Order ID],Amazon_Data_Set[Profit])</f>
        <v>131.37</v>
      </c>
      <c r="D215" t="str">
        <f>INDEX('Amazon Data Set'!F:F,MATCH(Vlookup!A215,'Amazon Data Set'!A:A,0))</f>
        <v>Bhubaneswar</v>
      </c>
    </row>
    <row r="216" spans="1:4">
      <c r="A216" s="16" t="s">
        <v>779</v>
      </c>
      <c r="B216">
        <f>VLOOKUP(A216,Amazon_Data_Set[],20,FALSE)</f>
        <v>43910.27</v>
      </c>
      <c r="C216">
        <f>_xlfn.XLOOKUP(Vlookup!A216,Amazon_Data_Set[Order ID],Amazon_Data_Set[Profit])</f>
        <v>10661.18</v>
      </c>
      <c r="D216" t="str">
        <f>INDEX('Amazon Data Set'!F:F,MATCH(Vlookup!A216,'Amazon Data Set'!A:A,0))</f>
        <v>Guwahati</v>
      </c>
    </row>
    <row r="217" spans="1:4">
      <c r="A217" s="17" t="s">
        <v>782</v>
      </c>
      <c r="B217">
        <f>VLOOKUP(A217,Amazon_Data_Set[],20,FALSE)</f>
        <v>1673.15</v>
      </c>
      <c r="C217">
        <f>_xlfn.XLOOKUP(Vlookup!A217,Amazon_Data_Set[Order ID],Amazon_Data_Set[Profit])</f>
        <v>625.34</v>
      </c>
      <c r="D217" t="str">
        <f>INDEX('Amazon Data Set'!F:F,MATCH(Vlookup!A217,'Amazon Data Set'!A:A,0))</f>
        <v>Bengaluru</v>
      </c>
    </row>
    <row r="218" spans="1:4">
      <c r="A218" s="16" t="s">
        <v>784</v>
      </c>
      <c r="B218">
        <f>VLOOKUP(A218,Amazon_Data_Set[],20,FALSE)</f>
        <v>122256.69</v>
      </c>
      <c r="C218">
        <f>_xlfn.XLOOKUP(Vlookup!A218,Amazon_Data_Set[Order ID],Amazon_Data_Set[Profit])</f>
        <v>41031.64</v>
      </c>
      <c r="D218" t="str">
        <f>INDEX('Amazon Data Set'!F:F,MATCH(Vlookup!A218,'Amazon Data Set'!A:A,0))</f>
        <v>Bhubaneswar</v>
      </c>
    </row>
    <row r="219" spans="1:4">
      <c r="A219" s="17" t="s">
        <v>786</v>
      </c>
      <c r="B219">
        <f>VLOOKUP(A219,Amazon_Data_Set[],20,FALSE)</f>
        <v>101971.14</v>
      </c>
      <c r="C219">
        <f>_xlfn.XLOOKUP(Vlookup!A219,Amazon_Data_Set[Order ID],Amazon_Data_Set[Profit])</f>
        <v>29339.99</v>
      </c>
      <c r="D219" t="str">
        <f>INDEX('Amazon Data Set'!F:F,MATCH(Vlookup!A219,'Amazon Data Set'!A:A,0))</f>
        <v>Mumbai</v>
      </c>
    </row>
    <row r="220" spans="1:4">
      <c r="A220" s="16" t="s">
        <v>789</v>
      </c>
      <c r="B220">
        <f>VLOOKUP(A220,Amazon_Data_Set[],20,FALSE)</f>
        <v>2873.5</v>
      </c>
      <c r="C220">
        <f>_xlfn.XLOOKUP(Vlookup!A220,Amazon_Data_Set[Order ID],Amazon_Data_Set[Profit])</f>
        <v>675.75</v>
      </c>
      <c r="D220" t="str">
        <f>INDEX('Amazon Data Set'!F:F,MATCH(Vlookup!A220,'Amazon Data Set'!A:A,0))</f>
        <v>Gurugram</v>
      </c>
    </row>
    <row r="221" spans="1:4">
      <c r="A221" s="17" t="s">
        <v>792</v>
      </c>
      <c r="B221">
        <f>VLOOKUP(A221,Amazon_Data_Set[],20,FALSE)</f>
        <v>3008.58</v>
      </c>
      <c r="C221">
        <f>_xlfn.XLOOKUP(Vlookup!A221,Amazon_Data_Set[Order ID],Amazon_Data_Set[Profit])</f>
        <v>959.93</v>
      </c>
      <c r="D221" t="str">
        <f>INDEX('Amazon Data Set'!F:F,MATCH(Vlookup!A221,'Amazon Data Set'!A:A,0))</f>
        <v>Noida</v>
      </c>
    </row>
    <row r="222" spans="1:4">
      <c r="A222" s="16" t="s">
        <v>795</v>
      </c>
      <c r="B222">
        <f>VLOOKUP(A222,Amazon_Data_Set[],20,FALSE)</f>
        <v>731.1</v>
      </c>
      <c r="C222">
        <f>_xlfn.XLOOKUP(Vlookup!A222,Amazon_Data_Set[Order ID],Amazon_Data_Set[Profit])</f>
        <v>123.4</v>
      </c>
      <c r="D222" t="str">
        <f>INDEX('Amazon Data Set'!F:F,MATCH(Vlookup!A222,'Amazon Data Set'!A:A,0))</f>
        <v>Pune</v>
      </c>
    </row>
    <row r="223" spans="1:4">
      <c r="A223" s="17" t="s">
        <v>798</v>
      </c>
      <c r="B223">
        <f>VLOOKUP(A223,Amazon_Data_Set[],20,FALSE)</f>
        <v>3234.2</v>
      </c>
      <c r="C223">
        <f>_xlfn.XLOOKUP(Vlookup!A223,Amazon_Data_Set[Order ID],Amazon_Data_Set[Profit])</f>
        <v>1183.73</v>
      </c>
      <c r="D223" t="str">
        <f>INDEX('Amazon Data Set'!F:F,MATCH(Vlookup!A223,'Amazon Data Set'!A:A,0))</f>
        <v>Mumbai</v>
      </c>
    </row>
    <row r="224" spans="1:4">
      <c r="A224" s="16" t="s">
        <v>801</v>
      </c>
      <c r="B224">
        <f>VLOOKUP(A224,Amazon_Data_Set[],20,FALSE)</f>
        <v>25034.6</v>
      </c>
      <c r="C224">
        <f>_xlfn.XLOOKUP(Vlookup!A224,Amazon_Data_Set[Order ID],Amazon_Data_Set[Profit])</f>
        <v>8275.8799999999992</v>
      </c>
      <c r="D224" t="str">
        <f>INDEX('Amazon Data Set'!F:F,MATCH(Vlookup!A224,'Amazon Data Set'!A:A,0))</f>
        <v>Chennai</v>
      </c>
    </row>
    <row r="225" spans="1:4">
      <c r="A225" s="17" t="s">
        <v>804</v>
      </c>
      <c r="B225">
        <f>VLOOKUP(A225,Amazon_Data_Set[],20,FALSE)</f>
        <v>2725.78</v>
      </c>
      <c r="C225">
        <f>_xlfn.XLOOKUP(Vlookup!A225,Amazon_Data_Set[Order ID],Amazon_Data_Set[Profit])</f>
        <v>1169.04</v>
      </c>
      <c r="D225" t="str">
        <f>INDEX('Amazon Data Set'!F:F,MATCH(Vlookup!A225,'Amazon Data Set'!A:A,0))</f>
        <v>Kochi</v>
      </c>
    </row>
    <row r="226" spans="1:4">
      <c r="A226" s="16" t="s">
        <v>806</v>
      </c>
      <c r="B226">
        <f>VLOOKUP(A226,Amazon_Data_Set[],20,FALSE)</f>
        <v>463.3</v>
      </c>
      <c r="C226">
        <f>_xlfn.XLOOKUP(Vlookup!A226,Amazon_Data_Set[Order ID],Amazon_Data_Set[Profit])</f>
        <v>61.16</v>
      </c>
      <c r="D226" t="str">
        <f>INDEX('Amazon Data Set'!F:F,MATCH(Vlookup!A226,'Amazon Data Set'!A:A,0))</f>
        <v>Ahmedabad</v>
      </c>
    </row>
    <row r="227" spans="1:4">
      <c r="A227" s="17" t="s">
        <v>808</v>
      </c>
      <c r="B227">
        <f>VLOOKUP(A227,Amazon_Data_Set[],20,FALSE)</f>
        <v>4100.72</v>
      </c>
      <c r="C227">
        <f>_xlfn.XLOOKUP(Vlookup!A227,Amazon_Data_Set[Order ID],Amazon_Data_Set[Profit])</f>
        <v>1730.22</v>
      </c>
      <c r="D227" t="str">
        <f>INDEX('Amazon Data Set'!F:F,MATCH(Vlookup!A227,'Amazon Data Set'!A:A,0))</f>
        <v>Noida</v>
      </c>
    </row>
    <row r="228" spans="1:4">
      <c r="A228" s="16" t="s">
        <v>810</v>
      </c>
      <c r="B228">
        <f>VLOOKUP(A228,Amazon_Data_Set[],20,FALSE)</f>
        <v>6506.6</v>
      </c>
      <c r="C228">
        <f>_xlfn.XLOOKUP(Vlookup!A228,Amazon_Data_Set[Order ID],Amazon_Data_Set[Profit])</f>
        <v>2719.38</v>
      </c>
      <c r="D228" t="str">
        <f>INDEX('Amazon Data Set'!F:F,MATCH(Vlookup!A228,'Amazon Data Set'!A:A,0))</f>
        <v>Hyderabad</v>
      </c>
    </row>
    <row r="229" spans="1:4">
      <c r="A229" s="17" t="s">
        <v>813</v>
      </c>
      <c r="B229">
        <f>VLOOKUP(A229,Amazon_Data_Set[],20,FALSE)</f>
        <v>5518.52</v>
      </c>
      <c r="C229">
        <f>_xlfn.XLOOKUP(Vlookup!A229,Amazon_Data_Set[Order ID],Amazon_Data_Set[Profit])</f>
        <v>2443.81</v>
      </c>
      <c r="D229" t="str">
        <f>INDEX('Amazon Data Set'!F:F,MATCH(Vlookup!A229,'Amazon Data Set'!A:A,0))</f>
        <v>Kolkata</v>
      </c>
    </row>
    <row r="230" spans="1:4">
      <c r="A230" s="16" t="s">
        <v>816</v>
      </c>
      <c r="B230">
        <f>VLOOKUP(A230,Amazon_Data_Set[],20,FALSE)</f>
        <v>6815.7</v>
      </c>
      <c r="C230">
        <f>_xlfn.XLOOKUP(Vlookup!A230,Amazon_Data_Set[Order ID],Amazon_Data_Set[Profit])</f>
        <v>2347.5</v>
      </c>
      <c r="D230" t="str">
        <f>INDEX('Amazon Data Set'!F:F,MATCH(Vlookup!A230,'Amazon Data Set'!A:A,0))</f>
        <v>Kochi</v>
      </c>
    </row>
    <row r="231" spans="1:4">
      <c r="A231" s="17" t="s">
        <v>818</v>
      </c>
      <c r="B231">
        <f>VLOOKUP(A231,Amazon_Data_Set[],20,FALSE)</f>
        <v>2228.85</v>
      </c>
      <c r="C231">
        <f>_xlfn.XLOOKUP(Vlookup!A231,Amazon_Data_Set[Order ID],Amazon_Data_Set[Profit])</f>
        <v>356.94</v>
      </c>
      <c r="D231" t="str">
        <f>INDEX('Amazon Data Set'!F:F,MATCH(Vlookup!A231,'Amazon Data Set'!A:A,0))</f>
        <v>Kochi</v>
      </c>
    </row>
    <row r="232" spans="1:4">
      <c r="A232" s="16" t="s">
        <v>821</v>
      </c>
      <c r="B232">
        <f>VLOOKUP(A232,Amazon_Data_Set[],20,FALSE)</f>
        <v>2218.62</v>
      </c>
      <c r="C232">
        <f>_xlfn.XLOOKUP(Vlookup!A232,Amazon_Data_Set[Order ID],Amazon_Data_Set[Profit])</f>
        <v>704.59</v>
      </c>
      <c r="D232" t="str">
        <f>INDEX('Amazon Data Set'!F:F,MATCH(Vlookup!A232,'Amazon Data Set'!A:A,0))</f>
        <v>Ludhiana</v>
      </c>
    </row>
    <row r="233" spans="1:4">
      <c r="A233" s="17" t="s">
        <v>823</v>
      </c>
      <c r="B233">
        <f>VLOOKUP(A233,Amazon_Data_Set[],20,FALSE)</f>
        <v>708.8</v>
      </c>
      <c r="C233">
        <f>_xlfn.XLOOKUP(Vlookup!A233,Amazon_Data_Set[Order ID],Amazon_Data_Set[Profit])</f>
        <v>51.06</v>
      </c>
      <c r="D233" t="str">
        <f>INDEX('Amazon Data Set'!F:F,MATCH(Vlookup!A233,'Amazon Data Set'!A:A,0))</f>
        <v>Ludhiana</v>
      </c>
    </row>
    <row r="234" spans="1:4">
      <c r="A234" s="16" t="s">
        <v>826</v>
      </c>
      <c r="B234">
        <f>VLOOKUP(A234,Amazon_Data_Set[],20,FALSE)</f>
        <v>1660.29</v>
      </c>
      <c r="C234">
        <f>_xlfn.XLOOKUP(Vlookup!A234,Amazon_Data_Set[Order ID],Amazon_Data_Set[Profit])</f>
        <v>358.25</v>
      </c>
      <c r="D234" t="str">
        <f>INDEX('Amazon Data Set'!F:F,MATCH(Vlookup!A234,'Amazon Data Set'!A:A,0))</f>
        <v>Ahmedabad</v>
      </c>
    </row>
    <row r="235" spans="1:4">
      <c r="A235" s="17" t="s">
        <v>829</v>
      </c>
      <c r="B235">
        <f>VLOOKUP(A235,Amazon_Data_Set[],20,FALSE)</f>
        <v>698.26</v>
      </c>
      <c r="C235">
        <f>_xlfn.XLOOKUP(Vlookup!A235,Amazon_Data_Set[Order ID],Amazon_Data_Set[Profit])</f>
        <v>75.66</v>
      </c>
      <c r="D235" t="str">
        <f>INDEX('Amazon Data Set'!F:F,MATCH(Vlookup!A235,'Amazon Data Set'!A:A,0))</f>
        <v>Kolkata</v>
      </c>
    </row>
    <row r="236" spans="1:4">
      <c r="A236" s="16" t="s">
        <v>831</v>
      </c>
      <c r="B236">
        <f>VLOOKUP(A236,Amazon_Data_Set[],20,FALSE)</f>
        <v>2166.58</v>
      </c>
      <c r="C236">
        <f>_xlfn.XLOOKUP(Vlookup!A236,Amazon_Data_Set[Order ID],Amazon_Data_Set[Profit])</f>
        <v>122.36</v>
      </c>
      <c r="D236" t="str">
        <f>INDEX('Amazon Data Set'!F:F,MATCH(Vlookup!A236,'Amazon Data Set'!A:A,0))</f>
        <v>Patna</v>
      </c>
    </row>
    <row r="237" spans="1:4">
      <c r="A237" s="17" t="s">
        <v>833</v>
      </c>
      <c r="B237">
        <f>VLOOKUP(A237,Amazon_Data_Set[],20,FALSE)</f>
        <v>1272.42</v>
      </c>
      <c r="C237">
        <f>_xlfn.XLOOKUP(Vlookup!A237,Amazon_Data_Set[Order ID],Amazon_Data_Set[Profit])</f>
        <v>274.68</v>
      </c>
      <c r="D237" t="str">
        <f>INDEX('Amazon Data Set'!F:F,MATCH(Vlookup!A237,'Amazon Data Set'!A:A,0))</f>
        <v>Bhubaneswar</v>
      </c>
    </row>
    <row r="238" spans="1:4">
      <c r="A238" s="16" t="s">
        <v>836</v>
      </c>
      <c r="B238">
        <f>VLOOKUP(A238,Amazon_Data_Set[],20,FALSE)</f>
        <v>700.69</v>
      </c>
      <c r="C238">
        <f>_xlfn.XLOOKUP(Vlookup!A238,Amazon_Data_Set[Order ID],Amazon_Data_Set[Profit])</f>
        <v>107.45</v>
      </c>
      <c r="D238" t="str">
        <f>INDEX('Amazon Data Set'!F:F,MATCH(Vlookup!A238,'Amazon Data Set'!A:A,0))</f>
        <v>Noida</v>
      </c>
    </row>
    <row r="239" spans="1:4">
      <c r="A239" s="17" t="s">
        <v>839</v>
      </c>
      <c r="B239">
        <f>VLOOKUP(A239,Amazon_Data_Set[],20,FALSE)</f>
        <v>92026.41</v>
      </c>
      <c r="C239">
        <f>_xlfn.XLOOKUP(Vlookup!A239,Amazon_Data_Set[Order ID],Amazon_Data_Set[Profit])</f>
        <v>33713.089999999997</v>
      </c>
      <c r="D239" t="str">
        <f>INDEX('Amazon Data Set'!F:F,MATCH(Vlookup!A239,'Amazon Data Set'!A:A,0))</f>
        <v>Ahmedabad</v>
      </c>
    </row>
    <row r="240" spans="1:4">
      <c r="A240" s="16" t="s">
        <v>841</v>
      </c>
      <c r="B240">
        <f>VLOOKUP(A240,Amazon_Data_Set[],20,FALSE)</f>
        <v>961.23</v>
      </c>
      <c r="C240">
        <f>_xlfn.XLOOKUP(Vlookup!A240,Amazon_Data_Set[Order ID],Amazon_Data_Set[Profit])</f>
        <v>-6.42</v>
      </c>
      <c r="D240" t="str">
        <f>INDEX('Amazon Data Set'!F:F,MATCH(Vlookup!A240,'Amazon Data Set'!A:A,0))</f>
        <v>Bhubaneswar</v>
      </c>
    </row>
    <row r="241" spans="1:4">
      <c r="A241" s="17" t="s">
        <v>844</v>
      </c>
      <c r="B241">
        <f>VLOOKUP(A241,Amazon_Data_Set[],20,FALSE)</f>
        <v>3573.95</v>
      </c>
      <c r="C241">
        <f>_xlfn.XLOOKUP(Vlookup!A241,Amazon_Data_Set[Order ID],Amazon_Data_Set[Profit])</f>
        <v>1043.8800000000001</v>
      </c>
      <c r="D241" t="str">
        <f>INDEX('Amazon Data Set'!F:F,MATCH(Vlookup!A241,'Amazon Data Set'!A:A,0))</f>
        <v>Bhubaneswar</v>
      </c>
    </row>
    <row r="242" spans="1:4">
      <c r="A242" s="16" t="s">
        <v>846</v>
      </c>
      <c r="B242">
        <f>VLOOKUP(A242,Amazon_Data_Set[],20,FALSE)</f>
        <v>456.81</v>
      </c>
      <c r="C242">
        <f>_xlfn.XLOOKUP(Vlookup!A242,Amazon_Data_Set[Order ID],Amazon_Data_Set[Profit])</f>
        <v>73.319999999999993</v>
      </c>
      <c r="D242" t="str">
        <f>INDEX('Amazon Data Set'!F:F,MATCH(Vlookup!A242,'Amazon Data Set'!A:A,0))</f>
        <v>Jaipur</v>
      </c>
    </row>
    <row r="243" spans="1:4">
      <c r="A243" s="17" t="s">
        <v>849</v>
      </c>
      <c r="B243">
        <f>VLOOKUP(A243,Amazon_Data_Set[],20,FALSE)</f>
        <v>4467.92</v>
      </c>
      <c r="C243">
        <f>_xlfn.XLOOKUP(Vlookup!A243,Amazon_Data_Set[Order ID],Amazon_Data_Set[Profit])</f>
        <v>1738.14</v>
      </c>
      <c r="D243" t="str">
        <f>INDEX('Amazon Data Set'!F:F,MATCH(Vlookup!A243,'Amazon Data Set'!A:A,0))</f>
        <v>Pune</v>
      </c>
    </row>
    <row r="244" spans="1:4">
      <c r="A244" s="16" t="s">
        <v>851</v>
      </c>
      <c r="B244">
        <f>VLOOKUP(A244,Amazon_Data_Set[],20,FALSE)</f>
        <v>1288.73</v>
      </c>
      <c r="C244">
        <f>_xlfn.XLOOKUP(Vlookup!A244,Amazon_Data_Set[Order ID],Amazon_Data_Set[Profit])</f>
        <v>128.93</v>
      </c>
      <c r="D244" t="str">
        <f>INDEX('Amazon Data Set'!F:F,MATCH(Vlookup!A244,'Amazon Data Set'!A:A,0))</f>
        <v>Pune</v>
      </c>
    </row>
    <row r="245" spans="1:4">
      <c r="A245" s="17" t="s">
        <v>853</v>
      </c>
      <c r="B245">
        <f>VLOOKUP(A245,Amazon_Data_Set[],20,FALSE)</f>
        <v>24743.85</v>
      </c>
      <c r="C245">
        <f>_xlfn.XLOOKUP(Vlookup!A245,Amazon_Data_Set[Order ID],Amazon_Data_Set[Profit])</f>
        <v>6920.63</v>
      </c>
      <c r="D245" t="str">
        <f>INDEX('Amazon Data Set'!F:F,MATCH(Vlookup!A245,'Amazon Data Set'!A:A,0))</f>
        <v>Kolkata</v>
      </c>
    </row>
    <row r="246" spans="1:4">
      <c r="A246" s="16" t="s">
        <v>855</v>
      </c>
      <c r="B246">
        <f>VLOOKUP(A246,Amazon_Data_Set[],20,FALSE)</f>
        <v>2843.55</v>
      </c>
      <c r="C246">
        <f>_xlfn.XLOOKUP(Vlookup!A246,Amazon_Data_Set[Order ID],Amazon_Data_Set[Profit])</f>
        <v>376.1</v>
      </c>
      <c r="D246" t="str">
        <f>INDEX('Amazon Data Set'!F:F,MATCH(Vlookup!A246,'Amazon Data Set'!A:A,0))</f>
        <v>New Delhi</v>
      </c>
    </row>
    <row r="247" spans="1:4">
      <c r="A247" s="17" t="s">
        <v>858</v>
      </c>
      <c r="B247">
        <f>VLOOKUP(A247,Amazon_Data_Set[],20,FALSE)</f>
        <v>12015.16</v>
      </c>
      <c r="C247">
        <f>_xlfn.XLOOKUP(Vlookup!A247,Amazon_Data_Set[Order ID],Amazon_Data_Set[Profit])</f>
        <v>3977.1</v>
      </c>
      <c r="D247" t="str">
        <f>INDEX('Amazon Data Set'!F:F,MATCH(Vlookup!A247,'Amazon Data Set'!A:A,0))</f>
        <v>Jaipur</v>
      </c>
    </row>
    <row r="248" spans="1:4">
      <c r="A248" s="16" t="s">
        <v>860</v>
      </c>
      <c r="B248">
        <f>VLOOKUP(A248,Amazon_Data_Set[],20,FALSE)</f>
        <v>731.52</v>
      </c>
      <c r="C248">
        <f>_xlfn.XLOOKUP(Vlookup!A248,Amazon_Data_Set[Order ID],Amazon_Data_Set[Profit])</f>
        <v>82.67</v>
      </c>
      <c r="D248" t="str">
        <f>INDEX('Amazon Data Set'!F:F,MATCH(Vlookup!A248,'Amazon Data Set'!A:A,0))</f>
        <v>Bhubaneswar</v>
      </c>
    </row>
    <row r="249" spans="1:4">
      <c r="A249" s="17" t="s">
        <v>862</v>
      </c>
      <c r="B249">
        <f>VLOOKUP(A249,Amazon_Data_Set[],20,FALSE)</f>
        <v>27613.08</v>
      </c>
      <c r="C249">
        <f>_xlfn.XLOOKUP(Vlookup!A249,Amazon_Data_Set[Order ID],Amazon_Data_Set[Profit])</f>
        <v>9930.89</v>
      </c>
      <c r="D249" t="str">
        <f>INDEX('Amazon Data Set'!F:F,MATCH(Vlookup!A249,'Amazon Data Set'!A:A,0))</f>
        <v>Chennai</v>
      </c>
    </row>
    <row r="250" spans="1:4">
      <c r="A250" s="16" t="s">
        <v>864</v>
      </c>
      <c r="B250">
        <f>VLOOKUP(A250,Amazon_Data_Set[],20,FALSE)</f>
        <v>1922.17</v>
      </c>
      <c r="C250">
        <f>_xlfn.XLOOKUP(Vlookup!A250,Amazon_Data_Set[Order ID],Amazon_Data_Set[Profit])</f>
        <v>873.54</v>
      </c>
      <c r="D250" t="str">
        <f>INDEX('Amazon Data Set'!F:F,MATCH(Vlookup!A250,'Amazon Data Set'!A:A,0))</f>
        <v>Guwahati</v>
      </c>
    </row>
    <row r="251" spans="1:4">
      <c r="A251" s="17" t="s">
        <v>867</v>
      </c>
      <c r="B251">
        <f>VLOOKUP(A251,Amazon_Data_Set[],20,FALSE)</f>
        <v>7448.6</v>
      </c>
      <c r="C251">
        <f>_xlfn.XLOOKUP(Vlookup!A251,Amazon_Data_Set[Order ID],Amazon_Data_Set[Profit])</f>
        <v>1554.39</v>
      </c>
      <c r="D251" t="str">
        <f>INDEX('Amazon Data Set'!F:F,MATCH(Vlookup!A251,'Amazon Data Set'!A:A,0))</f>
        <v>Mysuru</v>
      </c>
    </row>
    <row r="252" spans="1:4">
      <c r="A252" s="16" t="s">
        <v>870</v>
      </c>
      <c r="B252">
        <f>VLOOKUP(A252,Amazon_Data_Set[],20,FALSE)</f>
        <v>64910.12</v>
      </c>
      <c r="C252">
        <f>_xlfn.XLOOKUP(Vlookup!A252,Amazon_Data_Set[Order ID],Amazon_Data_Set[Profit])</f>
        <v>26243.119999999999</v>
      </c>
      <c r="D252" t="str">
        <f>INDEX('Amazon Data Set'!F:F,MATCH(Vlookup!A252,'Amazon Data Set'!A:A,0))</f>
        <v>Mumbai</v>
      </c>
    </row>
    <row r="253" spans="1:4">
      <c r="A253" s="17" t="s">
        <v>872</v>
      </c>
      <c r="B253">
        <f>VLOOKUP(A253,Amazon_Data_Set[],20,FALSE)</f>
        <v>431.51</v>
      </c>
      <c r="C253">
        <f>_xlfn.XLOOKUP(Vlookup!A253,Amazon_Data_Set[Order ID],Amazon_Data_Set[Profit])</f>
        <v>-165.89</v>
      </c>
      <c r="D253" t="str">
        <f>INDEX('Amazon Data Set'!F:F,MATCH(Vlookup!A253,'Amazon Data Set'!A:A,0))</f>
        <v>Bengaluru</v>
      </c>
    </row>
    <row r="254" spans="1:4">
      <c r="A254" s="16" t="s">
        <v>875</v>
      </c>
      <c r="B254">
        <f>VLOOKUP(A254,Amazon_Data_Set[],20,FALSE)</f>
        <v>1721.12</v>
      </c>
      <c r="C254">
        <f>_xlfn.XLOOKUP(Vlookup!A254,Amazon_Data_Set[Order ID],Amazon_Data_Set[Profit])</f>
        <v>227.97</v>
      </c>
      <c r="D254" t="str">
        <f>INDEX('Amazon Data Set'!F:F,MATCH(Vlookup!A254,'Amazon Data Set'!A:A,0))</f>
        <v>Bengaluru</v>
      </c>
    </row>
    <row r="255" spans="1:4">
      <c r="A255" s="17" t="s">
        <v>877</v>
      </c>
      <c r="B255">
        <f>VLOOKUP(A255,Amazon_Data_Set[],20,FALSE)</f>
        <v>7268.2</v>
      </c>
      <c r="C255">
        <f>_xlfn.XLOOKUP(Vlookup!A255,Amazon_Data_Set[Order ID],Amazon_Data_Set[Profit])</f>
        <v>1875.02</v>
      </c>
      <c r="D255" t="str">
        <f>INDEX('Amazon Data Set'!F:F,MATCH(Vlookup!A255,'Amazon Data Set'!A:A,0))</f>
        <v>Mysuru</v>
      </c>
    </row>
    <row r="256" spans="1:4">
      <c r="A256" s="16" t="s">
        <v>879</v>
      </c>
      <c r="B256">
        <f>VLOOKUP(A256,Amazon_Data_Set[],20,FALSE)</f>
        <v>6901.86</v>
      </c>
      <c r="C256">
        <f>_xlfn.XLOOKUP(Vlookup!A256,Amazon_Data_Set[Order ID],Amazon_Data_Set[Profit])</f>
        <v>1407.54</v>
      </c>
      <c r="D256" t="str">
        <f>INDEX('Amazon Data Set'!F:F,MATCH(Vlookup!A256,'Amazon Data Set'!A:A,0))</f>
        <v>Gurugram</v>
      </c>
    </row>
    <row r="257" spans="1:4">
      <c r="A257" s="17" t="s">
        <v>881</v>
      </c>
      <c r="B257">
        <f>VLOOKUP(A257,Amazon_Data_Set[],20,FALSE)</f>
        <v>211407.35999999999</v>
      </c>
      <c r="C257">
        <f>_xlfn.XLOOKUP(Vlookup!A257,Amazon_Data_Set[Order ID],Amazon_Data_Set[Profit])</f>
        <v>63956.91</v>
      </c>
      <c r="D257" t="str">
        <f>INDEX('Amazon Data Set'!F:F,MATCH(Vlookup!A257,'Amazon Data Set'!A:A,0))</f>
        <v>Hyderabad</v>
      </c>
    </row>
    <row r="258" spans="1:4">
      <c r="A258" s="16" t="s">
        <v>883</v>
      </c>
      <c r="B258">
        <f>VLOOKUP(A258,Amazon_Data_Set[],20,FALSE)</f>
        <v>3011.55</v>
      </c>
      <c r="C258">
        <f>_xlfn.XLOOKUP(Vlookup!A258,Amazon_Data_Set[Order ID],Amazon_Data_Set[Profit])</f>
        <v>1182.71</v>
      </c>
      <c r="D258" t="str">
        <f>INDEX('Amazon Data Set'!F:F,MATCH(Vlookup!A258,'Amazon Data Set'!A:A,0))</f>
        <v>Chennai</v>
      </c>
    </row>
    <row r="259" spans="1:4">
      <c r="A259" s="17" t="s">
        <v>886</v>
      </c>
      <c r="B259">
        <f>VLOOKUP(A259,Amazon_Data_Set[],20,FALSE)</f>
        <v>383.18</v>
      </c>
      <c r="C259">
        <f>_xlfn.XLOOKUP(Vlookup!A259,Amazon_Data_Set[Order ID],Amazon_Data_Set[Profit])</f>
        <v>0.82</v>
      </c>
      <c r="D259" t="str">
        <f>INDEX('Amazon Data Set'!F:F,MATCH(Vlookup!A259,'Amazon Data Set'!A:A,0))</f>
        <v>Mysuru</v>
      </c>
    </row>
    <row r="260" spans="1:4">
      <c r="A260" s="16" t="s">
        <v>889</v>
      </c>
      <c r="B260">
        <f>VLOOKUP(A260,Amazon_Data_Set[],20,FALSE)</f>
        <v>1077.4000000000001</v>
      </c>
      <c r="C260">
        <f>_xlfn.XLOOKUP(Vlookup!A260,Amazon_Data_Set[Order ID],Amazon_Data_Set[Profit])</f>
        <v>182.68</v>
      </c>
      <c r="D260" t="str">
        <f>INDEX('Amazon Data Set'!F:F,MATCH(Vlookup!A260,'Amazon Data Set'!A:A,0))</f>
        <v>Hyderabad</v>
      </c>
    </row>
    <row r="261" spans="1:4">
      <c r="A261" s="17" t="s">
        <v>891</v>
      </c>
      <c r="B261">
        <f>VLOOKUP(A261,Amazon_Data_Set[],20,FALSE)</f>
        <v>5445.25</v>
      </c>
      <c r="C261">
        <f>_xlfn.XLOOKUP(Vlookup!A261,Amazon_Data_Set[Order ID],Amazon_Data_Set[Profit])</f>
        <v>2211.31</v>
      </c>
      <c r="D261" t="str">
        <f>INDEX('Amazon Data Set'!F:F,MATCH(Vlookup!A261,'Amazon Data Set'!A:A,0))</f>
        <v>New Delhi</v>
      </c>
    </row>
    <row r="262" spans="1:4">
      <c r="A262" s="16" t="s">
        <v>893</v>
      </c>
      <c r="B262">
        <f>VLOOKUP(A262,Amazon_Data_Set[],20,FALSE)</f>
        <v>136991.79</v>
      </c>
      <c r="C262">
        <f>_xlfn.XLOOKUP(Vlookup!A262,Amazon_Data_Set[Order ID],Amazon_Data_Set[Profit])</f>
        <v>27244.21</v>
      </c>
      <c r="D262" t="str">
        <f>INDEX('Amazon Data Set'!F:F,MATCH(Vlookup!A262,'Amazon Data Set'!A:A,0))</f>
        <v>Noida</v>
      </c>
    </row>
    <row r="263" spans="1:4">
      <c r="A263" s="17" t="s">
        <v>895</v>
      </c>
      <c r="B263">
        <f>VLOOKUP(A263,Amazon_Data_Set[],20,FALSE)</f>
        <v>3200.44</v>
      </c>
      <c r="C263">
        <f>_xlfn.XLOOKUP(Vlookup!A263,Amazon_Data_Set[Order ID],Amazon_Data_Set[Profit])</f>
        <v>779.82</v>
      </c>
      <c r="D263" t="str">
        <f>INDEX('Amazon Data Set'!F:F,MATCH(Vlookup!A263,'Amazon Data Set'!A:A,0))</f>
        <v>Noida</v>
      </c>
    </row>
    <row r="264" spans="1:4">
      <c r="A264" s="16" t="s">
        <v>897</v>
      </c>
      <c r="B264">
        <f>VLOOKUP(A264,Amazon_Data_Set[],20,FALSE)</f>
        <v>170626.15</v>
      </c>
      <c r="C264">
        <f>_xlfn.XLOOKUP(Vlookup!A264,Amazon_Data_Set[Order ID],Amazon_Data_Set[Profit])</f>
        <v>68893.929999999993</v>
      </c>
      <c r="D264" t="str">
        <f>INDEX('Amazon Data Set'!F:F,MATCH(Vlookup!A264,'Amazon Data Set'!A:A,0))</f>
        <v>Ahmedabad</v>
      </c>
    </row>
    <row r="265" spans="1:4">
      <c r="A265" s="17" t="s">
        <v>900</v>
      </c>
      <c r="B265">
        <f>VLOOKUP(A265,Amazon_Data_Set[],20,FALSE)</f>
        <v>6744.72</v>
      </c>
      <c r="C265">
        <f>_xlfn.XLOOKUP(Vlookup!A265,Amazon_Data_Set[Order ID],Amazon_Data_Set[Profit])</f>
        <v>1548.22</v>
      </c>
      <c r="D265" t="str">
        <f>INDEX('Amazon Data Set'!F:F,MATCH(Vlookup!A265,'Amazon Data Set'!A:A,0))</f>
        <v>Bhubaneswar</v>
      </c>
    </row>
    <row r="266" spans="1:4">
      <c r="A266" s="16" t="s">
        <v>903</v>
      </c>
      <c r="B266">
        <f>VLOOKUP(A266,Amazon_Data_Set[],20,FALSE)</f>
        <v>18313.23</v>
      </c>
      <c r="C266">
        <f>_xlfn.XLOOKUP(Vlookup!A266,Amazon_Data_Set[Order ID],Amazon_Data_Set[Profit])</f>
        <v>3452.84</v>
      </c>
      <c r="D266" t="str">
        <f>INDEX('Amazon Data Set'!F:F,MATCH(Vlookup!A266,'Amazon Data Set'!A:A,0))</f>
        <v>Pune</v>
      </c>
    </row>
    <row r="267" spans="1:4">
      <c r="A267" s="17" t="s">
        <v>905</v>
      </c>
      <c r="B267">
        <f>VLOOKUP(A267,Amazon_Data_Set[],20,FALSE)</f>
        <v>1393</v>
      </c>
      <c r="C267">
        <f>_xlfn.XLOOKUP(Vlookup!A267,Amazon_Data_Set[Order ID],Amazon_Data_Set[Profit])</f>
        <v>436.25</v>
      </c>
      <c r="D267" t="str">
        <f>INDEX('Amazon Data Set'!F:F,MATCH(Vlookup!A267,'Amazon Data Set'!A:A,0))</f>
        <v>Bhubaneswar</v>
      </c>
    </row>
    <row r="268" spans="1:4">
      <c r="A268" s="16" t="s">
        <v>907</v>
      </c>
      <c r="B268">
        <f>VLOOKUP(A268,Amazon_Data_Set[],20,FALSE)</f>
        <v>951.9</v>
      </c>
      <c r="C268">
        <f>_xlfn.XLOOKUP(Vlookup!A268,Amazon_Data_Set[Order ID],Amazon_Data_Set[Profit])</f>
        <v>199.75</v>
      </c>
      <c r="D268" t="str">
        <f>INDEX('Amazon Data Set'!F:F,MATCH(Vlookup!A268,'Amazon Data Set'!A:A,0))</f>
        <v>Mumbai</v>
      </c>
    </row>
    <row r="269" spans="1:4">
      <c r="A269" s="17" t="s">
        <v>910</v>
      </c>
      <c r="B269">
        <f>VLOOKUP(A269,Amazon_Data_Set[],20,FALSE)</f>
        <v>449.88</v>
      </c>
      <c r="C269">
        <f>_xlfn.XLOOKUP(Vlookup!A269,Amazon_Data_Set[Order ID],Amazon_Data_Set[Profit])</f>
        <v>138.11000000000001</v>
      </c>
      <c r="D269" t="str">
        <f>INDEX('Amazon Data Set'!F:F,MATCH(Vlookup!A269,'Amazon Data Set'!A:A,0))</f>
        <v>Mysuru</v>
      </c>
    </row>
    <row r="270" spans="1:4">
      <c r="A270" s="16" t="s">
        <v>913</v>
      </c>
      <c r="B270">
        <f>VLOOKUP(A270,Amazon_Data_Set[],20,FALSE)</f>
        <v>457.92</v>
      </c>
      <c r="C270">
        <f>_xlfn.XLOOKUP(Vlookup!A270,Amazon_Data_Set[Order ID],Amazon_Data_Set[Profit])</f>
        <v>37.03</v>
      </c>
      <c r="D270" t="str">
        <f>INDEX('Amazon Data Set'!F:F,MATCH(Vlookup!A270,'Amazon Data Set'!A:A,0))</f>
        <v>Patna</v>
      </c>
    </row>
    <row r="271" spans="1:4">
      <c r="A271" s="17" t="s">
        <v>916</v>
      </c>
      <c r="B271">
        <f>VLOOKUP(A271,Amazon_Data_Set[],20,FALSE)</f>
        <v>23264.55</v>
      </c>
      <c r="C271">
        <f>_xlfn.XLOOKUP(Vlookup!A271,Amazon_Data_Set[Order ID],Amazon_Data_Set[Profit])</f>
        <v>3935.86</v>
      </c>
      <c r="D271" t="str">
        <f>INDEX('Amazon Data Set'!F:F,MATCH(Vlookup!A271,'Amazon Data Set'!A:A,0))</f>
        <v>Kochi</v>
      </c>
    </row>
    <row r="272" spans="1:4">
      <c r="A272" s="16" t="s">
        <v>919</v>
      </c>
      <c r="B272">
        <f>VLOOKUP(A272,Amazon_Data_Set[],20,FALSE)</f>
        <v>3648.76</v>
      </c>
      <c r="C272">
        <f>_xlfn.XLOOKUP(Vlookup!A272,Amazon_Data_Set[Order ID],Amazon_Data_Set[Profit])</f>
        <v>1360.44</v>
      </c>
      <c r="D272" t="str">
        <f>INDEX('Amazon Data Set'!F:F,MATCH(Vlookup!A272,'Amazon Data Set'!A:A,0))</f>
        <v>Jaipur</v>
      </c>
    </row>
    <row r="273" spans="1:4">
      <c r="A273" s="17" t="s">
        <v>921</v>
      </c>
      <c r="B273">
        <f>VLOOKUP(A273,Amazon_Data_Set[],20,FALSE)</f>
        <v>3443.13</v>
      </c>
      <c r="C273">
        <f>_xlfn.XLOOKUP(Vlookup!A273,Amazon_Data_Set[Order ID],Amazon_Data_Set[Profit])</f>
        <v>1073.4100000000001</v>
      </c>
      <c r="D273" t="str">
        <f>INDEX('Amazon Data Set'!F:F,MATCH(Vlookup!A273,'Amazon Data Set'!A:A,0))</f>
        <v>Bhubaneswar</v>
      </c>
    </row>
    <row r="274" spans="1:4">
      <c r="A274" s="16" t="s">
        <v>923</v>
      </c>
      <c r="B274">
        <f>VLOOKUP(A274,Amazon_Data_Set[],20,FALSE)</f>
        <v>4146.2</v>
      </c>
      <c r="C274">
        <f>_xlfn.XLOOKUP(Vlookup!A274,Amazon_Data_Set[Order ID],Amazon_Data_Set[Profit])</f>
        <v>1017.08</v>
      </c>
      <c r="D274" t="str">
        <f>INDEX('Amazon Data Set'!F:F,MATCH(Vlookup!A274,'Amazon Data Set'!A:A,0))</f>
        <v>Ahmedabad</v>
      </c>
    </row>
    <row r="275" spans="1:4">
      <c r="A275" s="17" t="s">
        <v>926</v>
      </c>
      <c r="B275">
        <f>VLOOKUP(A275,Amazon_Data_Set[],20,FALSE)</f>
        <v>692.88</v>
      </c>
      <c r="C275">
        <f>_xlfn.XLOOKUP(Vlookup!A275,Amazon_Data_Set[Order ID],Amazon_Data_Set[Profit])</f>
        <v>86.3</v>
      </c>
      <c r="D275" t="str">
        <f>INDEX('Amazon Data Set'!F:F,MATCH(Vlookup!A275,'Amazon Data Set'!A:A,0))</f>
        <v>New Delhi</v>
      </c>
    </row>
    <row r="276" spans="1:4">
      <c r="A276" s="16" t="s">
        <v>928</v>
      </c>
      <c r="B276">
        <f>VLOOKUP(A276,Amazon_Data_Set[],20,FALSE)</f>
        <v>1482.8</v>
      </c>
      <c r="C276">
        <f>_xlfn.XLOOKUP(Vlookup!A276,Amazon_Data_Set[Order ID],Amazon_Data_Set[Profit])</f>
        <v>225.97</v>
      </c>
      <c r="D276" t="str">
        <f>INDEX('Amazon Data Set'!F:F,MATCH(Vlookup!A276,'Amazon Data Set'!A:A,0))</f>
        <v>Ahmedabad</v>
      </c>
    </row>
    <row r="277" spans="1:4">
      <c r="A277" s="17" t="s">
        <v>930</v>
      </c>
      <c r="B277">
        <f>VLOOKUP(A277,Amazon_Data_Set[],20,FALSE)</f>
        <v>3827.86</v>
      </c>
      <c r="C277">
        <f>_xlfn.XLOOKUP(Vlookup!A277,Amazon_Data_Set[Order ID],Amazon_Data_Set[Profit])</f>
        <v>952.15</v>
      </c>
      <c r="D277" t="str">
        <f>INDEX('Amazon Data Set'!F:F,MATCH(Vlookup!A277,'Amazon Data Set'!A:A,0))</f>
        <v>Noida</v>
      </c>
    </row>
    <row r="278" spans="1:4">
      <c r="A278" s="16" t="s">
        <v>932</v>
      </c>
      <c r="B278">
        <f>VLOOKUP(A278,Amazon_Data_Set[],20,FALSE)</f>
        <v>1963.7</v>
      </c>
      <c r="C278">
        <f>_xlfn.XLOOKUP(Vlookup!A278,Amazon_Data_Set[Order ID],Amazon_Data_Set[Profit])</f>
        <v>381.69</v>
      </c>
      <c r="D278" t="str">
        <f>INDEX('Amazon Data Set'!F:F,MATCH(Vlookup!A278,'Amazon Data Set'!A:A,0))</f>
        <v>Ahmedabad</v>
      </c>
    </row>
    <row r="279" spans="1:4">
      <c r="A279" s="17" t="s">
        <v>934</v>
      </c>
      <c r="B279">
        <f>VLOOKUP(A279,Amazon_Data_Set[],20,FALSE)</f>
        <v>26272.400000000001</v>
      </c>
      <c r="C279">
        <f>_xlfn.XLOOKUP(Vlookup!A279,Amazon_Data_Set[Order ID],Amazon_Data_Set[Profit])</f>
        <v>8333.89</v>
      </c>
      <c r="D279" t="str">
        <f>INDEX('Amazon Data Set'!F:F,MATCH(Vlookup!A279,'Amazon Data Set'!A:A,0))</f>
        <v>New Delhi</v>
      </c>
    </row>
    <row r="280" spans="1:4">
      <c r="A280" s="16" t="s">
        <v>937</v>
      </c>
      <c r="B280">
        <f>VLOOKUP(A280,Amazon_Data_Set[],20,FALSE)</f>
        <v>567.92999999999995</v>
      </c>
      <c r="C280">
        <f>_xlfn.XLOOKUP(Vlookup!A280,Amazon_Data_Set[Order ID],Amazon_Data_Set[Profit])</f>
        <v>92.5</v>
      </c>
      <c r="D280" t="str">
        <f>INDEX('Amazon Data Set'!F:F,MATCH(Vlookup!A280,'Amazon Data Set'!A:A,0))</f>
        <v>Ludhiana</v>
      </c>
    </row>
    <row r="281" spans="1:4">
      <c r="A281" s="17" t="s">
        <v>939</v>
      </c>
      <c r="B281">
        <f>VLOOKUP(A281,Amazon_Data_Set[],20,FALSE)</f>
        <v>4858.8</v>
      </c>
      <c r="C281">
        <f>_xlfn.XLOOKUP(Vlookup!A281,Amazon_Data_Set[Order ID],Amazon_Data_Set[Profit])</f>
        <v>2378.9499999999998</v>
      </c>
      <c r="D281" t="str">
        <f>INDEX('Amazon Data Set'!F:F,MATCH(Vlookup!A281,'Amazon Data Set'!A:A,0))</f>
        <v>Patna</v>
      </c>
    </row>
    <row r="282" spans="1:4">
      <c r="A282" s="16" t="s">
        <v>941</v>
      </c>
      <c r="B282">
        <f>VLOOKUP(A282,Amazon_Data_Set[],20,FALSE)</f>
        <v>9172.2800000000007</v>
      </c>
      <c r="C282">
        <f>_xlfn.XLOOKUP(Vlookup!A282,Amazon_Data_Set[Order ID],Amazon_Data_Set[Profit])</f>
        <v>4180.8</v>
      </c>
      <c r="D282" t="str">
        <f>INDEX('Amazon Data Set'!F:F,MATCH(Vlookup!A282,'Amazon Data Set'!A:A,0))</f>
        <v>Hyderabad</v>
      </c>
    </row>
    <row r="283" spans="1:4">
      <c r="A283" s="17" t="s">
        <v>943</v>
      </c>
      <c r="B283">
        <f>VLOOKUP(A283,Amazon_Data_Set[],20,FALSE)</f>
        <v>11794.8</v>
      </c>
      <c r="C283">
        <f>_xlfn.XLOOKUP(Vlookup!A283,Amazon_Data_Set[Order ID],Amazon_Data_Set[Profit])</f>
        <v>2991.88</v>
      </c>
      <c r="D283" t="str">
        <f>INDEX('Amazon Data Set'!F:F,MATCH(Vlookup!A283,'Amazon Data Set'!A:A,0))</f>
        <v>Hyderabad</v>
      </c>
    </row>
    <row r="284" spans="1:4">
      <c r="A284" s="16" t="s">
        <v>945</v>
      </c>
      <c r="B284">
        <f>VLOOKUP(A284,Amazon_Data_Set[],20,FALSE)</f>
        <v>58786.18</v>
      </c>
      <c r="C284">
        <f>_xlfn.XLOOKUP(Vlookup!A284,Amazon_Data_Set[Order ID],Amazon_Data_Set[Profit])</f>
        <v>13238.74</v>
      </c>
      <c r="D284" t="str">
        <f>INDEX('Amazon Data Set'!F:F,MATCH(Vlookup!A284,'Amazon Data Set'!A:A,0))</f>
        <v>Kolkata</v>
      </c>
    </row>
    <row r="285" spans="1:4">
      <c r="A285" s="17" t="s">
        <v>948</v>
      </c>
      <c r="B285">
        <f>VLOOKUP(A285,Amazon_Data_Set[],20,FALSE)</f>
        <v>30873.48</v>
      </c>
      <c r="C285">
        <f>_xlfn.XLOOKUP(Vlookup!A285,Amazon_Data_Set[Order ID],Amazon_Data_Set[Profit])</f>
        <v>6253.98</v>
      </c>
      <c r="D285" t="str">
        <f>INDEX('Amazon Data Set'!F:F,MATCH(Vlookup!A285,'Amazon Data Set'!A:A,0))</f>
        <v>Mysuru</v>
      </c>
    </row>
    <row r="286" spans="1:4">
      <c r="A286" s="16" t="s">
        <v>950</v>
      </c>
      <c r="B286">
        <f>VLOOKUP(A286,Amazon_Data_Set[],20,FALSE)</f>
        <v>346.71</v>
      </c>
      <c r="C286">
        <f>_xlfn.XLOOKUP(Vlookup!A286,Amazon_Data_Set[Order ID],Amazon_Data_Set[Profit])</f>
        <v>114.73</v>
      </c>
      <c r="D286" t="str">
        <f>INDEX('Amazon Data Set'!F:F,MATCH(Vlookup!A286,'Amazon Data Set'!A:A,0))</f>
        <v>Ahmedabad</v>
      </c>
    </row>
    <row r="287" spans="1:4">
      <c r="A287" s="17" t="s">
        <v>953</v>
      </c>
      <c r="B287">
        <f>VLOOKUP(A287,Amazon_Data_Set[],20,FALSE)</f>
        <v>872.76</v>
      </c>
      <c r="C287">
        <f>_xlfn.XLOOKUP(Vlookup!A287,Amazon_Data_Set[Order ID],Amazon_Data_Set[Profit])</f>
        <v>31.18</v>
      </c>
      <c r="D287" t="str">
        <f>INDEX('Amazon Data Set'!F:F,MATCH(Vlookup!A287,'Amazon Data Set'!A:A,0))</f>
        <v>Bhubaneswar</v>
      </c>
    </row>
    <row r="288" spans="1:4">
      <c r="A288" s="16" t="s">
        <v>955</v>
      </c>
      <c r="B288">
        <f>VLOOKUP(A288,Amazon_Data_Set[],20,FALSE)</f>
        <v>1318.76</v>
      </c>
      <c r="C288">
        <f>_xlfn.XLOOKUP(Vlookup!A288,Amazon_Data_Set[Order ID],Amazon_Data_Set[Profit])</f>
        <v>305.27999999999997</v>
      </c>
      <c r="D288" t="str">
        <f>INDEX('Amazon Data Set'!F:F,MATCH(Vlookup!A288,'Amazon Data Set'!A:A,0))</f>
        <v>Jaipur</v>
      </c>
    </row>
    <row r="289" spans="1:4">
      <c r="A289" s="17" t="s">
        <v>957</v>
      </c>
      <c r="B289">
        <f>VLOOKUP(A289,Amazon_Data_Set[],20,FALSE)</f>
        <v>3313</v>
      </c>
      <c r="C289">
        <f>_xlfn.XLOOKUP(Vlookup!A289,Amazon_Data_Set[Order ID],Amazon_Data_Set[Profit])</f>
        <v>525.72</v>
      </c>
      <c r="D289" t="str">
        <f>INDEX('Amazon Data Set'!F:F,MATCH(Vlookup!A289,'Amazon Data Set'!A:A,0))</f>
        <v>Mysuru</v>
      </c>
    </row>
    <row r="290" spans="1:4">
      <c r="A290" s="16" t="s">
        <v>959</v>
      </c>
      <c r="B290">
        <f>VLOOKUP(A290,Amazon_Data_Set[],20,FALSE)</f>
        <v>13790.54</v>
      </c>
      <c r="C290">
        <f>_xlfn.XLOOKUP(Vlookup!A290,Amazon_Data_Set[Order ID],Amazon_Data_Set[Profit])</f>
        <v>7026.17</v>
      </c>
      <c r="D290" t="str">
        <f>INDEX('Amazon Data Set'!F:F,MATCH(Vlookup!A290,'Amazon Data Set'!A:A,0))</f>
        <v>Kolkata</v>
      </c>
    </row>
    <row r="291" spans="1:4">
      <c r="A291" s="17" t="s">
        <v>961</v>
      </c>
      <c r="B291">
        <f>VLOOKUP(A291,Amazon_Data_Set[],20,FALSE)</f>
        <v>1305.3599999999999</v>
      </c>
      <c r="C291">
        <f>_xlfn.XLOOKUP(Vlookup!A291,Amazon_Data_Set[Order ID],Amazon_Data_Set[Profit])</f>
        <v>265.75</v>
      </c>
      <c r="D291" t="str">
        <f>INDEX('Amazon Data Set'!F:F,MATCH(Vlookup!A291,'Amazon Data Set'!A:A,0))</f>
        <v>Noida</v>
      </c>
    </row>
    <row r="292" spans="1:4">
      <c r="A292" s="16" t="s">
        <v>964</v>
      </c>
      <c r="B292">
        <f>VLOOKUP(A292,Amazon_Data_Set[],20,FALSE)</f>
        <v>1800.72</v>
      </c>
      <c r="C292">
        <f>_xlfn.XLOOKUP(Vlookup!A292,Amazon_Data_Set[Order ID],Amazon_Data_Set[Profit])</f>
        <v>559.24</v>
      </c>
      <c r="D292" t="str">
        <f>INDEX('Amazon Data Set'!F:F,MATCH(Vlookup!A292,'Amazon Data Set'!A:A,0))</f>
        <v>Guwahati</v>
      </c>
    </row>
    <row r="293" spans="1:4">
      <c r="A293" s="17" t="s">
        <v>966</v>
      </c>
      <c r="B293">
        <f>VLOOKUP(A293,Amazon_Data_Set[],20,FALSE)</f>
        <v>6202.23</v>
      </c>
      <c r="C293">
        <f>_xlfn.XLOOKUP(Vlookup!A293,Amazon_Data_Set[Order ID],Amazon_Data_Set[Profit])</f>
        <v>2350.77</v>
      </c>
      <c r="D293" t="str">
        <f>INDEX('Amazon Data Set'!F:F,MATCH(Vlookup!A293,'Amazon Data Set'!A:A,0))</f>
        <v>Ludhiana</v>
      </c>
    </row>
    <row r="294" spans="1:4">
      <c r="A294" s="16" t="s">
        <v>969</v>
      </c>
      <c r="B294">
        <f>VLOOKUP(A294,Amazon_Data_Set[],20,FALSE)</f>
        <v>2470.7399999999998</v>
      </c>
      <c r="C294">
        <f>_xlfn.XLOOKUP(Vlookup!A294,Amazon_Data_Set[Order ID],Amazon_Data_Set[Profit])</f>
        <v>639.84</v>
      </c>
      <c r="D294" t="str">
        <f>INDEX('Amazon Data Set'!F:F,MATCH(Vlookup!A294,'Amazon Data Set'!A:A,0))</f>
        <v>Kolkata</v>
      </c>
    </row>
    <row r="295" spans="1:4">
      <c r="A295" s="17" t="s">
        <v>971</v>
      </c>
      <c r="B295">
        <f>VLOOKUP(A295,Amazon_Data_Set[],20,FALSE)</f>
        <v>354.03</v>
      </c>
      <c r="C295">
        <f>_xlfn.XLOOKUP(Vlookup!A295,Amazon_Data_Set[Order ID],Amazon_Data_Set[Profit])</f>
        <v>-9.0500000000000007</v>
      </c>
      <c r="D295" t="str">
        <f>INDEX('Amazon Data Set'!F:F,MATCH(Vlookup!A295,'Amazon Data Set'!A:A,0))</f>
        <v>Chennai</v>
      </c>
    </row>
    <row r="296" spans="1:4">
      <c r="A296" s="16" t="s">
        <v>973</v>
      </c>
      <c r="B296">
        <f>VLOOKUP(A296,Amazon_Data_Set[],20,FALSE)</f>
        <v>19493.400000000001</v>
      </c>
      <c r="C296">
        <f>_xlfn.XLOOKUP(Vlookup!A296,Amazon_Data_Set[Order ID],Amazon_Data_Set[Profit])</f>
        <v>4805.37</v>
      </c>
      <c r="D296" t="str">
        <f>INDEX('Amazon Data Set'!F:F,MATCH(Vlookup!A296,'Amazon Data Set'!A:A,0))</f>
        <v>Mysuru</v>
      </c>
    </row>
    <row r="297" spans="1:4">
      <c r="A297" s="17" t="s">
        <v>976</v>
      </c>
      <c r="B297">
        <f>VLOOKUP(A297,Amazon_Data_Set[],20,FALSE)</f>
        <v>199602.25</v>
      </c>
      <c r="C297">
        <f>_xlfn.XLOOKUP(Vlookup!A297,Amazon_Data_Set[Order ID],Amazon_Data_Set[Profit])</f>
        <v>42977.61</v>
      </c>
      <c r="D297" t="str">
        <f>INDEX('Amazon Data Set'!F:F,MATCH(Vlookup!A297,'Amazon Data Set'!A:A,0))</f>
        <v>Kolkata</v>
      </c>
    </row>
    <row r="298" spans="1:4">
      <c r="A298" s="16" t="s">
        <v>978</v>
      </c>
      <c r="B298">
        <f>VLOOKUP(A298,Amazon_Data_Set[],20,FALSE)</f>
        <v>166.99</v>
      </c>
      <c r="C298">
        <f>_xlfn.XLOOKUP(Vlookup!A298,Amazon_Data_Set[Order ID],Amazon_Data_Set[Profit])</f>
        <v>-10.61</v>
      </c>
      <c r="D298" t="str">
        <f>INDEX('Amazon Data Set'!F:F,MATCH(Vlookup!A298,'Amazon Data Set'!A:A,0))</f>
        <v>Jaipur</v>
      </c>
    </row>
    <row r="299" spans="1:4">
      <c r="A299" s="17" t="s">
        <v>980</v>
      </c>
      <c r="B299">
        <f>VLOOKUP(A299,Amazon_Data_Set[],20,FALSE)</f>
        <v>4385.8</v>
      </c>
      <c r="C299">
        <f>_xlfn.XLOOKUP(Vlookup!A299,Amazon_Data_Set[Order ID],Amazon_Data_Set[Profit])</f>
        <v>1372.67</v>
      </c>
      <c r="D299" t="str">
        <f>INDEX('Amazon Data Set'!F:F,MATCH(Vlookup!A299,'Amazon Data Set'!A:A,0))</f>
        <v>Noida</v>
      </c>
    </row>
    <row r="300" spans="1:4">
      <c r="A300" s="16" t="s">
        <v>982</v>
      </c>
      <c r="B300">
        <f>VLOOKUP(A300,Amazon_Data_Set[],20,FALSE)</f>
        <v>2212.12</v>
      </c>
      <c r="C300">
        <f>_xlfn.XLOOKUP(Vlookup!A300,Amazon_Data_Set[Order ID],Amazon_Data_Set[Profit])</f>
        <v>331.83</v>
      </c>
      <c r="D300" t="str">
        <f>INDEX('Amazon Data Set'!F:F,MATCH(Vlookup!A300,'Amazon Data Set'!A:A,0))</f>
        <v>Ludhiana</v>
      </c>
    </row>
    <row r="301" spans="1:4">
      <c r="A301" s="17" t="s">
        <v>984</v>
      </c>
      <c r="B301">
        <f>VLOOKUP(A301,Amazon_Data_Set[],20,FALSE)</f>
        <v>64524.84</v>
      </c>
      <c r="C301">
        <f>_xlfn.XLOOKUP(Vlookup!A301,Amazon_Data_Set[Order ID],Amazon_Data_Set[Profit])</f>
        <v>10506.85</v>
      </c>
      <c r="D301" t="str">
        <f>INDEX('Amazon Data Set'!F:F,MATCH(Vlookup!A301,'Amazon Data Set'!A:A,0))</f>
        <v>New Delhi</v>
      </c>
    </row>
    <row r="302" spans="1:4">
      <c r="A302" s="16" t="s">
        <v>986</v>
      </c>
      <c r="B302">
        <f>VLOOKUP(A302,Amazon_Data_Set[],20,FALSE)</f>
        <v>165784.15</v>
      </c>
      <c r="C302">
        <f>_xlfn.XLOOKUP(Vlookup!A302,Amazon_Data_Set[Order ID],Amazon_Data_Set[Profit])</f>
        <v>72726.39</v>
      </c>
      <c r="D302" t="str">
        <f>INDEX('Amazon Data Set'!F:F,MATCH(Vlookup!A302,'Amazon Data Set'!A:A,0))</f>
        <v>Kolkata</v>
      </c>
    </row>
    <row r="303" spans="1:4">
      <c r="A303" s="17" t="s">
        <v>989</v>
      </c>
      <c r="B303">
        <f>VLOOKUP(A303,Amazon_Data_Set[],20,FALSE)</f>
        <v>1539.94</v>
      </c>
      <c r="C303">
        <f>_xlfn.XLOOKUP(Vlookup!A303,Amazon_Data_Set[Order ID],Amazon_Data_Set[Profit])</f>
        <v>353.48</v>
      </c>
      <c r="D303" t="str">
        <f>INDEX('Amazon Data Set'!F:F,MATCH(Vlookup!A303,'Amazon Data Set'!A:A,0))</f>
        <v>New Delhi</v>
      </c>
    </row>
    <row r="304" spans="1:4">
      <c r="A304" s="16" t="s">
        <v>992</v>
      </c>
      <c r="B304">
        <f>VLOOKUP(A304,Amazon_Data_Set[],20,FALSE)</f>
        <v>2250.3000000000002</v>
      </c>
      <c r="C304">
        <f>_xlfn.XLOOKUP(Vlookup!A304,Amazon_Data_Set[Order ID],Amazon_Data_Set[Profit])</f>
        <v>918.87</v>
      </c>
      <c r="D304" t="str">
        <f>INDEX('Amazon Data Set'!F:F,MATCH(Vlookup!A304,'Amazon Data Set'!A:A,0))</f>
        <v>Kochi</v>
      </c>
    </row>
    <row r="305" spans="1:4">
      <c r="A305" s="17" t="s">
        <v>995</v>
      </c>
      <c r="B305">
        <f>VLOOKUP(A305,Amazon_Data_Set[],20,FALSE)</f>
        <v>1279.83</v>
      </c>
      <c r="C305">
        <f>_xlfn.XLOOKUP(Vlookup!A305,Amazon_Data_Set[Order ID],Amazon_Data_Set[Profit])</f>
        <v>557.96</v>
      </c>
      <c r="D305" t="str">
        <f>INDEX('Amazon Data Set'!F:F,MATCH(Vlookup!A305,'Amazon Data Set'!A:A,0))</f>
        <v>Bhubaneswar</v>
      </c>
    </row>
    <row r="306" spans="1:4">
      <c r="A306" s="16" t="s">
        <v>998</v>
      </c>
      <c r="B306">
        <f>VLOOKUP(A306,Amazon_Data_Set[],20,FALSE)</f>
        <v>23051.4</v>
      </c>
      <c r="C306">
        <f>_xlfn.XLOOKUP(Vlookup!A306,Amazon_Data_Set[Order ID],Amazon_Data_Set[Profit])</f>
        <v>9794.51</v>
      </c>
      <c r="D306" t="str">
        <f>INDEX('Amazon Data Set'!F:F,MATCH(Vlookup!A306,'Amazon Data Set'!A:A,0))</f>
        <v>Gurugram</v>
      </c>
    </row>
    <row r="307" spans="1:4">
      <c r="A307" s="17" t="s">
        <v>1000</v>
      </c>
      <c r="B307">
        <f>VLOOKUP(A307,Amazon_Data_Set[],20,FALSE)</f>
        <v>10877.25</v>
      </c>
      <c r="C307">
        <f>_xlfn.XLOOKUP(Vlookup!A307,Amazon_Data_Set[Order ID],Amazon_Data_Set[Profit])</f>
        <v>1931.51</v>
      </c>
      <c r="D307" t="str">
        <f>INDEX('Amazon Data Set'!F:F,MATCH(Vlookup!A307,'Amazon Data Set'!A:A,0))</f>
        <v>Jaipur</v>
      </c>
    </row>
    <row r="308" spans="1:4">
      <c r="A308" s="16" t="s">
        <v>1002</v>
      </c>
      <c r="B308">
        <f>VLOOKUP(A308,Amazon_Data_Set[],20,FALSE)</f>
        <v>3848.67</v>
      </c>
      <c r="C308">
        <f>_xlfn.XLOOKUP(Vlookup!A308,Amazon_Data_Set[Order ID],Amazon_Data_Set[Profit])</f>
        <v>1785.62</v>
      </c>
      <c r="D308" t="str">
        <f>INDEX('Amazon Data Set'!F:F,MATCH(Vlookup!A308,'Amazon Data Set'!A:A,0))</f>
        <v>Jaipur</v>
      </c>
    </row>
    <row r="309" spans="1:4">
      <c r="A309" s="17" t="s">
        <v>1004</v>
      </c>
      <c r="B309">
        <f>VLOOKUP(A309,Amazon_Data_Set[],20,FALSE)</f>
        <v>55123.08</v>
      </c>
      <c r="C309">
        <f>_xlfn.XLOOKUP(Vlookup!A309,Amazon_Data_Set[Order ID],Amazon_Data_Set[Profit])</f>
        <v>16787.150000000001</v>
      </c>
      <c r="D309" t="str">
        <f>INDEX('Amazon Data Set'!F:F,MATCH(Vlookup!A309,'Amazon Data Set'!A:A,0))</f>
        <v>Bhubaneswar</v>
      </c>
    </row>
    <row r="310" spans="1:4">
      <c r="A310" s="16" t="s">
        <v>1007</v>
      </c>
      <c r="B310">
        <f>VLOOKUP(A310,Amazon_Data_Set[],20,FALSE)</f>
        <v>637.72</v>
      </c>
      <c r="C310">
        <f>_xlfn.XLOOKUP(Vlookup!A310,Amazon_Data_Set[Order ID],Amazon_Data_Set[Profit])</f>
        <v>226.33</v>
      </c>
      <c r="D310" t="str">
        <f>INDEX('Amazon Data Set'!F:F,MATCH(Vlookup!A310,'Amazon Data Set'!A:A,0))</f>
        <v>Pune</v>
      </c>
    </row>
    <row r="311" spans="1:4">
      <c r="A311" s="17" t="s">
        <v>1009</v>
      </c>
      <c r="B311">
        <f>VLOOKUP(A311,Amazon_Data_Set[],20,FALSE)</f>
        <v>916.62</v>
      </c>
      <c r="C311">
        <f>_xlfn.XLOOKUP(Vlookup!A311,Amazon_Data_Set[Order ID],Amazon_Data_Set[Profit])</f>
        <v>228.21</v>
      </c>
      <c r="D311" t="str">
        <f>INDEX('Amazon Data Set'!F:F,MATCH(Vlookup!A311,'Amazon Data Set'!A:A,0))</f>
        <v>Pune</v>
      </c>
    </row>
    <row r="312" spans="1:4">
      <c r="A312" s="16" t="s">
        <v>1012</v>
      </c>
      <c r="B312">
        <f>VLOOKUP(A312,Amazon_Data_Set[],20,FALSE)</f>
        <v>770.64</v>
      </c>
      <c r="C312">
        <f>_xlfn.XLOOKUP(Vlookup!A312,Amazon_Data_Set[Order ID],Amazon_Data_Set[Profit])</f>
        <v>201.45</v>
      </c>
      <c r="D312" t="str">
        <f>INDEX('Amazon Data Set'!F:F,MATCH(Vlookup!A312,'Amazon Data Set'!A:A,0))</f>
        <v>Mysuru</v>
      </c>
    </row>
    <row r="313" spans="1:4">
      <c r="A313" s="17" t="s">
        <v>1014</v>
      </c>
      <c r="B313">
        <f>VLOOKUP(A313,Amazon_Data_Set[],20,FALSE)</f>
        <v>292.81</v>
      </c>
      <c r="C313">
        <f>_xlfn.XLOOKUP(Vlookup!A313,Amazon_Data_Set[Order ID],Amazon_Data_Set[Profit])</f>
        <v>-34.869999999999997</v>
      </c>
      <c r="D313" t="str">
        <f>INDEX('Amazon Data Set'!F:F,MATCH(Vlookup!A313,'Amazon Data Set'!A:A,0))</f>
        <v>Gurugram</v>
      </c>
    </row>
    <row r="314" spans="1:4">
      <c r="A314" s="16" t="s">
        <v>1017</v>
      </c>
      <c r="B314">
        <f>VLOOKUP(A314,Amazon_Data_Set[],20,FALSE)</f>
        <v>7271.56</v>
      </c>
      <c r="C314">
        <f>_xlfn.XLOOKUP(Vlookup!A314,Amazon_Data_Set[Order ID],Amazon_Data_Set[Profit])</f>
        <v>1084.99</v>
      </c>
      <c r="D314" t="str">
        <f>INDEX('Amazon Data Set'!F:F,MATCH(Vlookup!A314,'Amazon Data Set'!A:A,0))</f>
        <v>Kolkata</v>
      </c>
    </row>
    <row r="315" spans="1:4">
      <c r="A315" s="17" t="s">
        <v>1019</v>
      </c>
      <c r="B315">
        <f>VLOOKUP(A315,Amazon_Data_Set[],20,FALSE)</f>
        <v>15965.48</v>
      </c>
      <c r="C315">
        <f>_xlfn.XLOOKUP(Vlookup!A315,Amazon_Data_Set[Order ID],Amazon_Data_Set[Profit])</f>
        <v>5192.72</v>
      </c>
      <c r="D315" t="str">
        <f>INDEX('Amazon Data Set'!F:F,MATCH(Vlookup!A315,'Amazon Data Set'!A:A,0))</f>
        <v>Jaipur</v>
      </c>
    </row>
    <row r="316" spans="1:4">
      <c r="A316" s="16" t="s">
        <v>1021</v>
      </c>
      <c r="B316">
        <f>VLOOKUP(A316,Amazon_Data_Set[],20,FALSE)</f>
        <v>82372.05</v>
      </c>
      <c r="C316">
        <f>_xlfn.XLOOKUP(Vlookup!A316,Amazon_Data_Set[Order ID],Amazon_Data_Set[Profit])</f>
        <v>27655.72</v>
      </c>
      <c r="D316" t="str">
        <f>INDEX('Amazon Data Set'!F:F,MATCH(Vlookup!A316,'Amazon Data Set'!A:A,0))</f>
        <v>Pune</v>
      </c>
    </row>
    <row r="317" spans="1:4">
      <c r="A317" s="17" t="s">
        <v>1024</v>
      </c>
      <c r="B317">
        <f>VLOOKUP(A317,Amazon_Data_Set[],20,FALSE)</f>
        <v>5377.77</v>
      </c>
      <c r="C317">
        <f>_xlfn.XLOOKUP(Vlookup!A317,Amazon_Data_Set[Order ID],Amazon_Data_Set[Profit])</f>
        <v>2204.44</v>
      </c>
      <c r="D317" t="str">
        <f>INDEX('Amazon Data Set'!F:F,MATCH(Vlookup!A317,'Amazon Data Set'!A:A,0))</f>
        <v>Patna</v>
      </c>
    </row>
    <row r="318" spans="1:4">
      <c r="A318" s="16" t="s">
        <v>1026</v>
      </c>
      <c r="B318">
        <f>VLOOKUP(A318,Amazon_Data_Set[],20,FALSE)</f>
        <v>2398.89</v>
      </c>
      <c r="C318">
        <f>_xlfn.XLOOKUP(Vlookup!A318,Amazon_Data_Set[Order ID],Amazon_Data_Set[Profit])</f>
        <v>807.19</v>
      </c>
      <c r="D318" t="str">
        <f>INDEX('Amazon Data Set'!F:F,MATCH(Vlookup!A318,'Amazon Data Set'!A:A,0))</f>
        <v>Gurugram</v>
      </c>
    </row>
    <row r="319" spans="1:4">
      <c r="A319" s="17" t="s">
        <v>1028</v>
      </c>
      <c r="B319">
        <f>VLOOKUP(A319,Amazon_Data_Set[],20,FALSE)</f>
        <v>1139.5</v>
      </c>
      <c r="C319">
        <f>_xlfn.XLOOKUP(Vlookup!A319,Amazon_Data_Set[Order ID],Amazon_Data_Set[Profit])</f>
        <v>382.05</v>
      </c>
      <c r="D319" t="str">
        <f>INDEX('Amazon Data Set'!F:F,MATCH(Vlookup!A319,'Amazon Data Set'!A:A,0))</f>
        <v>Noida</v>
      </c>
    </row>
    <row r="320" spans="1:4">
      <c r="A320" s="16" t="s">
        <v>1030</v>
      </c>
      <c r="B320">
        <f>VLOOKUP(A320,Amazon_Data_Set[],20,FALSE)</f>
        <v>5063.79</v>
      </c>
      <c r="C320">
        <f>_xlfn.XLOOKUP(Vlookup!A320,Amazon_Data_Set[Order ID],Amazon_Data_Set[Profit])</f>
        <v>1294.3800000000001</v>
      </c>
      <c r="D320" t="str">
        <f>INDEX('Amazon Data Set'!F:F,MATCH(Vlookup!A320,'Amazon Data Set'!A:A,0))</f>
        <v>Patna</v>
      </c>
    </row>
    <row r="321" spans="1:4">
      <c r="A321" s="17" t="s">
        <v>1032</v>
      </c>
      <c r="B321">
        <f>VLOOKUP(A321,Amazon_Data_Set[],20,FALSE)</f>
        <v>29030.16</v>
      </c>
      <c r="C321">
        <f>_xlfn.XLOOKUP(Vlookup!A321,Amazon_Data_Set[Order ID],Amazon_Data_Set[Profit])</f>
        <v>11311.75</v>
      </c>
      <c r="D321" t="str">
        <f>INDEX('Amazon Data Set'!F:F,MATCH(Vlookup!A321,'Amazon Data Set'!A:A,0))</f>
        <v>Noida</v>
      </c>
    </row>
    <row r="322" spans="1:4">
      <c r="A322" s="16" t="s">
        <v>1034</v>
      </c>
      <c r="B322">
        <f>VLOOKUP(A322,Amazon_Data_Set[],20,FALSE)</f>
        <v>2708.88</v>
      </c>
      <c r="C322">
        <f>_xlfn.XLOOKUP(Vlookup!A322,Amazon_Data_Set[Order ID],Amazon_Data_Set[Profit])</f>
        <v>801.94</v>
      </c>
      <c r="D322" t="str">
        <f>INDEX('Amazon Data Set'!F:F,MATCH(Vlookup!A322,'Amazon Data Set'!A:A,0))</f>
        <v>Gurugram</v>
      </c>
    </row>
    <row r="323" spans="1:4">
      <c r="A323" s="17" t="s">
        <v>1036</v>
      </c>
      <c r="B323">
        <f>VLOOKUP(A323,Amazon_Data_Set[],20,FALSE)</f>
        <v>353.05</v>
      </c>
      <c r="C323">
        <f>_xlfn.XLOOKUP(Vlookup!A323,Amazon_Data_Set[Order ID],Amazon_Data_Set[Profit])</f>
        <v>-38.130000000000003</v>
      </c>
      <c r="D323" t="str">
        <f>INDEX('Amazon Data Set'!F:F,MATCH(Vlookup!A323,'Amazon Data Set'!A:A,0))</f>
        <v>Noida</v>
      </c>
    </row>
    <row r="324" spans="1:4">
      <c r="A324" s="16" t="s">
        <v>1039</v>
      </c>
      <c r="B324">
        <f>VLOOKUP(A324,Amazon_Data_Set[],20,FALSE)</f>
        <v>1980.41</v>
      </c>
      <c r="C324">
        <f>_xlfn.XLOOKUP(Vlookup!A324,Amazon_Data_Set[Order ID],Amazon_Data_Set[Profit])</f>
        <v>529.89</v>
      </c>
      <c r="D324" t="str">
        <f>INDEX('Amazon Data Set'!F:F,MATCH(Vlookup!A324,'Amazon Data Set'!A:A,0))</f>
        <v>Guwahati</v>
      </c>
    </row>
    <row r="325" spans="1:4">
      <c r="A325" s="17" t="s">
        <v>1042</v>
      </c>
      <c r="B325">
        <f>VLOOKUP(A325,Amazon_Data_Set[],20,FALSE)</f>
        <v>12115.35</v>
      </c>
      <c r="C325">
        <f>_xlfn.XLOOKUP(Vlookup!A325,Amazon_Data_Set[Order ID],Amazon_Data_Set[Profit])</f>
        <v>5246.98</v>
      </c>
      <c r="D325" t="str">
        <f>INDEX('Amazon Data Set'!F:F,MATCH(Vlookup!A325,'Amazon Data Set'!A:A,0))</f>
        <v>Gurugram</v>
      </c>
    </row>
    <row r="326" spans="1:4">
      <c r="A326" s="16" t="s">
        <v>1044</v>
      </c>
      <c r="B326">
        <f>VLOOKUP(A326,Amazon_Data_Set[],20,FALSE)</f>
        <v>32068.04</v>
      </c>
      <c r="C326">
        <f>_xlfn.XLOOKUP(Vlookup!A326,Amazon_Data_Set[Order ID],Amazon_Data_Set[Profit])</f>
        <v>12798.59</v>
      </c>
      <c r="D326" t="str">
        <f>INDEX('Amazon Data Set'!F:F,MATCH(Vlookup!A326,'Amazon Data Set'!A:A,0))</f>
        <v>Noida</v>
      </c>
    </row>
    <row r="327" spans="1:4">
      <c r="A327" s="17" t="s">
        <v>1047</v>
      </c>
      <c r="B327">
        <f>VLOOKUP(A327,Amazon_Data_Set[],20,FALSE)</f>
        <v>57813.279999999999</v>
      </c>
      <c r="C327">
        <f>_xlfn.XLOOKUP(Vlookup!A327,Amazon_Data_Set[Order ID],Amazon_Data_Set[Profit])</f>
        <v>24012.12</v>
      </c>
      <c r="D327" t="str">
        <f>INDEX('Amazon Data Set'!F:F,MATCH(Vlookup!A327,'Amazon Data Set'!A:A,0))</f>
        <v>Mumbai</v>
      </c>
    </row>
    <row r="328" spans="1:4">
      <c r="A328" s="16" t="s">
        <v>1050</v>
      </c>
      <c r="B328">
        <f>VLOOKUP(A328,Amazon_Data_Set[],20,FALSE)</f>
        <v>3355.6</v>
      </c>
      <c r="C328">
        <f>_xlfn.XLOOKUP(Vlookup!A328,Amazon_Data_Set[Order ID],Amazon_Data_Set[Profit])</f>
        <v>463.8</v>
      </c>
      <c r="D328" t="str">
        <f>INDEX('Amazon Data Set'!F:F,MATCH(Vlookup!A328,'Amazon Data Set'!A:A,0))</f>
        <v>Noida</v>
      </c>
    </row>
    <row r="329" spans="1:4">
      <c r="A329" s="17" t="s">
        <v>1052</v>
      </c>
      <c r="B329">
        <f>VLOOKUP(A329,Amazon_Data_Set[],20,FALSE)</f>
        <v>7948.85</v>
      </c>
      <c r="C329">
        <f>_xlfn.XLOOKUP(Vlookup!A329,Amazon_Data_Set[Order ID],Amazon_Data_Set[Profit])</f>
        <v>2311.94</v>
      </c>
      <c r="D329" t="str">
        <f>INDEX('Amazon Data Set'!F:F,MATCH(Vlookup!A329,'Amazon Data Set'!A:A,0))</f>
        <v>Gurugram</v>
      </c>
    </row>
    <row r="330" spans="1:4">
      <c r="A330" s="16" t="s">
        <v>1054</v>
      </c>
      <c r="B330">
        <f>VLOOKUP(A330,Amazon_Data_Set[],20,FALSE)</f>
        <v>4902.16</v>
      </c>
      <c r="C330">
        <f>_xlfn.XLOOKUP(Vlookup!A330,Amazon_Data_Set[Order ID],Amazon_Data_Set[Profit])</f>
        <v>1704.67</v>
      </c>
      <c r="D330" t="str">
        <f>INDEX('Amazon Data Set'!F:F,MATCH(Vlookup!A330,'Amazon Data Set'!A:A,0))</f>
        <v>Mumbai</v>
      </c>
    </row>
    <row r="331" spans="1:4">
      <c r="A331" s="17" t="s">
        <v>1056</v>
      </c>
      <c r="B331">
        <f>VLOOKUP(A331,Amazon_Data_Set[],20,FALSE)</f>
        <v>16728.86</v>
      </c>
      <c r="C331">
        <f>_xlfn.XLOOKUP(Vlookup!A331,Amazon_Data_Set[Order ID],Amazon_Data_Set[Profit])</f>
        <v>5655.78</v>
      </c>
      <c r="D331" t="str">
        <f>INDEX('Amazon Data Set'!F:F,MATCH(Vlookup!A331,'Amazon Data Set'!A:A,0))</f>
        <v>Pune</v>
      </c>
    </row>
    <row r="332" spans="1:4">
      <c r="A332" s="16" t="s">
        <v>1059</v>
      </c>
      <c r="B332">
        <f>VLOOKUP(A332,Amazon_Data_Set[],20,FALSE)</f>
        <v>1620.35</v>
      </c>
      <c r="C332">
        <f>_xlfn.XLOOKUP(Vlookup!A332,Amazon_Data_Set[Order ID],Amazon_Data_Set[Profit])</f>
        <v>590.37</v>
      </c>
      <c r="D332" t="str">
        <f>INDEX('Amazon Data Set'!F:F,MATCH(Vlookup!A332,'Amazon Data Set'!A:A,0))</f>
        <v>Kochi</v>
      </c>
    </row>
    <row r="333" spans="1:4">
      <c r="A333" s="17" t="s">
        <v>1062</v>
      </c>
      <c r="B333">
        <f>VLOOKUP(A333,Amazon_Data_Set[],20,FALSE)</f>
        <v>1930.8</v>
      </c>
      <c r="C333">
        <f>_xlfn.XLOOKUP(Vlookup!A333,Amazon_Data_Set[Order ID],Amazon_Data_Set[Profit])</f>
        <v>285.99</v>
      </c>
      <c r="D333" t="str">
        <f>INDEX('Amazon Data Set'!F:F,MATCH(Vlookup!A333,'Amazon Data Set'!A:A,0))</f>
        <v>Kolkata</v>
      </c>
    </row>
    <row r="334" spans="1:4">
      <c r="A334" s="16" t="s">
        <v>1064</v>
      </c>
      <c r="B334">
        <f>VLOOKUP(A334,Amazon_Data_Set[],20,FALSE)</f>
        <v>166133.46</v>
      </c>
      <c r="C334">
        <f>_xlfn.XLOOKUP(Vlookup!A334,Amazon_Data_Set[Order ID],Amazon_Data_Set[Profit])</f>
        <v>58289.45</v>
      </c>
      <c r="D334" t="str">
        <f>INDEX('Amazon Data Set'!F:F,MATCH(Vlookup!A334,'Amazon Data Set'!A:A,0))</f>
        <v>Noida</v>
      </c>
    </row>
    <row r="335" spans="1:4">
      <c r="A335" s="17" t="s">
        <v>1066</v>
      </c>
      <c r="B335">
        <f>VLOOKUP(A335,Amazon_Data_Set[],20,FALSE)</f>
        <v>7804.06</v>
      </c>
      <c r="C335">
        <f>_xlfn.XLOOKUP(Vlookup!A335,Amazon_Data_Set[Order ID],Amazon_Data_Set[Profit])</f>
        <v>2544.4499999999998</v>
      </c>
      <c r="D335" t="str">
        <f>INDEX('Amazon Data Set'!F:F,MATCH(Vlookup!A335,'Amazon Data Set'!A:A,0))</f>
        <v>Kolkata</v>
      </c>
    </row>
    <row r="336" spans="1:4">
      <c r="A336" s="16" t="s">
        <v>1068</v>
      </c>
      <c r="B336">
        <f>VLOOKUP(A336,Amazon_Data_Set[],20,FALSE)</f>
        <v>5952.34</v>
      </c>
      <c r="C336">
        <f>_xlfn.XLOOKUP(Vlookup!A336,Amazon_Data_Set[Order ID],Amazon_Data_Set[Profit])</f>
        <v>1512.21</v>
      </c>
      <c r="D336" t="str">
        <f>INDEX('Amazon Data Set'!F:F,MATCH(Vlookup!A336,'Amazon Data Set'!A:A,0))</f>
        <v>Noida</v>
      </c>
    </row>
    <row r="337" spans="1:4">
      <c r="A337" s="17" t="s">
        <v>1070</v>
      </c>
      <c r="B337">
        <f>VLOOKUP(A337,Amazon_Data_Set[],20,FALSE)</f>
        <v>10095.6</v>
      </c>
      <c r="C337">
        <f>_xlfn.XLOOKUP(Vlookup!A337,Amazon_Data_Set[Order ID],Amazon_Data_Set[Profit])</f>
        <v>2562.77</v>
      </c>
      <c r="D337" t="str">
        <f>INDEX('Amazon Data Set'!F:F,MATCH(Vlookup!A337,'Amazon Data Set'!A:A,0))</f>
        <v>Kochi</v>
      </c>
    </row>
    <row r="338" spans="1:4">
      <c r="A338" s="16" t="s">
        <v>1073</v>
      </c>
      <c r="B338">
        <f>VLOOKUP(A338,Amazon_Data_Set[],20,FALSE)</f>
        <v>2415.35</v>
      </c>
      <c r="C338">
        <f>_xlfn.XLOOKUP(Vlookup!A338,Amazon_Data_Set[Order ID],Amazon_Data_Set[Profit])</f>
        <v>272.45</v>
      </c>
      <c r="D338" t="str">
        <f>INDEX('Amazon Data Set'!F:F,MATCH(Vlookup!A338,'Amazon Data Set'!A:A,0))</f>
        <v>Gurugram</v>
      </c>
    </row>
    <row r="339" spans="1:4">
      <c r="A339" s="17" t="s">
        <v>1076</v>
      </c>
      <c r="B339">
        <f>VLOOKUP(A339,Amazon_Data_Set[],20,FALSE)</f>
        <v>4513.3999999999996</v>
      </c>
      <c r="C339">
        <f>_xlfn.XLOOKUP(Vlookup!A339,Amazon_Data_Set[Order ID],Amazon_Data_Set[Profit])</f>
        <v>1941.98</v>
      </c>
      <c r="D339" t="str">
        <f>INDEX('Amazon Data Set'!F:F,MATCH(Vlookup!A339,'Amazon Data Set'!A:A,0))</f>
        <v>Bengaluru</v>
      </c>
    </row>
    <row r="340" spans="1:4">
      <c r="A340" s="16" t="s">
        <v>1078</v>
      </c>
      <c r="B340">
        <f>VLOOKUP(A340,Amazon_Data_Set[],20,FALSE)</f>
        <v>4248.6400000000003</v>
      </c>
      <c r="C340">
        <f>_xlfn.XLOOKUP(Vlookup!A340,Amazon_Data_Set[Order ID],Amazon_Data_Set[Profit])</f>
        <v>1713.59</v>
      </c>
      <c r="D340" t="str">
        <f>INDEX('Amazon Data Set'!F:F,MATCH(Vlookup!A340,'Amazon Data Set'!A:A,0))</f>
        <v>Kolkata</v>
      </c>
    </row>
    <row r="341" spans="1:4">
      <c r="A341" s="17" t="s">
        <v>1081</v>
      </c>
      <c r="B341">
        <f>VLOOKUP(A341,Amazon_Data_Set[],20,FALSE)</f>
        <v>25759</v>
      </c>
      <c r="C341">
        <f>_xlfn.XLOOKUP(Vlookup!A341,Amazon_Data_Set[Order ID],Amazon_Data_Set[Profit])</f>
        <v>10952.88</v>
      </c>
      <c r="D341" t="str">
        <f>INDEX('Amazon Data Set'!F:F,MATCH(Vlookup!A341,'Amazon Data Set'!A:A,0))</f>
        <v>Patna</v>
      </c>
    </row>
    <row r="342" spans="1:4">
      <c r="A342" s="16" t="s">
        <v>1083</v>
      </c>
      <c r="B342">
        <f>VLOOKUP(A342,Amazon_Data_Set[],20,FALSE)</f>
        <v>46956.63</v>
      </c>
      <c r="C342">
        <f>_xlfn.XLOOKUP(Vlookup!A342,Amazon_Data_Set[Order ID],Amazon_Data_Set[Profit])</f>
        <v>17718.759999999998</v>
      </c>
      <c r="D342" t="str">
        <f>INDEX('Amazon Data Set'!F:F,MATCH(Vlookup!A342,'Amazon Data Set'!A:A,0))</f>
        <v>Kolkata</v>
      </c>
    </row>
    <row r="343" spans="1:4">
      <c r="A343" s="17" t="s">
        <v>1085</v>
      </c>
      <c r="B343">
        <f>VLOOKUP(A343,Amazon_Data_Set[],20,FALSE)</f>
        <v>1896.96</v>
      </c>
      <c r="C343">
        <f>_xlfn.XLOOKUP(Vlookup!A343,Amazon_Data_Set[Order ID],Amazon_Data_Set[Profit])</f>
        <v>776.48</v>
      </c>
      <c r="D343" t="str">
        <f>INDEX('Amazon Data Set'!F:F,MATCH(Vlookup!A343,'Amazon Data Set'!A:A,0))</f>
        <v>Mumbai</v>
      </c>
    </row>
    <row r="344" spans="1:4">
      <c r="A344" s="16" t="s">
        <v>1087</v>
      </c>
      <c r="B344">
        <f>VLOOKUP(A344,Amazon_Data_Set[],20,FALSE)</f>
        <v>41541.4</v>
      </c>
      <c r="C344">
        <f>_xlfn.XLOOKUP(Vlookup!A344,Amazon_Data_Set[Order ID],Amazon_Data_Set[Profit])</f>
        <v>11490.24</v>
      </c>
      <c r="D344" t="str">
        <f>INDEX('Amazon Data Set'!F:F,MATCH(Vlookup!A344,'Amazon Data Set'!A:A,0))</f>
        <v>Jaipur</v>
      </c>
    </row>
    <row r="345" spans="1:4">
      <c r="A345" s="17" t="s">
        <v>1089</v>
      </c>
      <c r="B345">
        <f>VLOOKUP(A345,Amazon_Data_Set[],20,FALSE)</f>
        <v>11551</v>
      </c>
      <c r="C345">
        <f>_xlfn.XLOOKUP(Vlookup!A345,Amazon_Data_Set[Order ID],Amazon_Data_Set[Profit])</f>
        <v>3457.27</v>
      </c>
      <c r="D345" t="str">
        <f>INDEX('Amazon Data Set'!F:F,MATCH(Vlookup!A345,'Amazon Data Set'!A:A,0))</f>
        <v>Chennai</v>
      </c>
    </row>
    <row r="346" spans="1:4">
      <c r="A346" s="16" t="s">
        <v>1092</v>
      </c>
      <c r="B346">
        <f>VLOOKUP(A346,Amazon_Data_Set[],20,FALSE)</f>
        <v>68382.12</v>
      </c>
      <c r="C346">
        <f>_xlfn.XLOOKUP(Vlookup!A346,Amazon_Data_Set[Order ID],Amazon_Data_Set[Profit])</f>
        <v>21633.200000000001</v>
      </c>
      <c r="D346" t="str">
        <f>INDEX('Amazon Data Set'!F:F,MATCH(Vlookup!A346,'Amazon Data Set'!A:A,0))</f>
        <v>Bengaluru</v>
      </c>
    </row>
    <row r="347" spans="1:4">
      <c r="A347" s="17" t="s">
        <v>1095</v>
      </c>
      <c r="B347">
        <f>VLOOKUP(A347,Amazon_Data_Set[],20,FALSE)</f>
        <v>2775.96</v>
      </c>
      <c r="C347">
        <f>_xlfn.XLOOKUP(Vlookup!A347,Amazon_Data_Set[Order ID],Amazon_Data_Set[Profit])</f>
        <v>594.73</v>
      </c>
      <c r="D347" t="str">
        <f>INDEX('Amazon Data Set'!F:F,MATCH(Vlookup!A347,'Amazon Data Set'!A:A,0))</f>
        <v>Kochi</v>
      </c>
    </row>
    <row r="348" spans="1:4">
      <c r="A348" s="16" t="s">
        <v>1097</v>
      </c>
      <c r="B348">
        <f>VLOOKUP(A348,Amazon_Data_Set[],20,FALSE)</f>
        <v>5252.88</v>
      </c>
      <c r="C348">
        <f>_xlfn.XLOOKUP(Vlookup!A348,Amazon_Data_Set[Order ID],Amazon_Data_Set[Profit])</f>
        <v>1670.34</v>
      </c>
      <c r="D348" t="str">
        <f>INDEX('Amazon Data Set'!F:F,MATCH(Vlookup!A348,'Amazon Data Set'!A:A,0))</f>
        <v>Hyderabad</v>
      </c>
    </row>
    <row r="349" spans="1:4">
      <c r="A349" s="17" t="s">
        <v>1100</v>
      </c>
      <c r="B349">
        <f>VLOOKUP(A349,Amazon_Data_Set[],20,FALSE)</f>
        <v>40520.06</v>
      </c>
      <c r="C349">
        <f>_xlfn.XLOOKUP(Vlookup!A349,Amazon_Data_Set[Order ID],Amazon_Data_Set[Profit])</f>
        <v>13056.1</v>
      </c>
      <c r="D349" t="str">
        <f>INDEX('Amazon Data Set'!F:F,MATCH(Vlookup!A349,'Amazon Data Set'!A:A,0))</f>
        <v>Gurugram</v>
      </c>
    </row>
    <row r="350" spans="1:4">
      <c r="A350" s="16" t="s">
        <v>1102</v>
      </c>
      <c r="B350">
        <f>VLOOKUP(A350,Amazon_Data_Set[],20,FALSE)</f>
        <v>143349.78</v>
      </c>
      <c r="C350">
        <f>_xlfn.XLOOKUP(Vlookup!A350,Amazon_Data_Set[Order ID],Amazon_Data_Set[Profit])</f>
        <v>47834.55</v>
      </c>
      <c r="D350" t="str">
        <f>INDEX('Amazon Data Set'!F:F,MATCH(Vlookup!A350,'Amazon Data Set'!A:A,0))</f>
        <v>Ludhiana</v>
      </c>
    </row>
    <row r="351" spans="1:4">
      <c r="A351" s="17" t="s">
        <v>1104</v>
      </c>
      <c r="B351">
        <f>VLOOKUP(A351,Amazon_Data_Set[],20,FALSE)</f>
        <v>1286.6400000000001</v>
      </c>
      <c r="C351">
        <f>_xlfn.XLOOKUP(Vlookup!A351,Amazon_Data_Set[Order ID],Amazon_Data_Set[Profit])</f>
        <v>266.10000000000002</v>
      </c>
      <c r="D351" t="str">
        <f>INDEX('Amazon Data Set'!F:F,MATCH(Vlookup!A351,'Amazon Data Set'!A:A,0))</f>
        <v>Jaipur</v>
      </c>
    </row>
    <row r="352" spans="1:4">
      <c r="A352" s="16" t="s">
        <v>1106</v>
      </c>
      <c r="B352">
        <f>VLOOKUP(A352,Amazon_Data_Set[],20,FALSE)</f>
        <v>5305.64</v>
      </c>
      <c r="C352">
        <f>_xlfn.XLOOKUP(Vlookup!A352,Amazon_Data_Set[Order ID],Amazon_Data_Set[Profit])</f>
        <v>2090.17</v>
      </c>
      <c r="D352" t="str">
        <f>INDEX('Amazon Data Set'!F:F,MATCH(Vlookup!A352,'Amazon Data Set'!A:A,0))</f>
        <v>Bhubaneswar</v>
      </c>
    </row>
    <row r="353" spans="1:4">
      <c r="A353" s="17" t="s">
        <v>1108</v>
      </c>
      <c r="B353">
        <f>VLOOKUP(A353,Amazon_Data_Set[],20,FALSE)</f>
        <v>5743.41</v>
      </c>
      <c r="C353">
        <f>_xlfn.XLOOKUP(Vlookup!A353,Amazon_Data_Set[Order ID],Amazon_Data_Set[Profit])</f>
        <v>1719.23</v>
      </c>
      <c r="D353" t="str">
        <f>INDEX('Amazon Data Set'!F:F,MATCH(Vlookup!A353,'Amazon Data Set'!A:A,0))</f>
        <v>Bhubaneswar</v>
      </c>
    </row>
    <row r="354" spans="1:4">
      <c r="A354" s="16" t="s">
        <v>1110</v>
      </c>
      <c r="B354">
        <f>VLOOKUP(A354,Amazon_Data_Set[],20,FALSE)</f>
        <v>1497.46</v>
      </c>
      <c r="C354">
        <f>_xlfn.XLOOKUP(Vlookup!A354,Amazon_Data_Set[Order ID],Amazon_Data_Set[Profit])</f>
        <v>410.42</v>
      </c>
      <c r="D354" t="str">
        <f>INDEX('Amazon Data Set'!F:F,MATCH(Vlookup!A354,'Amazon Data Set'!A:A,0))</f>
        <v>Guwahati</v>
      </c>
    </row>
    <row r="355" spans="1:4">
      <c r="A355" s="17" t="s">
        <v>1112</v>
      </c>
      <c r="B355">
        <f>VLOOKUP(A355,Amazon_Data_Set[],20,FALSE)</f>
        <v>1443.24</v>
      </c>
      <c r="C355">
        <f>_xlfn.XLOOKUP(Vlookup!A355,Amazon_Data_Set[Order ID],Amazon_Data_Set[Profit])</f>
        <v>430.75</v>
      </c>
      <c r="D355" t="str">
        <f>INDEX('Amazon Data Set'!F:F,MATCH(Vlookup!A355,'Amazon Data Set'!A:A,0))</f>
        <v>Noida</v>
      </c>
    </row>
    <row r="356" spans="1:4">
      <c r="A356" s="16" t="s">
        <v>1115</v>
      </c>
      <c r="B356">
        <f>VLOOKUP(A356,Amazon_Data_Set[],20,FALSE)</f>
        <v>1414.72</v>
      </c>
      <c r="C356">
        <f>_xlfn.XLOOKUP(Vlookup!A356,Amazon_Data_Set[Order ID],Amazon_Data_Set[Profit])</f>
        <v>351.17</v>
      </c>
      <c r="D356" t="str">
        <f>INDEX('Amazon Data Set'!F:F,MATCH(Vlookup!A356,'Amazon Data Set'!A:A,0))</f>
        <v>Chennai</v>
      </c>
    </row>
    <row r="357" spans="1:4">
      <c r="A357" s="17" t="s">
        <v>1117</v>
      </c>
      <c r="B357">
        <f>VLOOKUP(A357,Amazon_Data_Set[],20,FALSE)</f>
        <v>12498.22</v>
      </c>
      <c r="C357">
        <f>_xlfn.XLOOKUP(Vlookup!A357,Amazon_Data_Set[Order ID],Amazon_Data_Set[Profit])</f>
        <v>5080.1499999999996</v>
      </c>
      <c r="D357" t="str">
        <f>INDEX('Amazon Data Set'!F:F,MATCH(Vlookup!A357,'Amazon Data Set'!A:A,0))</f>
        <v>New Delhi</v>
      </c>
    </row>
    <row r="358" spans="1:4">
      <c r="A358" s="16" t="s">
        <v>1119</v>
      </c>
      <c r="B358">
        <f>VLOOKUP(A358,Amazon_Data_Set[],20,FALSE)</f>
        <v>452.19</v>
      </c>
      <c r="C358">
        <f>_xlfn.XLOOKUP(Vlookup!A358,Amazon_Data_Set[Order ID],Amazon_Data_Set[Profit])</f>
        <v>150.33000000000001</v>
      </c>
      <c r="D358" t="str">
        <f>INDEX('Amazon Data Set'!F:F,MATCH(Vlookup!A358,'Amazon Data Set'!A:A,0))</f>
        <v>Bhubaneswar</v>
      </c>
    </row>
    <row r="359" spans="1:4">
      <c r="A359" s="17" t="s">
        <v>1121</v>
      </c>
      <c r="B359">
        <f>VLOOKUP(A359,Amazon_Data_Set[],20,FALSE)</f>
        <v>6890.25</v>
      </c>
      <c r="C359">
        <f>_xlfn.XLOOKUP(Vlookup!A359,Amazon_Data_Set[Order ID],Amazon_Data_Set[Profit])</f>
        <v>2364.1799999999998</v>
      </c>
      <c r="D359" t="str">
        <f>INDEX('Amazon Data Set'!F:F,MATCH(Vlookup!A359,'Amazon Data Set'!A:A,0))</f>
        <v>Mysuru</v>
      </c>
    </row>
    <row r="360" spans="1:4">
      <c r="A360" s="16" t="s">
        <v>1123</v>
      </c>
      <c r="B360">
        <f>VLOOKUP(A360,Amazon_Data_Set[],20,FALSE)</f>
        <v>5847.5</v>
      </c>
      <c r="C360">
        <f>_xlfn.XLOOKUP(Vlookup!A360,Amazon_Data_Set[Order ID],Amazon_Data_Set[Profit])</f>
        <v>2365.12</v>
      </c>
      <c r="D360" t="str">
        <f>INDEX('Amazon Data Set'!F:F,MATCH(Vlookup!A360,'Amazon Data Set'!A:A,0))</f>
        <v>Bhubaneswar</v>
      </c>
    </row>
    <row r="361" spans="1:4">
      <c r="A361" s="17" t="s">
        <v>1125</v>
      </c>
      <c r="B361">
        <f>VLOOKUP(A361,Amazon_Data_Set[],20,FALSE)</f>
        <v>19923.04</v>
      </c>
      <c r="C361">
        <f>_xlfn.XLOOKUP(Vlookup!A361,Amazon_Data_Set[Order ID],Amazon_Data_Set[Profit])</f>
        <v>7063.96</v>
      </c>
      <c r="D361" t="str">
        <f>INDEX('Amazon Data Set'!F:F,MATCH(Vlookup!A361,'Amazon Data Set'!A:A,0))</f>
        <v>Kolkata</v>
      </c>
    </row>
    <row r="362" spans="1:4">
      <c r="A362" s="16" t="s">
        <v>1128</v>
      </c>
      <c r="B362">
        <f>VLOOKUP(A362,Amazon_Data_Set[],20,FALSE)</f>
        <v>3661.2</v>
      </c>
      <c r="C362">
        <f>_xlfn.XLOOKUP(Vlookup!A362,Amazon_Data_Set[Order ID],Amazon_Data_Set[Profit])</f>
        <v>818.15</v>
      </c>
      <c r="D362" t="str">
        <f>INDEX('Amazon Data Set'!F:F,MATCH(Vlookup!A362,'Amazon Data Set'!A:A,0))</f>
        <v>Ludhiana</v>
      </c>
    </row>
    <row r="363" spans="1:4">
      <c r="A363" s="17" t="s">
        <v>1131</v>
      </c>
      <c r="B363">
        <f>VLOOKUP(A363,Amazon_Data_Set[],20,FALSE)</f>
        <v>61415.8</v>
      </c>
      <c r="C363">
        <f>_xlfn.XLOOKUP(Vlookup!A363,Amazon_Data_Set[Order ID],Amazon_Data_Set[Profit])</f>
        <v>15555.95</v>
      </c>
      <c r="D363" t="str">
        <f>INDEX('Amazon Data Set'!F:F,MATCH(Vlookup!A363,'Amazon Data Set'!A:A,0))</f>
        <v>Kochi</v>
      </c>
    </row>
    <row r="364" spans="1:4">
      <c r="A364" s="16" t="s">
        <v>1133</v>
      </c>
      <c r="B364">
        <f>VLOOKUP(A364,Amazon_Data_Set[],20,FALSE)</f>
        <v>21612.25</v>
      </c>
      <c r="C364">
        <f>_xlfn.XLOOKUP(Vlookup!A364,Amazon_Data_Set[Order ID],Amazon_Data_Set[Profit])</f>
        <v>5068.53</v>
      </c>
      <c r="D364" t="str">
        <f>INDEX('Amazon Data Set'!F:F,MATCH(Vlookup!A364,'Amazon Data Set'!A:A,0))</f>
        <v>Bengaluru</v>
      </c>
    </row>
    <row r="365" spans="1:4">
      <c r="A365" s="17" t="s">
        <v>1135</v>
      </c>
      <c r="B365">
        <f>VLOOKUP(A365,Amazon_Data_Set[],20,FALSE)</f>
        <v>7617.16</v>
      </c>
      <c r="C365">
        <f>_xlfn.XLOOKUP(Vlookup!A365,Amazon_Data_Set[Order ID],Amazon_Data_Set[Profit])</f>
        <v>1393.5</v>
      </c>
      <c r="D365" t="str">
        <f>INDEX('Amazon Data Set'!F:F,MATCH(Vlookup!A365,'Amazon Data Set'!A:A,0))</f>
        <v>Mumbai</v>
      </c>
    </row>
    <row r="366" spans="1:4">
      <c r="A366" s="16" t="s">
        <v>1138</v>
      </c>
      <c r="B366">
        <f>VLOOKUP(A366,Amazon_Data_Set[],20,FALSE)</f>
        <v>4572.16</v>
      </c>
      <c r="C366">
        <f>_xlfn.XLOOKUP(Vlookup!A366,Amazon_Data_Set[Order ID],Amazon_Data_Set[Profit])</f>
        <v>729.6</v>
      </c>
      <c r="D366" t="str">
        <f>INDEX('Amazon Data Set'!F:F,MATCH(Vlookup!A366,'Amazon Data Set'!A:A,0))</f>
        <v>Kochi</v>
      </c>
    </row>
    <row r="367" spans="1:4">
      <c r="A367" s="17" t="s">
        <v>1141</v>
      </c>
      <c r="B367">
        <f>VLOOKUP(A367,Amazon_Data_Set[],20,FALSE)</f>
        <v>3476.86</v>
      </c>
      <c r="C367">
        <f>_xlfn.XLOOKUP(Vlookup!A367,Amazon_Data_Set[Order ID],Amazon_Data_Set[Profit])</f>
        <v>774.21</v>
      </c>
      <c r="D367" t="str">
        <f>INDEX('Amazon Data Set'!F:F,MATCH(Vlookup!A367,'Amazon Data Set'!A:A,0))</f>
        <v>Mysuru</v>
      </c>
    </row>
    <row r="368" spans="1:4">
      <c r="A368" s="16" t="s">
        <v>1143</v>
      </c>
      <c r="B368">
        <f>VLOOKUP(A368,Amazon_Data_Set[],20,FALSE)</f>
        <v>545.97</v>
      </c>
      <c r="C368">
        <f>_xlfn.XLOOKUP(Vlookup!A368,Amazon_Data_Set[Order ID],Amazon_Data_Set[Profit])</f>
        <v>90.41</v>
      </c>
      <c r="D368" t="str">
        <f>INDEX('Amazon Data Set'!F:F,MATCH(Vlookup!A368,'Amazon Data Set'!A:A,0))</f>
        <v>Kochi</v>
      </c>
    </row>
    <row r="369" spans="1:4">
      <c r="A369" s="17" t="s">
        <v>1146</v>
      </c>
      <c r="B369">
        <f>VLOOKUP(A369,Amazon_Data_Set[],20,FALSE)</f>
        <v>8181.35</v>
      </c>
      <c r="C369">
        <f>_xlfn.XLOOKUP(Vlookup!A369,Amazon_Data_Set[Order ID],Amazon_Data_Set[Profit])</f>
        <v>2300.1999999999998</v>
      </c>
      <c r="D369" t="str">
        <f>INDEX('Amazon Data Set'!F:F,MATCH(Vlookup!A369,'Amazon Data Set'!A:A,0))</f>
        <v>Bhubaneswar</v>
      </c>
    </row>
    <row r="370" spans="1:4">
      <c r="A370" s="16" t="s">
        <v>1149</v>
      </c>
      <c r="B370">
        <f>VLOOKUP(A370,Amazon_Data_Set[],20,FALSE)</f>
        <v>2511.3000000000002</v>
      </c>
      <c r="C370">
        <f>_xlfn.XLOOKUP(Vlookup!A370,Amazon_Data_Set[Order ID],Amazon_Data_Set[Profit])</f>
        <v>723.37</v>
      </c>
      <c r="D370" t="str">
        <f>INDEX('Amazon Data Set'!F:F,MATCH(Vlookup!A370,'Amazon Data Set'!A:A,0))</f>
        <v>Gurugram</v>
      </c>
    </row>
    <row r="371" spans="1:4">
      <c r="A371" s="17" t="s">
        <v>1151</v>
      </c>
      <c r="B371">
        <f>VLOOKUP(A371,Amazon_Data_Set[],20,FALSE)</f>
        <v>4140.08</v>
      </c>
      <c r="C371">
        <f>_xlfn.XLOOKUP(Vlookup!A371,Amazon_Data_Set[Order ID],Amazon_Data_Set[Profit])</f>
        <v>887.36</v>
      </c>
      <c r="D371" t="str">
        <f>INDEX('Amazon Data Set'!F:F,MATCH(Vlookup!A371,'Amazon Data Set'!A:A,0))</f>
        <v>Pune</v>
      </c>
    </row>
    <row r="372" spans="1:4">
      <c r="A372" s="16" t="s">
        <v>1153</v>
      </c>
      <c r="B372">
        <f>VLOOKUP(A372,Amazon_Data_Set[],20,FALSE)</f>
        <v>2918.4</v>
      </c>
      <c r="C372">
        <f>_xlfn.XLOOKUP(Vlookup!A372,Amazon_Data_Set[Order ID],Amazon_Data_Set[Profit])</f>
        <v>835.51</v>
      </c>
      <c r="D372" t="str">
        <f>INDEX('Amazon Data Set'!F:F,MATCH(Vlookup!A372,'Amazon Data Set'!A:A,0))</f>
        <v>Patna</v>
      </c>
    </row>
    <row r="373" spans="1:4">
      <c r="A373" s="17" t="s">
        <v>1155</v>
      </c>
      <c r="B373">
        <f>VLOOKUP(A373,Amazon_Data_Set[],20,FALSE)</f>
        <v>34652.339999999997</v>
      </c>
      <c r="C373">
        <f>_xlfn.XLOOKUP(Vlookup!A373,Amazon_Data_Set[Order ID],Amazon_Data_Set[Profit])</f>
        <v>8996.7099999999991</v>
      </c>
      <c r="D373" t="str">
        <f>INDEX('Amazon Data Set'!F:F,MATCH(Vlookup!A373,'Amazon Data Set'!A:A,0))</f>
        <v>Hyderabad</v>
      </c>
    </row>
    <row r="374" spans="1:4">
      <c r="A374" s="16" t="s">
        <v>1157</v>
      </c>
      <c r="B374">
        <f>VLOOKUP(A374,Amazon_Data_Set[],20,FALSE)</f>
        <v>3400.76</v>
      </c>
      <c r="C374">
        <f>_xlfn.XLOOKUP(Vlookup!A374,Amazon_Data_Set[Order ID],Amazon_Data_Set[Profit])</f>
        <v>1007.74</v>
      </c>
      <c r="D374" t="str">
        <f>INDEX('Amazon Data Set'!F:F,MATCH(Vlookup!A374,'Amazon Data Set'!A:A,0))</f>
        <v>New Delhi</v>
      </c>
    </row>
    <row r="375" spans="1:4">
      <c r="A375" s="17" t="s">
        <v>1159</v>
      </c>
      <c r="B375">
        <f>VLOOKUP(A375,Amazon_Data_Set[],20,FALSE)</f>
        <v>174.02</v>
      </c>
      <c r="C375">
        <f>_xlfn.XLOOKUP(Vlookup!A375,Amazon_Data_Set[Order ID],Amazon_Data_Set[Profit])</f>
        <v>-133.16999999999999</v>
      </c>
      <c r="D375" t="str">
        <f>INDEX('Amazon Data Set'!F:F,MATCH(Vlookup!A375,'Amazon Data Set'!A:A,0))</f>
        <v>Ahmedabad</v>
      </c>
    </row>
    <row r="376" spans="1:4">
      <c r="A376" s="16" t="s">
        <v>1161</v>
      </c>
      <c r="B376">
        <f>VLOOKUP(A376,Amazon_Data_Set[],20,FALSE)</f>
        <v>51885.62</v>
      </c>
      <c r="C376">
        <f>_xlfn.XLOOKUP(Vlookup!A376,Amazon_Data_Set[Order ID],Amazon_Data_Set[Profit])</f>
        <v>15799.21</v>
      </c>
      <c r="D376" t="str">
        <f>INDEX('Amazon Data Set'!F:F,MATCH(Vlookup!A376,'Amazon Data Set'!A:A,0))</f>
        <v>Mysuru</v>
      </c>
    </row>
    <row r="377" spans="1:4">
      <c r="A377" s="17" t="s">
        <v>1163</v>
      </c>
      <c r="B377">
        <f>VLOOKUP(A377,Amazon_Data_Set[],20,FALSE)</f>
        <v>5405.35</v>
      </c>
      <c r="C377">
        <f>_xlfn.XLOOKUP(Vlookup!A377,Amazon_Data_Set[Order ID],Amazon_Data_Set[Profit])</f>
        <v>1610.13</v>
      </c>
      <c r="D377" t="str">
        <f>INDEX('Amazon Data Set'!F:F,MATCH(Vlookup!A377,'Amazon Data Set'!A:A,0))</f>
        <v>Guwahati</v>
      </c>
    </row>
    <row r="378" spans="1:4">
      <c r="A378" s="16" t="s">
        <v>1166</v>
      </c>
      <c r="B378">
        <f>VLOOKUP(A378,Amazon_Data_Set[],20,FALSE)</f>
        <v>13215.63</v>
      </c>
      <c r="C378">
        <f>_xlfn.XLOOKUP(Vlookup!A378,Amazon_Data_Set[Order ID],Amazon_Data_Set[Profit])</f>
        <v>2842.89</v>
      </c>
      <c r="D378" t="str">
        <f>INDEX('Amazon Data Set'!F:F,MATCH(Vlookup!A378,'Amazon Data Set'!A:A,0))</f>
        <v>Jaipur</v>
      </c>
    </row>
    <row r="379" spans="1:4">
      <c r="A379" s="17" t="s">
        <v>1168</v>
      </c>
      <c r="B379">
        <f>VLOOKUP(A379,Amazon_Data_Set[],20,FALSE)</f>
        <v>701.61</v>
      </c>
      <c r="C379">
        <f>_xlfn.XLOOKUP(Vlookup!A379,Amazon_Data_Set[Order ID],Amazon_Data_Set[Profit])</f>
        <v>126.17</v>
      </c>
      <c r="D379" t="str">
        <f>INDEX('Amazon Data Set'!F:F,MATCH(Vlookup!A379,'Amazon Data Set'!A:A,0))</f>
        <v>New Delhi</v>
      </c>
    </row>
    <row r="380" spans="1:4">
      <c r="A380" s="16" t="s">
        <v>1170</v>
      </c>
      <c r="B380">
        <f>VLOOKUP(A380,Amazon_Data_Set[],20,FALSE)</f>
        <v>243602.75</v>
      </c>
      <c r="C380">
        <f>_xlfn.XLOOKUP(Vlookup!A380,Amazon_Data_Set[Order ID],Amazon_Data_Set[Profit])</f>
        <v>96176.83</v>
      </c>
      <c r="D380" t="str">
        <f>INDEX('Amazon Data Set'!F:F,MATCH(Vlookup!A380,'Amazon Data Set'!A:A,0))</f>
        <v>Bhubaneswar</v>
      </c>
    </row>
    <row r="381" spans="1:4">
      <c r="A381" s="17" t="s">
        <v>1172</v>
      </c>
      <c r="B381">
        <f>VLOOKUP(A381,Amazon_Data_Set[],20,FALSE)</f>
        <v>1375.21</v>
      </c>
      <c r="C381">
        <f>_xlfn.XLOOKUP(Vlookup!A381,Amazon_Data_Set[Order ID],Amazon_Data_Set[Profit])</f>
        <v>93.91</v>
      </c>
      <c r="D381" t="str">
        <f>INDEX('Amazon Data Set'!F:F,MATCH(Vlookup!A381,'Amazon Data Set'!A:A,0))</f>
        <v>Kolkata</v>
      </c>
    </row>
    <row r="382" spans="1:4">
      <c r="A382" s="16" t="s">
        <v>1175</v>
      </c>
      <c r="B382">
        <f>VLOOKUP(A382,Amazon_Data_Set[],20,FALSE)</f>
        <v>401.7</v>
      </c>
      <c r="C382">
        <f>_xlfn.XLOOKUP(Vlookup!A382,Amazon_Data_Set[Order ID],Amazon_Data_Set[Profit])</f>
        <v>-39.31</v>
      </c>
      <c r="D382" t="str">
        <f>INDEX('Amazon Data Set'!F:F,MATCH(Vlookup!A382,'Amazon Data Set'!A:A,0))</f>
        <v>Bengaluru</v>
      </c>
    </row>
    <row r="383" spans="1:4">
      <c r="A383" s="17" t="s">
        <v>1177</v>
      </c>
      <c r="B383">
        <f>VLOOKUP(A383,Amazon_Data_Set[],20,FALSE)</f>
        <v>572.80999999999995</v>
      </c>
      <c r="C383">
        <f>_xlfn.XLOOKUP(Vlookup!A383,Amazon_Data_Set[Order ID],Amazon_Data_Set[Profit])</f>
        <v>212.91</v>
      </c>
      <c r="D383" t="str">
        <f>INDEX('Amazon Data Set'!F:F,MATCH(Vlookup!A383,'Amazon Data Set'!A:A,0))</f>
        <v>Bengaluru</v>
      </c>
    </row>
    <row r="384" spans="1:4">
      <c r="A384" s="16" t="s">
        <v>1179</v>
      </c>
      <c r="B384">
        <f>VLOOKUP(A384,Amazon_Data_Set[],20,FALSE)</f>
        <v>40868.800000000003</v>
      </c>
      <c r="C384">
        <f>_xlfn.XLOOKUP(Vlookup!A384,Amazon_Data_Set[Order ID],Amazon_Data_Set[Profit])</f>
        <v>11116.63</v>
      </c>
      <c r="D384" t="str">
        <f>INDEX('Amazon Data Set'!F:F,MATCH(Vlookup!A384,'Amazon Data Set'!A:A,0))</f>
        <v>Mumbai</v>
      </c>
    </row>
    <row r="385" spans="1:4">
      <c r="A385" s="17" t="s">
        <v>1181</v>
      </c>
      <c r="B385">
        <f>VLOOKUP(A385,Amazon_Data_Set[],20,FALSE)</f>
        <v>10380</v>
      </c>
      <c r="C385">
        <f>_xlfn.XLOOKUP(Vlookup!A385,Amazon_Data_Set[Order ID],Amazon_Data_Set[Profit])</f>
        <v>2324.66</v>
      </c>
      <c r="D385" t="str">
        <f>INDEX('Amazon Data Set'!F:F,MATCH(Vlookup!A385,'Amazon Data Set'!A:A,0))</f>
        <v>Guwahati</v>
      </c>
    </row>
    <row r="386" spans="1:4">
      <c r="A386" s="16" t="s">
        <v>1183</v>
      </c>
      <c r="B386">
        <f>VLOOKUP(A386,Amazon_Data_Set[],20,FALSE)</f>
        <v>18130.36</v>
      </c>
      <c r="C386">
        <f>_xlfn.XLOOKUP(Vlookup!A386,Amazon_Data_Set[Order ID],Amazon_Data_Set[Profit])</f>
        <v>4350.66</v>
      </c>
      <c r="D386" t="str">
        <f>INDEX('Amazon Data Set'!F:F,MATCH(Vlookup!A386,'Amazon Data Set'!A:A,0))</f>
        <v>Chennai</v>
      </c>
    </row>
    <row r="387" spans="1:4">
      <c r="A387" s="17" t="s">
        <v>1186</v>
      </c>
      <c r="B387">
        <f>VLOOKUP(A387,Amazon_Data_Set[],20,FALSE)</f>
        <v>8113.71</v>
      </c>
      <c r="C387">
        <f>_xlfn.XLOOKUP(Vlookup!A387,Amazon_Data_Set[Order ID],Amazon_Data_Set[Profit])</f>
        <v>3588.19</v>
      </c>
      <c r="D387" t="str">
        <f>INDEX('Amazon Data Set'!F:F,MATCH(Vlookup!A387,'Amazon Data Set'!A:A,0))</f>
        <v>Gurugram</v>
      </c>
    </row>
    <row r="388" spans="1:4">
      <c r="A388" s="16" t="s">
        <v>1188</v>
      </c>
      <c r="B388">
        <f>VLOOKUP(A388,Amazon_Data_Set[],20,FALSE)</f>
        <v>1574.76</v>
      </c>
      <c r="C388">
        <f>_xlfn.XLOOKUP(Vlookup!A388,Amazon_Data_Set[Order ID],Amazon_Data_Set[Profit])</f>
        <v>272.31</v>
      </c>
      <c r="D388" t="str">
        <f>INDEX('Amazon Data Set'!F:F,MATCH(Vlookup!A388,'Amazon Data Set'!A:A,0))</f>
        <v>Chennai</v>
      </c>
    </row>
    <row r="389" spans="1:4">
      <c r="A389" s="17" t="s">
        <v>1190</v>
      </c>
      <c r="B389">
        <f>VLOOKUP(A389,Amazon_Data_Set[],20,FALSE)</f>
        <v>79881.679999999993</v>
      </c>
      <c r="C389">
        <f>_xlfn.XLOOKUP(Vlookup!A389,Amazon_Data_Set[Order ID],Amazon_Data_Set[Profit])</f>
        <v>28299.22</v>
      </c>
      <c r="D389" t="str">
        <f>INDEX('Amazon Data Set'!F:F,MATCH(Vlookup!A389,'Amazon Data Set'!A:A,0))</f>
        <v>Noida</v>
      </c>
    </row>
    <row r="390" spans="1:4">
      <c r="A390" s="16" t="s">
        <v>1192</v>
      </c>
      <c r="B390">
        <f>VLOOKUP(A390,Amazon_Data_Set[],20,FALSE)</f>
        <v>4875.2</v>
      </c>
      <c r="C390">
        <f>_xlfn.XLOOKUP(Vlookup!A390,Amazon_Data_Set[Order ID],Amazon_Data_Set[Profit])</f>
        <v>1150.3399999999999</v>
      </c>
      <c r="D390" t="str">
        <f>INDEX('Amazon Data Set'!F:F,MATCH(Vlookup!A390,'Amazon Data Set'!A:A,0))</f>
        <v>Patna</v>
      </c>
    </row>
    <row r="391" spans="1:4">
      <c r="A391" s="17" t="s">
        <v>1194</v>
      </c>
      <c r="B391">
        <f>VLOOKUP(A391,Amazon_Data_Set[],20,FALSE)</f>
        <v>28965.65</v>
      </c>
      <c r="C391">
        <f>_xlfn.XLOOKUP(Vlookup!A391,Amazon_Data_Set[Order ID],Amazon_Data_Set[Profit])</f>
        <v>6763.51</v>
      </c>
      <c r="D391" t="str">
        <f>INDEX('Amazon Data Set'!F:F,MATCH(Vlookup!A391,'Amazon Data Set'!A:A,0))</f>
        <v>Ahmedabad</v>
      </c>
    </row>
    <row r="392" spans="1:4">
      <c r="A392" s="16" t="s">
        <v>1196</v>
      </c>
      <c r="B392">
        <f>VLOOKUP(A392,Amazon_Data_Set[],20,FALSE)</f>
        <v>807.82</v>
      </c>
      <c r="C392">
        <f>_xlfn.XLOOKUP(Vlookup!A392,Amazon_Data_Set[Order ID],Amazon_Data_Set[Profit])</f>
        <v>124.15</v>
      </c>
      <c r="D392" t="str">
        <f>INDEX('Amazon Data Set'!F:F,MATCH(Vlookup!A392,'Amazon Data Set'!A:A,0))</f>
        <v>Guwahati</v>
      </c>
    </row>
    <row r="393" spans="1:4">
      <c r="A393" s="17" t="s">
        <v>1198</v>
      </c>
      <c r="B393">
        <f>VLOOKUP(A393,Amazon_Data_Set[],20,FALSE)</f>
        <v>8912.3700000000008</v>
      </c>
      <c r="C393">
        <f>_xlfn.XLOOKUP(Vlookup!A393,Amazon_Data_Set[Order ID],Amazon_Data_Set[Profit])</f>
        <v>2664.35</v>
      </c>
      <c r="D393" t="str">
        <f>INDEX('Amazon Data Set'!F:F,MATCH(Vlookup!A393,'Amazon Data Set'!A:A,0))</f>
        <v>Guwahati</v>
      </c>
    </row>
    <row r="394" spans="1:4">
      <c r="A394" s="16" t="s">
        <v>1201</v>
      </c>
      <c r="B394">
        <f>VLOOKUP(A394,Amazon_Data_Set[],20,FALSE)</f>
        <v>594.69000000000005</v>
      </c>
      <c r="C394">
        <f>_xlfn.XLOOKUP(Vlookup!A394,Amazon_Data_Set[Order ID],Amazon_Data_Set[Profit])</f>
        <v>105.21</v>
      </c>
      <c r="D394" t="str">
        <f>INDEX('Amazon Data Set'!F:F,MATCH(Vlookup!A394,'Amazon Data Set'!A:A,0))</f>
        <v>Kolkata</v>
      </c>
    </row>
    <row r="395" spans="1:4">
      <c r="A395" s="17" t="s">
        <v>1203</v>
      </c>
      <c r="B395">
        <f>VLOOKUP(A395,Amazon_Data_Set[],20,FALSE)</f>
        <v>3192.18</v>
      </c>
      <c r="C395">
        <f>_xlfn.XLOOKUP(Vlookup!A395,Amazon_Data_Set[Order ID],Amazon_Data_Set[Profit])</f>
        <v>1206.9000000000001</v>
      </c>
      <c r="D395" t="str">
        <f>INDEX('Amazon Data Set'!F:F,MATCH(Vlookup!A395,'Amazon Data Set'!A:A,0))</f>
        <v>Bengaluru</v>
      </c>
    </row>
    <row r="396" spans="1:4">
      <c r="A396" s="16" t="s">
        <v>1205</v>
      </c>
      <c r="B396">
        <f>VLOOKUP(A396,Amazon_Data_Set[],20,FALSE)</f>
        <v>11820.84</v>
      </c>
      <c r="C396">
        <f>_xlfn.XLOOKUP(Vlookup!A396,Amazon_Data_Set[Order ID],Amazon_Data_Set[Profit])</f>
        <v>4092.7</v>
      </c>
      <c r="D396" t="str">
        <f>INDEX('Amazon Data Set'!F:F,MATCH(Vlookup!A396,'Amazon Data Set'!A:A,0))</f>
        <v>Kolkata</v>
      </c>
    </row>
    <row r="397" spans="1:4">
      <c r="A397" s="17" t="s">
        <v>1208</v>
      </c>
      <c r="B397">
        <f>VLOOKUP(A397,Amazon_Data_Set[],20,FALSE)</f>
        <v>149470.82999999999</v>
      </c>
      <c r="C397">
        <f>_xlfn.XLOOKUP(Vlookup!A397,Amazon_Data_Set[Order ID],Amazon_Data_Set[Profit])</f>
        <v>39347.22</v>
      </c>
      <c r="D397" t="str">
        <f>INDEX('Amazon Data Set'!F:F,MATCH(Vlookup!A397,'Amazon Data Set'!A:A,0))</f>
        <v>Guwahati</v>
      </c>
    </row>
    <row r="398" spans="1:4">
      <c r="A398" s="16" t="s">
        <v>1210</v>
      </c>
      <c r="B398">
        <f>VLOOKUP(A398,Amazon_Data_Set[],20,FALSE)</f>
        <v>100557.8</v>
      </c>
      <c r="C398">
        <f>_xlfn.XLOOKUP(Vlookup!A398,Amazon_Data_Set[Order ID],Amazon_Data_Set[Profit])</f>
        <v>34288.080000000002</v>
      </c>
      <c r="D398" t="str">
        <f>INDEX('Amazon Data Set'!F:F,MATCH(Vlookup!A398,'Amazon Data Set'!A:A,0))</f>
        <v>Pune</v>
      </c>
    </row>
    <row r="399" spans="1:4">
      <c r="A399" s="17" t="s">
        <v>1212</v>
      </c>
      <c r="B399">
        <f>VLOOKUP(A399,Amazon_Data_Set[],20,FALSE)</f>
        <v>7333.06</v>
      </c>
      <c r="C399">
        <f>_xlfn.XLOOKUP(Vlookup!A399,Amazon_Data_Set[Order ID],Amazon_Data_Set[Profit])</f>
        <v>1639.78</v>
      </c>
      <c r="D399" t="str">
        <f>INDEX('Amazon Data Set'!F:F,MATCH(Vlookup!A399,'Amazon Data Set'!A:A,0))</f>
        <v>Kochi</v>
      </c>
    </row>
    <row r="400" spans="1:4">
      <c r="A400" s="16" t="s">
        <v>1215</v>
      </c>
      <c r="B400">
        <f>VLOOKUP(A400,Amazon_Data_Set[],20,FALSE)</f>
        <v>11291.42</v>
      </c>
      <c r="C400">
        <f>_xlfn.XLOOKUP(Vlookup!A400,Amazon_Data_Set[Order ID],Amazon_Data_Set[Profit])</f>
        <v>3422.94</v>
      </c>
      <c r="D400" t="str">
        <f>INDEX('Amazon Data Set'!F:F,MATCH(Vlookup!A400,'Amazon Data Set'!A:A,0))</f>
        <v>Ludhiana</v>
      </c>
    </row>
    <row r="401" spans="1:4">
      <c r="A401" s="17" t="s">
        <v>1217</v>
      </c>
      <c r="B401">
        <f>VLOOKUP(A401,Amazon_Data_Set[],20,FALSE)</f>
        <v>3689.99</v>
      </c>
      <c r="C401">
        <f>_xlfn.XLOOKUP(Vlookup!A401,Amazon_Data_Set[Order ID],Amazon_Data_Set[Profit])</f>
        <v>795.88</v>
      </c>
      <c r="D401" t="str">
        <f>INDEX('Amazon Data Set'!F:F,MATCH(Vlookup!A401,'Amazon Data Set'!A:A,0))</f>
        <v>Mysuru</v>
      </c>
    </row>
    <row r="402" spans="1:4">
      <c r="A402" s="16" t="s">
        <v>1219</v>
      </c>
      <c r="B402">
        <f>VLOOKUP(A402,Amazon_Data_Set[],20,FALSE)</f>
        <v>232044.3</v>
      </c>
      <c r="C402">
        <f>_xlfn.XLOOKUP(Vlookup!A402,Amazon_Data_Set[Order ID],Amazon_Data_Set[Profit])</f>
        <v>89646.48</v>
      </c>
      <c r="D402" t="str">
        <f>INDEX('Amazon Data Set'!F:F,MATCH(Vlookup!A402,'Amazon Data Set'!A:A,0))</f>
        <v>Kochi</v>
      </c>
    </row>
    <row r="403" spans="1:4">
      <c r="A403" s="17" t="s">
        <v>1221</v>
      </c>
      <c r="B403">
        <f>VLOOKUP(A403,Amazon_Data_Set[],20,FALSE)</f>
        <v>2407.88</v>
      </c>
      <c r="C403">
        <f>_xlfn.XLOOKUP(Vlookup!A403,Amazon_Data_Set[Order ID],Amazon_Data_Set[Profit])</f>
        <v>688.62</v>
      </c>
      <c r="D403" t="str">
        <f>INDEX('Amazon Data Set'!F:F,MATCH(Vlookup!A403,'Amazon Data Set'!A:A,0))</f>
        <v>Bhubaneswar</v>
      </c>
    </row>
    <row r="404" spans="1:4">
      <c r="A404" s="16" t="s">
        <v>1224</v>
      </c>
      <c r="B404">
        <f>VLOOKUP(A404,Amazon_Data_Set[],20,FALSE)</f>
        <v>9181.2000000000007</v>
      </c>
      <c r="C404">
        <f>_xlfn.XLOOKUP(Vlookup!A404,Amazon_Data_Set[Order ID],Amazon_Data_Set[Profit])</f>
        <v>1814.86</v>
      </c>
      <c r="D404" t="str">
        <f>INDEX('Amazon Data Set'!F:F,MATCH(Vlookup!A404,'Amazon Data Set'!A:A,0))</f>
        <v>Ahmedabad</v>
      </c>
    </row>
    <row r="405" spans="1:4">
      <c r="A405" s="17" t="s">
        <v>1226</v>
      </c>
      <c r="B405">
        <f>VLOOKUP(A405,Amazon_Data_Set[],20,FALSE)</f>
        <v>46180.05</v>
      </c>
      <c r="C405">
        <f>_xlfn.XLOOKUP(Vlookup!A405,Amazon_Data_Set[Order ID],Amazon_Data_Set[Profit])</f>
        <v>19610.27</v>
      </c>
      <c r="D405" t="str">
        <f>INDEX('Amazon Data Set'!F:F,MATCH(Vlookup!A405,'Amazon Data Set'!A:A,0))</f>
        <v>Pune</v>
      </c>
    </row>
    <row r="406" spans="1:4">
      <c r="A406" s="16" t="s">
        <v>1229</v>
      </c>
      <c r="B406">
        <f>VLOOKUP(A406,Amazon_Data_Set[],20,FALSE)</f>
        <v>306.5</v>
      </c>
      <c r="C406">
        <f>_xlfn.XLOOKUP(Vlookup!A406,Amazon_Data_Set[Order ID],Amazon_Data_Set[Profit])</f>
        <v>-75.650000000000006</v>
      </c>
      <c r="D406" t="str">
        <f>INDEX('Amazon Data Set'!F:F,MATCH(Vlookup!A406,'Amazon Data Set'!A:A,0))</f>
        <v>Bhubaneswar</v>
      </c>
    </row>
    <row r="407" spans="1:4">
      <c r="A407" s="17" t="s">
        <v>1231</v>
      </c>
      <c r="B407">
        <f>VLOOKUP(A407,Amazon_Data_Set[],20,FALSE)</f>
        <v>358.96</v>
      </c>
      <c r="C407">
        <f>_xlfn.XLOOKUP(Vlookup!A407,Amazon_Data_Set[Order ID],Amazon_Data_Set[Profit])</f>
        <v>-44.04</v>
      </c>
      <c r="D407" t="str">
        <f>INDEX('Amazon Data Set'!F:F,MATCH(Vlookup!A407,'Amazon Data Set'!A:A,0))</f>
        <v>Chennai</v>
      </c>
    </row>
    <row r="408" spans="1:4">
      <c r="A408" s="16" t="s">
        <v>1234</v>
      </c>
      <c r="B408">
        <f>VLOOKUP(A408,Amazon_Data_Set[],20,FALSE)</f>
        <v>5900.84</v>
      </c>
      <c r="C408">
        <f>_xlfn.XLOOKUP(Vlookup!A408,Amazon_Data_Set[Order ID],Amazon_Data_Set[Profit])</f>
        <v>1252.46</v>
      </c>
      <c r="D408" t="str">
        <f>INDEX('Amazon Data Set'!F:F,MATCH(Vlookup!A408,'Amazon Data Set'!A:A,0))</f>
        <v>Ahmedabad</v>
      </c>
    </row>
    <row r="409" spans="1:4">
      <c r="A409" s="17" t="s">
        <v>1236</v>
      </c>
      <c r="B409">
        <f>VLOOKUP(A409,Amazon_Data_Set[],20,FALSE)</f>
        <v>7495.5</v>
      </c>
      <c r="C409">
        <f>_xlfn.XLOOKUP(Vlookup!A409,Amazon_Data_Set[Order ID],Amazon_Data_Set[Profit])</f>
        <v>2130.7399999999998</v>
      </c>
      <c r="D409" t="str">
        <f>INDEX('Amazon Data Set'!F:F,MATCH(Vlookup!A409,'Amazon Data Set'!A:A,0))</f>
        <v>Bhubaneswar</v>
      </c>
    </row>
    <row r="410" spans="1:4">
      <c r="A410" s="16" t="s">
        <v>1239</v>
      </c>
      <c r="B410">
        <f>VLOOKUP(A410,Amazon_Data_Set[],20,FALSE)</f>
        <v>483.42</v>
      </c>
      <c r="C410">
        <f>_xlfn.XLOOKUP(Vlookup!A410,Amazon_Data_Set[Order ID],Amazon_Data_Set[Profit])</f>
        <v>19.260000000000002</v>
      </c>
      <c r="D410" t="str">
        <f>INDEX('Amazon Data Set'!F:F,MATCH(Vlookup!A410,'Amazon Data Set'!A:A,0))</f>
        <v>Noida</v>
      </c>
    </row>
    <row r="411" spans="1:4">
      <c r="A411" s="17" t="s">
        <v>1241</v>
      </c>
      <c r="B411">
        <f>VLOOKUP(A411,Amazon_Data_Set[],20,FALSE)</f>
        <v>4247.82</v>
      </c>
      <c r="C411">
        <f>_xlfn.XLOOKUP(Vlookup!A411,Amazon_Data_Set[Order ID],Amazon_Data_Set[Profit])</f>
        <v>1475.07</v>
      </c>
      <c r="D411" t="str">
        <f>INDEX('Amazon Data Set'!F:F,MATCH(Vlookup!A411,'Amazon Data Set'!A:A,0))</f>
        <v>Patna</v>
      </c>
    </row>
    <row r="412" spans="1:4">
      <c r="A412" s="16" t="s">
        <v>1243</v>
      </c>
      <c r="B412">
        <f>VLOOKUP(A412,Amazon_Data_Set[],20,FALSE)</f>
        <v>6077.6</v>
      </c>
      <c r="C412">
        <f>_xlfn.XLOOKUP(Vlookup!A412,Amazon_Data_Set[Order ID],Amazon_Data_Set[Profit])</f>
        <v>1759.77</v>
      </c>
      <c r="D412" t="str">
        <f>INDEX('Amazon Data Set'!F:F,MATCH(Vlookup!A412,'Amazon Data Set'!A:A,0))</f>
        <v>Noida</v>
      </c>
    </row>
    <row r="413" spans="1:4">
      <c r="A413" s="17" t="s">
        <v>1245</v>
      </c>
      <c r="B413">
        <f>VLOOKUP(A413,Amazon_Data_Set[],20,FALSE)</f>
        <v>1899.62</v>
      </c>
      <c r="C413">
        <f>_xlfn.XLOOKUP(Vlookup!A413,Amazon_Data_Set[Order ID],Amazon_Data_Set[Profit])</f>
        <v>310.7</v>
      </c>
      <c r="D413" t="str">
        <f>INDEX('Amazon Data Set'!F:F,MATCH(Vlookup!A413,'Amazon Data Set'!A:A,0))</f>
        <v>Kochi</v>
      </c>
    </row>
    <row r="414" spans="1:4">
      <c r="A414" s="16" t="s">
        <v>1247</v>
      </c>
      <c r="B414">
        <f>VLOOKUP(A414,Amazon_Data_Set[],20,FALSE)</f>
        <v>13489.08</v>
      </c>
      <c r="C414">
        <f>_xlfn.XLOOKUP(Vlookup!A414,Amazon_Data_Set[Order ID],Amazon_Data_Set[Profit])</f>
        <v>3783.77</v>
      </c>
      <c r="D414" t="str">
        <f>INDEX('Amazon Data Set'!F:F,MATCH(Vlookup!A414,'Amazon Data Set'!A:A,0))</f>
        <v>Jaipur</v>
      </c>
    </row>
    <row r="415" spans="1:4">
      <c r="A415" s="17" t="s">
        <v>1249</v>
      </c>
      <c r="B415">
        <f>VLOOKUP(A415,Amazon_Data_Set[],20,FALSE)</f>
        <v>151505.94</v>
      </c>
      <c r="C415">
        <f>_xlfn.XLOOKUP(Vlookup!A415,Amazon_Data_Set[Order ID],Amazon_Data_Set[Profit])</f>
        <v>54248.98</v>
      </c>
      <c r="D415" t="str">
        <f>INDEX('Amazon Data Set'!F:F,MATCH(Vlookup!A415,'Amazon Data Set'!A:A,0))</f>
        <v>Guwahati</v>
      </c>
    </row>
    <row r="416" spans="1:4">
      <c r="A416" s="16" t="s">
        <v>1252</v>
      </c>
      <c r="B416">
        <f>VLOOKUP(A416,Amazon_Data_Set[],20,FALSE)</f>
        <v>29925.56</v>
      </c>
      <c r="C416">
        <f>_xlfn.XLOOKUP(Vlookup!A416,Amazon_Data_Set[Order ID],Amazon_Data_Set[Profit])</f>
        <v>7567.65</v>
      </c>
      <c r="D416" t="str">
        <f>INDEX('Amazon Data Set'!F:F,MATCH(Vlookup!A416,'Amazon Data Set'!A:A,0))</f>
        <v>Bhubaneswar</v>
      </c>
    </row>
    <row r="417" spans="1:4">
      <c r="A417" s="17" t="s">
        <v>1254</v>
      </c>
      <c r="B417">
        <f>VLOOKUP(A417,Amazon_Data_Set[],20,FALSE)</f>
        <v>3933.2</v>
      </c>
      <c r="C417">
        <f>_xlfn.XLOOKUP(Vlookup!A417,Amazon_Data_Set[Order ID],Amazon_Data_Set[Profit])</f>
        <v>509.02</v>
      </c>
      <c r="D417" t="str">
        <f>INDEX('Amazon Data Set'!F:F,MATCH(Vlookup!A417,'Amazon Data Set'!A:A,0))</f>
        <v>Chennai</v>
      </c>
    </row>
    <row r="418" spans="1:4">
      <c r="A418" s="16" t="s">
        <v>1256</v>
      </c>
      <c r="B418">
        <f>VLOOKUP(A418,Amazon_Data_Set[],20,FALSE)</f>
        <v>981.48</v>
      </c>
      <c r="C418">
        <f>_xlfn.XLOOKUP(Vlookup!A418,Amazon_Data_Set[Order ID],Amazon_Data_Set[Profit])</f>
        <v>-31.18</v>
      </c>
      <c r="D418" t="str">
        <f>INDEX('Amazon Data Set'!F:F,MATCH(Vlookup!A418,'Amazon Data Set'!A:A,0))</f>
        <v>New Delhi</v>
      </c>
    </row>
    <row r="419" spans="1:4">
      <c r="A419" s="17" t="s">
        <v>1258</v>
      </c>
      <c r="B419">
        <f>VLOOKUP(A419,Amazon_Data_Set[],20,FALSE)</f>
        <v>557.86</v>
      </c>
      <c r="C419">
        <f>_xlfn.XLOOKUP(Vlookup!A419,Amazon_Data_Set[Order ID],Amazon_Data_Set[Profit])</f>
        <v>30.65</v>
      </c>
      <c r="D419" t="str">
        <f>INDEX('Amazon Data Set'!F:F,MATCH(Vlookup!A419,'Amazon Data Set'!A:A,0))</f>
        <v>Guwahati</v>
      </c>
    </row>
    <row r="420" spans="1:4">
      <c r="A420" s="16" t="s">
        <v>1260</v>
      </c>
      <c r="B420">
        <f>VLOOKUP(A420,Amazon_Data_Set[],20,FALSE)</f>
        <v>50285.05</v>
      </c>
      <c r="C420">
        <f>_xlfn.XLOOKUP(Vlookup!A420,Amazon_Data_Set[Order ID],Amazon_Data_Set[Profit])</f>
        <v>20597.919999999998</v>
      </c>
      <c r="D420" t="str">
        <f>INDEX('Amazon Data Set'!F:F,MATCH(Vlookup!A420,'Amazon Data Set'!A:A,0))</f>
        <v>Kolkata</v>
      </c>
    </row>
    <row r="421" spans="1:4">
      <c r="A421" s="17" t="s">
        <v>1262</v>
      </c>
      <c r="B421">
        <f>VLOOKUP(A421,Amazon_Data_Set[],20,FALSE)</f>
        <v>2712.2</v>
      </c>
      <c r="C421">
        <f>_xlfn.XLOOKUP(Vlookup!A421,Amazon_Data_Set[Order ID],Amazon_Data_Set[Profit])</f>
        <v>870.39</v>
      </c>
      <c r="D421" t="str">
        <f>INDEX('Amazon Data Set'!F:F,MATCH(Vlookup!A421,'Amazon Data Set'!A:A,0))</f>
        <v>Bhubaneswar</v>
      </c>
    </row>
    <row r="422" spans="1:4">
      <c r="A422" s="16" t="s">
        <v>1265</v>
      </c>
      <c r="B422">
        <f>VLOOKUP(A422,Amazon_Data_Set[],20,FALSE)</f>
        <v>11126.46</v>
      </c>
      <c r="C422">
        <f>_xlfn.XLOOKUP(Vlookup!A422,Amazon_Data_Set[Order ID],Amazon_Data_Set[Profit])</f>
        <v>4861.41</v>
      </c>
      <c r="D422" t="str">
        <f>INDEX('Amazon Data Set'!F:F,MATCH(Vlookup!A422,'Amazon Data Set'!A:A,0))</f>
        <v>Ludhiana</v>
      </c>
    </row>
    <row r="423" spans="1:4">
      <c r="A423" s="17" t="s">
        <v>1267</v>
      </c>
      <c r="B423">
        <f>VLOOKUP(A423,Amazon_Data_Set[],20,FALSE)</f>
        <v>34520.550000000003</v>
      </c>
      <c r="C423">
        <f>_xlfn.XLOOKUP(Vlookup!A423,Amazon_Data_Set[Order ID],Amazon_Data_Set[Profit])</f>
        <v>8476.48</v>
      </c>
      <c r="D423" t="str">
        <f>INDEX('Amazon Data Set'!F:F,MATCH(Vlookup!A423,'Amazon Data Set'!A:A,0))</f>
        <v>Mysuru</v>
      </c>
    </row>
    <row r="424" spans="1:4">
      <c r="A424" s="16" t="s">
        <v>1269</v>
      </c>
      <c r="B424">
        <f>VLOOKUP(A424,Amazon_Data_Set[],20,FALSE)</f>
        <v>38129.800000000003</v>
      </c>
      <c r="C424">
        <f>_xlfn.XLOOKUP(Vlookup!A424,Amazon_Data_Set[Order ID],Amazon_Data_Set[Profit])</f>
        <v>11632.31</v>
      </c>
      <c r="D424" t="str">
        <f>INDEX('Amazon Data Set'!F:F,MATCH(Vlookup!A424,'Amazon Data Set'!A:A,0))</f>
        <v>Pune</v>
      </c>
    </row>
    <row r="425" spans="1:4">
      <c r="A425" s="17" t="s">
        <v>1271</v>
      </c>
      <c r="B425">
        <f>VLOOKUP(A425,Amazon_Data_Set[],20,FALSE)</f>
        <v>1657.97</v>
      </c>
      <c r="C425">
        <f>_xlfn.XLOOKUP(Vlookup!A425,Amazon_Data_Set[Order ID],Amazon_Data_Set[Profit])</f>
        <v>370.41</v>
      </c>
      <c r="D425" t="str">
        <f>INDEX('Amazon Data Set'!F:F,MATCH(Vlookup!A425,'Amazon Data Set'!A:A,0))</f>
        <v>Noida</v>
      </c>
    </row>
    <row r="426" spans="1:4">
      <c r="A426" s="16" t="s">
        <v>1273</v>
      </c>
      <c r="B426">
        <f>VLOOKUP(A426,Amazon_Data_Set[],20,FALSE)</f>
        <v>18589.240000000002</v>
      </c>
      <c r="C426">
        <f>_xlfn.XLOOKUP(Vlookup!A426,Amazon_Data_Set[Order ID],Amazon_Data_Set[Profit])</f>
        <v>7279.5</v>
      </c>
      <c r="D426" t="str">
        <f>INDEX('Amazon Data Set'!F:F,MATCH(Vlookup!A426,'Amazon Data Set'!A:A,0))</f>
        <v>Kolkata</v>
      </c>
    </row>
    <row r="427" spans="1:4">
      <c r="A427" s="17" t="s">
        <v>1275</v>
      </c>
      <c r="B427">
        <f>VLOOKUP(A427,Amazon_Data_Set[],20,FALSE)</f>
        <v>1449.04</v>
      </c>
      <c r="C427">
        <f>_xlfn.XLOOKUP(Vlookup!A427,Amazon_Data_Set[Order ID],Amazon_Data_Set[Profit])</f>
        <v>403.33</v>
      </c>
      <c r="D427" t="str">
        <f>INDEX('Amazon Data Set'!F:F,MATCH(Vlookup!A427,'Amazon Data Set'!A:A,0))</f>
        <v>Patna</v>
      </c>
    </row>
    <row r="428" spans="1:4">
      <c r="A428" s="16" t="s">
        <v>1277</v>
      </c>
      <c r="B428">
        <f>VLOOKUP(A428,Amazon_Data_Set[],20,FALSE)</f>
        <v>4969.75</v>
      </c>
      <c r="C428">
        <f>_xlfn.XLOOKUP(Vlookup!A428,Amazon_Data_Set[Order ID],Amazon_Data_Set[Profit])</f>
        <v>1770.74</v>
      </c>
      <c r="D428" t="str">
        <f>INDEX('Amazon Data Set'!F:F,MATCH(Vlookup!A428,'Amazon Data Set'!A:A,0))</f>
        <v>Mumbai</v>
      </c>
    </row>
    <row r="429" spans="1:4">
      <c r="A429" s="17" t="s">
        <v>1280</v>
      </c>
      <c r="B429">
        <f>VLOOKUP(A429,Amazon_Data_Set[],20,FALSE)</f>
        <v>17081.72</v>
      </c>
      <c r="C429">
        <f>_xlfn.XLOOKUP(Vlookup!A429,Amazon_Data_Set[Order ID],Amazon_Data_Set[Profit])</f>
        <v>7221.41</v>
      </c>
      <c r="D429" t="str">
        <f>INDEX('Amazon Data Set'!F:F,MATCH(Vlookup!A429,'Amazon Data Set'!A:A,0))</f>
        <v>Ludhiana</v>
      </c>
    </row>
    <row r="430" spans="1:4">
      <c r="A430" s="16" t="s">
        <v>1283</v>
      </c>
      <c r="B430">
        <f>VLOOKUP(A430,Amazon_Data_Set[],20,FALSE)</f>
        <v>1618.23</v>
      </c>
      <c r="C430">
        <f>_xlfn.XLOOKUP(Vlookup!A430,Amazon_Data_Set[Order ID],Amazon_Data_Set[Profit])</f>
        <v>364.09</v>
      </c>
      <c r="D430" t="str">
        <f>INDEX('Amazon Data Set'!F:F,MATCH(Vlookup!A430,'Amazon Data Set'!A:A,0))</f>
        <v>Gurugram</v>
      </c>
    </row>
    <row r="431" spans="1:4">
      <c r="A431" s="17" t="s">
        <v>1285</v>
      </c>
      <c r="B431">
        <f>VLOOKUP(A431,Amazon_Data_Set[],20,FALSE)</f>
        <v>2899.84</v>
      </c>
      <c r="C431">
        <f>_xlfn.XLOOKUP(Vlookup!A431,Amazon_Data_Set[Order ID],Amazon_Data_Set[Profit])</f>
        <v>825.12</v>
      </c>
      <c r="D431" t="str">
        <f>INDEX('Amazon Data Set'!F:F,MATCH(Vlookup!A431,'Amazon Data Set'!A:A,0))</f>
        <v>Mumbai</v>
      </c>
    </row>
    <row r="432" spans="1:4">
      <c r="A432" s="16" t="s">
        <v>1287</v>
      </c>
      <c r="B432">
        <f>VLOOKUP(A432,Amazon_Data_Set[],20,FALSE)</f>
        <v>4867.24</v>
      </c>
      <c r="C432">
        <f>_xlfn.XLOOKUP(Vlookup!A432,Amazon_Data_Set[Order ID],Amazon_Data_Set[Profit])</f>
        <v>1168.78</v>
      </c>
      <c r="D432" t="str">
        <f>INDEX('Amazon Data Set'!F:F,MATCH(Vlookup!A432,'Amazon Data Set'!A:A,0))</f>
        <v>Kolkata</v>
      </c>
    </row>
    <row r="433" spans="1:4">
      <c r="A433" s="17" t="s">
        <v>1289</v>
      </c>
      <c r="B433">
        <f>VLOOKUP(A433,Amazon_Data_Set[],20,FALSE)</f>
        <v>3578.28</v>
      </c>
      <c r="C433">
        <f>_xlfn.XLOOKUP(Vlookup!A433,Amazon_Data_Set[Order ID],Amazon_Data_Set[Profit])</f>
        <v>863.87</v>
      </c>
      <c r="D433" t="str">
        <f>INDEX('Amazon Data Set'!F:F,MATCH(Vlookup!A433,'Amazon Data Set'!A:A,0))</f>
        <v>Ludhiana</v>
      </c>
    </row>
    <row r="434" spans="1:4">
      <c r="A434" s="16" t="s">
        <v>1291</v>
      </c>
      <c r="B434">
        <f>VLOOKUP(A434,Amazon_Data_Set[],20,FALSE)</f>
        <v>2035.12</v>
      </c>
      <c r="C434">
        <f>_xlfn.XLOOKUP(Vlookup!A434,Amazon_Data_Set[Order ID],Amazon_Data_Set[Profit])</f>
        <v>694.17</v>
      </c>
      <c r="D434" t="str">
        <f>INDEX('Amazon Data Set'!F:F,MATCH(Vlookup!A434,'Amazon Data Set'!A:A,0))</f>
        <v>Ludhiana</v>
      </c>
    </row>
    <row r="435" spans="1:4">
      <c r="A435" s="17" t="s">
        <v>1293</v>
      </c>
      <c r="B435">
        <f>VLOOKUP(A435,Amazon_Data_Set[],20,FALSE)</f>
        <v>6531.65</v>
      </c>
      <c r="C435">
        <f>_xlfn.XLOOKUP(Vlookup!A435,Amazon_Data_Set[Order ID],Amazon_Data_Set[Profit])</f>
        <v>2095.34</v>
      </c>
      <c r="D435" t="str">
        <f>INDEX('Amazon Data Set'!F:F,MATCH(Vlookup!A435,'Amazon Data Set'!A:A,0))</f>
        <v>Kochi</v>
      </c>
    </row>
    <row r="436" spans="1:4">
      <c r="A436" s="16" t="s">
        <v>1295</v>
      </c>
      <c r="B436">
        <f>VLOOKUP(A436,Amazon_Data_Set[],20,FALSE)</f>
        <v>150.72999999999999</v>
      </c>
      <c r="C436">
        <f>_xlfn.XLOOKUP(Vlookup!A436,Amazon_Data_Set[Order ID],Amazon_Data_Set[Profit])</f>
        <v>29.1</v>
      </c>
      <c r="D436" t="str">
        <f>INDEX('Amazon Data Set'!F:F,MATCH(Vlookup!A436,'Amazon Data Set'!A:A,0))</f>
        <v>Kolkata</v>
      </c>
    </row>
    <row r="437" spans="1:4">
      <c r="A437" s="17" t="s">
        <v>1298</v>
      </c>
      <c r="B437">
        <f>VLOOKUP(A437,Amazon_Data_Set[],20,FALSE)</f>
        <v>33000.9</v>
      </c>
      <c r="C437">
        <f>_xlfn.XLOOKUP(Vlookup!A437,Amazon_Data_Set[Order ID],Amazon_Data_Set[Profit])</f>
        <v>10150.14</v>
      </c>
      <c r="D437" t="str">
        <f>INDEX('Amazon Data Set'!F:F,MATCH(Vlookup!A437,'Amazon Data Set'!A:A,0))</f>
        <v>Mumbai</v>
      </c>
    </row>
    <row r="438" spans="1:4">
      <c r="A438" s="16" t="s">
        <v>1300</v>
      </c>
      <c r="B438">
        <f>VLOOKUP(A438,Amazon_Data_Set[],20,FALSE)</f>
        <v>30759.9</v>
      </c>
      <c r="C438">
        <f>_xlfn.XLOOKUP(Vlookup!A438,Amazon_Data_Set[Order ID],Amazon_Data_Set[Profit])</f>
        <v>12155.71</v>
      </c>
      <c r="D438" t="str">
        <f>INDEX('Amazon Data Set'!F:F,MATCH(Vlookup!A438,'Amazon Data Set'!A:A,0))</f>
        <v>New Delhi</v>
      </c>
    </row>
    <row r="439" spans="1:4">
      <c r="A439" s="17" t="s">
        <v>1303</v>
      </c>
      <c r="B439">
        <f>VLOOKUP(A439,Amazon_Data_Set[],20,FALSE)</f>
        <v>169.64</v>
      </c>
      <c r="C439">
        <f>_xlfn.XLOOKUP(Vlookup!A439,Amazon_Data_Set[Order ID],Amazon_Data_Set[Profit])</f>
        <v>-110.98</v>
      </c>
      <c r="D439" t="str">
        <f>INDEX('Amazon Data Set'!F:F,MATCH(Vlookup!A439,'Amazon Data Set'!A:A,0))</f>
        <v>New Delhi</v>
      </c>
    </row>
    <row r="440" spans="1:4">
      <c r="A440" s="16" t="s">
        <v>1305</v>
      </c>
      <c r="B440">
        <f>VLOOKUP(A440,Amazon_Data_Set[],20,FALSE)</f>
        <v>12339.6</v>
      </c>
      <c r="C440">
        <f>_xlfn.XLOOKUP(Vlookup!A440,Amazon_Data_Set[Order ID],Amazon_Data_Set[Profit])</f>
        <v>4428.33</v>
      </c>
      <c r="D440" t="str">
        <f>INDEX('Amazon Data Set'!F:F,MATCH(Vlookup!A440,'Amazon Data Set'!A:A,0))</f>
        <v>Mysuru</v>
      </c>
    </row>
    <row r="441" spans="1:4">
      <c r="A441" s="17" t="s">
        <v>1307</v>
      </c>
      <c r="B441">
        <f>VLOOKUP(A441,Amazon_Data_Set[],20,FALSE)</f>
        <v>319.02</v>
      </c>
      <c r="C441">
        <f>_xlfn.XLOOKUP(Vlookup!A441,Amazon_Data_Set[Order ID],Amazon_Data_Set[Profit])</f>
        <v>-115.28</v>
      </c>
      <c r="D441" t="str">
        <f>INDEX('Amazon Data Set'!F:F,MATCH(Vlookup!A441,'Amazon Data Set'!A:A,0))</f>
        <v>Ahmedabad</v>
      </c>
    </row>
    <row r="442" spans="1:4">
      <c r="A442" s="16" t="s">
        <v>1309</v>
      </c>
      <c r="B442">
        <f>VLOOKUP(A442,Amazon_Data_Set[],20,FALSE)</f>
        <v>105742.68</v>
      </c>
      <c r="C442">
        <f>_xlfn.XLOOKUP(Vlookup!A442,Amazon_Data_Set[Order ID],Amazon_Data_Set[Profit])</f>
        <v>37412.959999999999</v>
      </c>
      <c r="D442" t="str">
        <f>INDEX('Amazon Data Set'!F:F,MATCH(Vlookup!A442,'Amazon Data Set'!A:A,0))</f>
        <v>Gurugram</v>
      </c>
    </row>
    <row r="443" spans="1:4">
      <c r="A443" s="17" t="s">
        <v>1311</v>
      </c>
      <c r="B443">
        <f>VLOOKUP(A443,Amazon_Data_Set[],20,FALSE)</f>
        <v>25402.12</v>
      </c>
      <c r="C443">
        <f>_xlfn.XLOOKUP(Vlookup!A443,Amazon_Data_Set[Order ID],Amazon_Data_Set[Profit])</f>
        <v>5543.84</v>
      </c>
      <c r="D443" t="str">
        <f>INDEX('Amazon Data Set'!F:F,MATCH(Vlookup!A443,'Amazon Data Set'!A:A,0))</f>
        <v>Guwahati</v>
      </c>
    </row>
    <row r="444" spans="1:4">
      <c r="A444" s="16" t="s">
        <v>1313</v>
      </c>
      <c r="B444">
        <f>VLOOKUP(A444,Amazon_Data_Set[],20,FALSE)</f>
        <v>3101.86</v>
      </c>
      <c r="C444">
        <f>_xlfn.XLOOKUP(Vlookup!A444,Amazon_Data_Set[Order ID],Amazon_Data_Set[Profit])</f>
        <v>1338.86</v>
      </c>
      <c r="D444" t="str">
        <f>INDEX('Amazon Data Set'!F:F,MATCH(Vlookup!A444,'Amazon Data Set'!A:A,0))</f>
        <v>Kolkata</v>
      </c>
    </row>
    <row r="445" spans="1:4">
      <c r="A445" s="17" t="s">
        <v>1315</v>
      </c>
      <c r="B445">
        <f>VLOOKUP(A445,Amazon_Data_Set[],20,FALSE)</f>
        <v>2735.16</v>
      </c>
      <c r="C445">
        <f>_xlfn.XLOOKUP(Vlookup!A445,Amazon_Data_Set[Order ID],Amazon_Data_Set[Profit])</f>
        <v>545.52</v>
      </c>
      <c r="D445" t="str">
        <f>INDEX('Amazon Data Set'!F:F,MATCH(Vlookup!A445,'Amazon Data Set'!A:A,0))</f>
        <v>Bhubaneswar</v>
      </c>
    </row>
    <row r="446" spans="1:4">
      <c r="A446" s="16" t="s">
        <v>1317</v>
      </c>
      <c r="B446">
        <f>VLOOKUP(A446,Amazon_Data_Set[],20,FALSE)</f>
        <v>17433.990000000002</v>
      </c>
      <c r="C446">
        <f>_xlfn.XLOOKUP(Vlookup!A446,Amazon_Data_Set[Order ID],Amazon_Data_Set[Profit])</f>
        <v>4775.96</v>
      </c>
      <c r="D446" t="str">
        <f>INDEX('Amazon Data Set'!F:F,MATCH(Vlookup!A446,'Amazon Data Set'!A:A,0))</f>
        <v>New Delhi</v>
      </c>
    </row>
    <row r="447" spans="1:4">
      <c r="A447" s="17" t="s">
        <v>1319</v>
      </c>
      <c r="B447">
        <f>VLOOKUP(A447,Amazon_Data_Set[],20,FALSE)</f>
        <v>10813.25</v>
      </c>
      <c r="C447">
        <f>_xlfn.XLOOKUP(Vlookup!A447,Amazon_Data_Set[Order ID],Amazon_Data_Set[Profit])</f>
        <v>4107.79</v>
      </c>
      <c r="D447" t="str">
        <f>INDEX('Amazon Data Set'!F:F,MATCH(Vlookup!A447,'Amazon Data Set'!A:A,0))</f>
        <v>Mumbai</v>
      </c>
    </row>
    <row r="448" spans="1:4">
      <c r="A448" s="16" t="s">
        <v>1321</v>
      </c>
      <c r="B448">
        <f>VLOOKUP(A448,Amazon_Data_Set[],20,FALSE)</f>
        <v>13354.25</v>
      </c>
      <c r="C448">
        <f>_xlfn.XLOOKUP(Vlookup!A448,Amazon_Data_Set[Order ID],Amazon_Data_Set[Profit])</f>
        <v>5396.51</v>
      </c>
      <c r="D448" t="str">
        <f>INDEX('Amazon Data Set'!F:F,MATCH(Vlookup!A448,'Amazon Data Set'!A:A,0))</f>
        <v>Mumbai</v>
      </c>
    </row>
    <row r="449" spans="1:4">
      <c r="A449" s="17" t="s">
        <v>1323</v>
      </c>
      <c r="B449">
        <f>VLOOKUP(A449,Amazon_Data_Set[],20,FALSE)</f>
        <v>5909.24</v>
      </c>
      <c r="C449">
        <f>_xlfn.XLOOKUP(Vlookup!A449,Amazon_Data_Set[Order ID],Amazon_Data_Set[Profit])</f>
        <v>1896.95</v>
      </c>
      <c r="D449" t="str">
        <f>INDEX('Amazon Data Set'!F:F,MATCH(Vlookup!A449,'Amazon Data Set'!A:A,0))</f>
        <v>Bhubaneswar</v>
      </c>
    </row>
    <row r="450" spans="1:4">
      <c r="A450" s="16" t="s">
        <v>1325</v>
      </c>
      <c r="B450">
        <f>VLOOKUP(A450,Amazon_Data_Set[],20,FALSE)</f>
        <v>1852.62</v>
      </c>
      <c r="C450">
        <f>_xlfn.XLOOKUP(Vlookup!A450,Amazon_Data_Set[Order ID],Amazon_Data_Set[Profit])</f>
        <v>368.53</v>
      </c>
      <c r="D450" t="str">
        <f>INDEX('Amazon Data Set'!F:F,MATCH(Vlookup!A450,'Amazon Data Set'!A:A,0))</f>
        <v>Patna</v>
      </c>
    </row>
    <row r="451" spans="1:4">
      <c r="A451" s="17" t="s">
        <v>1327</v>
      </c>
      <c r="B451">
        <f>VLOOKUP(A451,Amazon_Data_Set[],20,FALSE)</f>
        <v>3464.7</v>
      </c>
      <c r="C451">
        <f>_xlfn.XLOOKUP(Vlookup!A451,Amazon_Data_Set[Order ID],Amazon_Data_Set[Profit])</f>
        <v>988.29</v>
      </c>
      <c r="D451" t="str">
        <f>INDEX('Amazon Data Set'!F:F,MATCH(Vlookup!A451,'Amazon Data Set'!A:A,0))</f>
        <v>Chennai</v>
      </c>
    </row>
    <row r="452" spans="1:4">
      <c r="A452" s="16" t="s">
        <v>1329</v>
      </c>
      <c r="B452">
        <f>VLOOKUP(A452,Amazon_Data_Set[],20,FALSE)</f>
        <v>1498.64</v>
      </c>
      <c r="C452">
        <f>_xlfn.XLOOKUP(Vlookup!A452,Amazon_Data_Set[Order ID],Amazon_Data_Set[Profit])</f>
        <v>343.65</v>
      </c>
      <c r="D452" t="str">
        <f>INDEX('Amazon Data Set'!F:F,MATCH(Vlookup!A452,'Amazon Data Set'!A:A,0))</f>
        <v>Mysuru</v>
      </c>
    </row>
    <row r="453" spans="1:4">
      <c r="A453" s="17" t="s">
        <v>1332</v>
      </c>
      <c r="B453">
        <f>VLOOKUP(A453,Amazon_Data_Set[],20,FALSE)</f>
        <v>2546.71</v>
      </c>
      <c r="C453">
        <f>_xlfn.XLOOKUP(Vlookup!A453,Amazon_Data_Set[Order ID],Amazon_Data_Set[Profit])</f>
        <v>823.94</v>
      </c>
      <c r="D453" t="str">
        <f>INDEX('Amazon Data Set'!F:F,MATCH(Vlookup!A453,'Amazon Data Set'!A:A,0))</f>
        <v>Gurugram</v>
      </c>
    </row>
    <row r="454" spans="1:4">
      <c r="A454" s="16" t="s">
        <v>1335</v>
      </c>
      <c r="B454">
        <f>VLOOKUP(A454,Amazon_Data_Set[],20,FALSE)</f>
        <v>12217.85</v>
      </c>
      <c r="C454">
        <f>_xlfn.XLOOKUP(Vlookup!A454,Amazon_Data_Set[Order ID],Amazon_Data_Set[Profit])</f>
        <v>4842.6400000000003</v>
      </c>
      <c r="D454" t="str">
        <f>INDEX('Amazon Data Set'!F:F,MATCH(Vlookup!A454,'Amazon Data Set'!A:A,0))</f>
        <v>Patna</v>
      </c>
    </row>
    <row r="455" spans="1:4">
      <c r="A455" s="17" t="s">
        <v>1337</v>
      </c>
      <c r="B455">
        <f>VLOOKUP(A455,Amazon_Data_Set[],20,FALSE)</f>
        <v>23667</v>
      </c>
      <c r="C455">
        <f>_xlfn.XLOOKUP(Vlookup!A455,Amazon_Data_Set[Order ID],Amazon_Data_Set[Profit])</f>
        <v>9536.7999999999993</v>
      </c>
      <c r="D455" t="str">
        <f>INDEX('Amazon Data Set'!F:F,MATCH(Vlookup!A455,'Amazon Data Set'!A:A,0))</f>
        <v>Ahmedabad</v>
      </c>
    </row>
    <row r="456" spans="1:4">
      <c r="A456" s="16" t="s">
        <v>1339</v>
      </c>
      <c r="B456">
        <f>VLOOKUP(A456,Amazon_Data_Set[],20,FALSE)</f>
        <v>2020.23</v>
      </c>
      <c r="C456">
        <f>_xlfn.XLOOKUP(Vlookup!A456,Amazon_Data_Set[Order ID],Amazon_Data_Set[Profit])</f>
        <v>489.57</v>
      </c>
      <c r="D456" t="str">
        <f>INDEX('Amazon Data Set'!F:F,MATCH(Vlookup!A456,'Amazon Data Set'!A:A,0))</f>
        <v>Kolkata</v>
      </c>
    </row>
    <row r="457" spans="1:4">
      <c r="A457" s="17" t="s">
        <v>1341</v>
      </c>
      <c r="B457">
        <f>VLOOKUP(A457,Amazon_Data_Set[],20,FALSE)</f>
        <v>612.45000000000005</v>
      </c>
      <c r="C457">
        <f>_xlfn.XLOOKUP(Vlookup!A457,Amazon_Data_Set[Order ID],Amazon_Data_Set[Profit])</f>
        <v>171.53</v>
      </c>
      <c r="D457" t="str">
        <f>INDEX('Amazon Data Set'!F:F,MATCH(Vlookup!A457,'Amazon Data Set'!A:A,0))</f>
        <v>Kolkata</v>
      </c>
    </row>
    <row r="458" spans="1:4">
      <c r="A458" s="16" t="s">
        <v>1344</v>
      </c>
      <c r="B458">
        <f>VLOOKUP(A458,Amazon_Data_Set[],20,FALSE)</f>
        <v>2564.6</v>
      </c>
      <c r="C458">
        <f>_xlfn.XLOOKUP(Vlookup!A458,Amazon_Data_Set[Order ID],Amazon_Data_Set[Profit])</f>
        <v>843.74</v>
      </c>
      <c r="D458" t="str">
        <f>INDEX('Amazon Data Set'!F:F,MATCH(Vlookup!A458,'Amazon Data Set'!A:A,0))</f>
        <v>Bhubaneswar</v>
      </c>
    </row>
    <row r="459" spans="1:4">
      <c r="A459" s="17" t="s">
        <v>1346</v>
      </c>
      <c r="B459">
        <f>VLOOKUP(A459,Amazon_Data_Set[],20,FALSE)</f>
        <v>6041.1</v>
      </c>
      <c r="C459">
        <f>_xlfn.XLOOKUP(Vlookup!A459,Amazon_Data_Set[Order ID],Amazon_Data_Set[Profit])</f>
        <v>2068.44</v>
      </c>
      <c r="D459" t="str">
        <f>INDEX('Amazon Data Set'!F:F,MATCH(Vlookup!A459,'Amazon Data Set'!A:A,0))</f>
        <v>Bhubaneswar</v>
      </c>
    </row>
    <row r="460" spans="1:4">
      <c r="A460" s="16" t="s">
        <v>1348</v>
      </c>
      <c r="B460">
        <f>VLOOKUP(A460,Amazon_Data_Set[],20,FALSE)</f>
        <v>10170.959999999999</v>
      </c>
      <c r="C460">
        <f>_xlfn.XLOOKUP(Vlookup!A460,Amazon_Data_Set[Order ID],Amazon_Data_Set[Profit])</f>
        <v>3496.77</v>
      </c>
      <c r="D460" t="str">
        <f>INDEX('Amazon Data Set'!F:F,MATCH(Vlookup!A460,'Amazon Data Set'!A:A,0))</f>
        <v>Patna</v>
      </c>
    </row>
    <row r="461" spans="1:4">
      <c r="A461" s="17" t="s">
        <v>1350</v>
      </c>
      <c r="B461">
        <f>VLOOKUP(A461,Amazon_Data_Set[],20,FALSE)</f>
        <v>6682</v>
      </c>
      <c r="C461">
        <f>_xlfn.XLOOKUP(Vlookup!A461,Amazon_Data_Set[Order ID],Amazon_Data_Set[Profit])</f>
        <v>1398.71</v>
      </c>
      <c r="D461" t="str">
        <f>INDEX('Amazon Data Set'!F:F,MATCH(Vlookup!A461,'Amazon Data Set'!A:A,0))</f>
        <v>Patna</v>
      </c>
    </row>
    <row r="462" spans="1:4">
      <c r="A462" s="16" t="s">
        <v>1352</v>
      </c>
      <c r="B462">
        <f>VLOOKUP(A462,Amazon_Data_Set[],20,FALSE)</f>
        <v>53491.86</v>
      </c>
      <c r="C462">
        <f>_xlfn.XLOOKUP(Vlookup!A462,Amazon_Data_Set[Order ID],Amazon_Data_Set[Profit])</f>
        <v>22289.56</v>
      </c>
      <c r="D462" t="str">
        <f>INDEX('Amazon Data Set'!F:F,MATCH(Vlookup!A462,'Amazon Data Set'!A:A,0))</f>
        <v>Hyderabad</v>
      </c>
    </row>
    <row r="463" spans="1:4">
      <c r="A463" s="17" t="s">
        <v>1355</v>
      </c>
      <c r="B463">
        <f>VLOOKUP(A463,Amazon_Data_Set[],20,FALSE)</f>
        <v>5619.72</v>
      </c>
      <c r="C463">
        <f>_xlfn.XLOOKUP(Vlookup!A463,Amazon_Data_Set[Order ID],Amazon_Data_Set[Profit])</f>
        <v>957.66</v>
      </c>
      <c r="D463" t="str">
        <f>INDEX('Amazon Data Set'!F:F,MATCH(Vlookup!A463,'Amazon Data Set'!A:A,0))</f>
        <v>Hyderabad</v>
      </c>
    </row>
    <row r="464" spans="1:4">
      <c r="A464" s="16" t="s">
        <v>1358</v>
      </c>
      <c r="B464">
        <f>VLOOKUP(A464,Amazon_Data_Set[],20,FALSE)</f>
        <v>8951.9500000000007</v>
      </c>
      <c r="C464">
        <f>_xlfn.XLOOKUP(Vlookup!A464,Amazon_Data_Set[Order ID],Amazon_Data_Set[Profit])</f>
        <v>1900.57</v>
      </c>
      <c r="D464" t="str">
        <f>INDEX('Amazon Data Set'!F:F,MATCH(Vlookup!A464,'Amazon Data Set'!A:A,0))</f>
        <v>Jaipur</v>
      </c>
    </row>
    <row r="465" spans="1:4">
      <c r="A465" s="17" t="s">
        <v>1360</v>
      </c>
      <c r="B465">
        <f>VLOOKUP(A465,Amazon_Data_Set[],20,FALSE)</f>
        <v>11792.7</v>
      </c>
      <c r="C465">
        <f>_xlfn.XLOOKUP(Vlookup!A465,Amazon_Data_Set[Order ID],Amazon_Data_Set[Profit])</f>
        <v>2368.96</v>
      </c>
      <c r="D465" t="str">
        <f>INDEX('Amazon Data Set'!F:F,MATCH(Vlookup!A465,'Amazon Data Set'!A:A,0))</f>
        <v>Mysuru</v>
      </c>
    </row>
    <row r="466" spans="1:4">
      <c r="A466" s="16" t="s">
        <v>1363</v>
      </c>
      <c r="B466">
        <f>VLOOKUP(A466,Amazon_Data_Set[],20,FALSE)</f>
        <v>704.48</v>
      </c>
      <c r="C466">
        <f>_xlfn.XLOOKUP(Vlookup!A466,Amazon_Data_Set[Order ID],Amazon_Data_Set[Profit])</f>
        <v>47.4</v>
      </c>
      <c r="D466" t="str">
        <f>INDEX('Amazon Data Set'!F:F,MATCH(Vlookup!A466,'Amazon Data Set'!A:A,0))</f>
        <v>Bengaluru</v>
      </c>
    </row>
    <row r="467" spans="1:4">
      <c r="A467" s="17" t="s">
        <v>1365</v>
      </c>
      <c r="B467">
        <f>VLOOKUP(A467,Amazon_Data_Set[],20,FALSE)</f>
        <v>13937.4</v>
      </c>
      <c r="C467">
        <f>_xlfn.XLOOKUP(Vlookup!A467,Amazon_Data_Set[Order ID],Amazon_Data_Set[Profit])</f>
        <v>4206.26</v>
      </c>
      <c r="D467" t="str">
        <f>INDEX('Amazon Data Set'!F:F,MATCH(Vlookup!A467,'Amazon Data Set'!A:A,0))</f>
        <v>Noida</v>
      </c>
    </row>
    <row r="468" spans="1:4">
      <c r="A468" s="16" t="s">
        <v>1367</v>
      </c>
      <c r="B468">
        <f>VLOOKUP(A468,Amazon_Data_Set[],20,FALSE)</f>
        <v>6573.6</v>
      </c>
      <c r="C468">
        <f>_xlfn.XLOOKUP(Vlookup!A468,Amazon_Data_Set[Order ID],Amazon_Data_Set[Profit])</f>
        <v>1029.8499999999999</v>
      </c>
      <c r="D468" t="str">
        <f>INDEX('Amazon Data Set'!F:F,MATCH(Vlookup!A468,'Amazon Data Set'!A:A,0))</f>
        <v>Pune</v>
      </c>
    </row>
    <row r="469" spans="1:4">
      <c r="A469" s="17" t="s">
        <v>1369</v>
      </c>
      <c r="B469">
        <f>VLOOKUP(A469,Amazon_Data_Set[],20,FALSE)</f>
        <v>863.4</v>
      </c>
      <c r="C469">
        <f>_xlfn.XLOOKUP(Vlookup!A469,Amazon_Data_Set[Order ID],Amazon_Data_Set[Profit])</f>
        <v>70.53</v>
      </c>
      <c r="D469" t="str">
        <f>INDEX('Amazon Data Set'!F:F,MATCH(Vlookup!A469,'Amazon Data Set'!A:A,0))</f>
        <v>Chennai</v>
      </c>
    </row>
    <row r="470" spans="1:4">
      <c r="A470" s="16" t="s">
        <v>1371</v>
      </c>
      <c r="B470">
        <f>VLOOKUP(A470,Amazon_Data_Set[],20,FALSE)</f>
        <v>25077.87</v>
      </c>
      <c r="C470">
        <f>_xlfn.XLOOKUP(Vlookup!A470,Amazon_Data_Set[Order ID],Amazon_Data_Set[Profit])</f>
        <v>5516.39</v>
      </c>
      <c r="D470" t="str">
        <f>INDEX('Amazon Data Set'!F:F,MATCH(Vlookup!A470,'Amazon Data Set'!A:A,0))</f>
        <v>Mysuru</v>
      </c>
    </row>
    <row r="471" spans="1:4">
      <c r="A471" s="17" t="s">
        <v>1373</v>
      </c>
      <c r="B471">
        <f>VLOOKUP(A471,Amazon_Data_Set[],20,FALSE)</f>
        <v>1384.1</v>
      </c>
      <c r="C471">
        <f>_xlfn.XLOOKUP(Vlookup!A471,Amazon_Data_Set[Order ID],Amazon_Data_Set[Profit])</f>
        <v>259.89</v>
      </c>
      <c r="D471" t="str">
        <f>INDEX('Amazon Data Set'!F:F,MATCH(Vlookup!A471,'Amazon Data Set'!A:A,0))</f>
        <v>Bhubaneswar</v>
      </c>
    </row>
    <row r="472" spans="1:4">
      <c r="A472" s="16" t="s">
        <v>1375</v>
      </c>
      <c r="B472">
        <f>VLOOKUP(A472,Amazon_Data_Set[],20,FALSE)</f>
        <v>963.8</v>
      </c>
      <c r="C472">
        <f>_xlfn.XLOOKUP(Vlookup!A472,Amazon_Data_Set[Order ID],Amazon_Data_Set[Profit])</f>
        <v>219.62</v>
      </c>
      <c r="D472" t="str">
        <f>INDEX('Amazon Data Set'!F:F,MATCH(Vlookup!A472,'Amazon Data Set'!A:A,0))</f>
        <v>New Delhi</v>
      </c>
    </row>
    <row r="473" spans="1:4">
      <c r="A473" s="17" t="s">
        <v>1377</v>
      </c>
      <c r="B473">
        <f>VLOOKUP(A473,Amazon_Data_Set[],20,FALSE)</f>
        <v>119107.28</v>
      </c>
      <c r="C473">
        <f>_xlfn.XLOOKUP(Vlookup!A473,Amazon_Data_Set[Order ID],Amazon_Data_Set[Profit])</f>
        <v>36883.11</v>
      </c>
      <c r="D473" t="str">
        <f>INDEX('Amazon Data Set'!F:F,MATCH(Vlookup!A473,'Amazon Data Set'!A:A,0))</f>
        <v>Pune</v>
      </c>
    </row>
    <row r="474" spans="1:4">
      <c r="A474" s="16" t="s">
        <v>1379</v>
      </c>
      <c r="B474">
        <f>VLOOKUP(A474,Amazon_Data_Set[],20,FALSE)</f>
        <v>15149.35</v>
      </c>
      <c r="C474">
        <f>_xlfn.XLOOKUP(Vlookup!A474,Amazon_Data_Set[Order ID],Amazon_Data_Set[Profit])</f>
        <v>3891.37</v>
      </c>
      <c r="D474" t="str">
        <f>INDEX('Amazon Data Set'!F:F,MATCH(Vlookup!A474,'Amazon Data Set'!A:A,0))</f>
        <v>Pune</v>
      </c>
    </row>
    <row r="475" spans="1:4">
      <c r="A475" s="17" t="s">
        <v>1381</v>
      </c>
      <c r="B475">
        <f>VLOOKUP(A475,Amazon_Data_Set[],20,FALSE)</f>
        <v>2887.56</v>
      </c>
      <c r="C475">
        <f>_xlfn.XLOOKUP(Vlookup!A475,Amazon_Data_Set[Order ID],Amazon_Data_Set[Profit])</f>
        <v>775.34</v>
      </c>
      <c r="D475" t="str">
        <f>INDEX('Amazon Data Set'!F:F,MATCH(Vlookup!A475,'Amazon Data Set'!A:A,0))</f>
        <v>Gurugram</v>
      </c>
    </row>
    <row r="476" spans="1:4">
      <c r="A476" s="16" t="s">
        <v>1384</v>
      </c>
      <c r="B476">
        <f>VLOOKUP(A476,Amazon_Data_Set[],20,FALSE)</f>
        <v>1595.84</v>
      </c>
      <c r="C476">
        <f>_xlfn.XLOOKUP(Vlookup!A476,Amazon_Data_Set[Order ID],Amazon_Data_Set[Profit])</f>
        <v>603.07000000000005</v>
      </c>
      <c r="D476" t="str">
        <f>INDEX('Amazon Data Set'!F:F,MATCH(Vlookup!A476,'Amazon Data Set'!A:A,0))</f>
        <v>Chennai</v>
      </c>
    </row>
    <row r="477" spans="1:4">
      <c r="A477" s="17" t="s">
        <v>1387</v>
      </c>
      <c r="B477">
        <f>VLOOKUP(A477,Amazon_Data_Set[],20,FALSE)</f>
        <v>30627.16</v>
      </c>
      <c r="C477">
        <f>_xlfn.XLOOKUP(Vlookup!A477,Amazon_Data_Set[Order ID],Amazon_Data_Set[Profit])</f>
        <v>10112.620000000001</v>
      </c>
      <c r="D477" t="str">
        <f>INDEX('Amazon Data Set'!F:F,MATCH(Vlookup!A477,'Amazon Data Set'!A:A,0))</f>
        <v>Ahmedabad</v>
      </c>
    </row>
    <row r="478" spans="1:4">
      <c r="A478" s="16" t="s">
        <v>1389</v>
      </c>
      <c r="B478">
        <f>VLOOKUP(A478,Amazon_Data_Set[],20,FALSE)</f>
        <v>17459.919999999998</v>
      </c>
      <c r="C478">
        <f>_xlfn.XLOOKUP(Vlookup!A478,Amazon_Data_Set[Order ID],Amazon_Data_Set[Profit])</f>
        <v>3774.17</v>
      </c>
      <c r="D478" t="str">
        <f>INDEX('Amazon Data Set'!F:F,MATCH(Vlookup!A478,'Amazon Data Set'!A:A,0))</f>
        <v>Kolkata</v>
      </c>
    </row>
    <row r="479" spans="1:4">
      <c r="A479" s="17" t="s">
        <v>1391</v>
      </c>
      <c r="B479">
        <f>VLOOKUP(A479,Amazon_Data_Set[],20,FALSE)</f>
        <v>2753.96</v>
      </c>
      <c r="C479">
        <f>_xlfn.XLOOKUP(Vlookup!A479,Amazon_Data_Set[Order ID],Amazon_Data_Set[Profit])</f>
        <v>906.75</v>
      </c>
      <c r="D479" t="str">
        <f>INDEX('Amazon Data Set'!F:F,MATCH(Vlookup!A479,'Amazon Data Set'!A:A,0))</f>
        <v>Gurugram</v>
      </c>
    </row>
    <row r="480" spans="1:4">
      <c r="A480" s="16" t="s">
        <v>1393</v>
      </c>
      <c r="B480">
        <f>VLOOKUP(A480,Amazon_Data_Set[],20,FALSE)</f>
        <v>325.29000000000002</v>
      </c>
      <c r="C480">
        <f>_xlfn.XLOOKUP(Vlookup!A480,Amazon_Data_Set[Order ID],Amazon_Data_Set[Profit])</f>
        <v>66.7</v>
      </c>
      <c r="D480" t="str">
        <f>INDEX('Amazon Data Set'!F:F,MATCH(Vlookup!A480,'Amazon Data Set'!A:A,0))</f>
        <v>Bengaluru</v>
      </c>
    </row>
    <row r="481" spans="1:4">
      <c r="A481" s="17" t="s">
        <v>1395</v>
      </c>
      <c r="B481">
        <f>VLOOKUP(A481,Amazon_Data_Set[],20,FALSE)</f>
        <v>842.82</v>
      </c>
      <c r="C481">
        <f>_xlfn.XLOOKUP(Vlookup!A481,Amazon_Data_Set[Order ID],Amazon_Data_Set[Profit])</f>
        <v>145.71</v>
      </c>
      <c r="D481" t="str">
        <f>INDEX('Amazon Data Set'!F:F,MATCH(Vlookup!A481,'Amazon Data Set'!A:A,0))</f>
        <v>Kochi</v>
      </c>
    </row>
    <row r="482" spans="1:4">
      <c r="A482" s="16" t="s">
        <v>1397</v>
      </c>
      <c r="B482">
        <f>VLOOKUP(A482,Amazon_Data_Set[],20,FALSE)</f>
        <v>37915.440000000002</v>
      </c>
      <c r="C482">
        <f>_xlfn.XLOOKUP(Vlookup!A482,Amazon_Data_Set[Order ID],Amazon_Data_Set[Profit])</f>
        <v>7714.03</v>
      </c>
      <c r="D482" t="str">
        <f>INDEX('Amazon Data Set'!F:F,MATCH(Vlookup!A482,'Amazon Data Set'!A:A,0))</f>
        <v>Pune</v>
      </c>
    </row>
    <row r="483" spans="1:4">
      <c r="A483" s="17" t="s">
        <v>1400</v>
      </c>
      <c r="B483">
        <f>VLOOKUP(A483,Amazon_Data_Set[],20,FALSE)</f>
        <v>18686.849999999999</v>
      </c>
      <c r="C483">
        <f>_xlfn.XLOOKUP(Vlookup!A483,Amazon_Data_Set[Order ID],Amazon_Data_Set[Profit])</f>
        <v>3557.92</v>
      </c>
      <c r="D483" t="str">
        <f>INDEX('Amazon Data Set'!F:F,MATCH(Vlookup!A483,'Amazon Data Set'!A:A,0))</f>
        <v>Bhubaneswar</v>
      </c>
    </row>
    <row r="484" spans="1:4">
      <c r="A484" s="16" t="s">
        <v>1402</v>
      </c>
      <c r="B484">
        <f>VLOOKUP(A484,Amazon_Data_Set[],20,FALSE)</f>
        <v>646.98</v>
      </c>
      <c r="C484">
        <f>_xlfn.XLOOKUP(Vlookup!A484,Amazon_Data_Set[Order ID],Amazon_Data_Set[Profit])</f>
        <v>183.81</v>
      </c>
      <c r="D484" t="str">
        <f>INDEX('Amazon Data Set'!F:F,MATCH(Vlookup!A484,'Amazon Data Set'!A:A,0))</f>
        <v>Kolkata</v>
      </c>
    </row>
    <row r="485" spans="1:4">
      <c r="A485" s="17" t="s">
        <v>1404</v>
      </c>
      <c r="B485">
        <f>VLOOKUP(A485,Amazon_Data_Set[],20,FALSE)</f>
        <v>433.9</v>
      </c>
      <c r="C485">
        <f>_xlfn.XLOOKUP(Vlookup!A485,Amazon_Data_Set[Order ID],Amazon_Data_Set[Profit])</f>
        <v>49.25</v>
      </c>
      <c r="D485" t="str">
        <f>INDEX('Amazon Data Set'!F:F,MATCH(Vlookup!A485,'Amazon Data Set'!A:A,0))</f>
        <v>Noida</v>
      </c>
    </row>
    <row r="486" spans="1:4">
      <c r="A486" s="16" t="s">
        <v>1406</v>
      </c>
      <c r="B486">
        <f>VLOOKUP(A486,Amazon_Data_Set[],20,FALSE)</f>
        <v>8517.35</v>
      </c>
      <c r="C486">
        <f>_xlfn.XLOOKUP(Vlookup!A486,Amazon_Data_Set[Order ID],Amazon_Data_Set[Profit])</f>
        <v>4018.04</v>
      </c>
      <c r="D486" t="str">
        <f>INDEX('Amazon Data Set'!F:F,MATCH(Vlookup!A486,'Amazon Data Set'!A:A,0))</f>
        <v>Kochi</v>
      </c>
    </row>
    <row r="487" spans="1:4">
      <c r="A487" s="17" t="s">
        <v>1408</v>
      </c>
      <c r="B487">
        <f>VLOOKUP(A487,Amazon_Data_Set[],20,FALSE)</f>
        <v>7773.8</v>
      </c>
      <c r="C487">
        <f>_xlfn.XLOOKUP(Vlookup!A487,Amazon_Data_Set[Order ID],Amazon_Data_Set[Profit])</f>
        <v>3867.85</v>
      </c>
      <c r="D487" t="str">
        <f>INDEX('Amazon Data Set'!F:F,MATCH(Vlookup!A487,'Amazon Data Set'!A:A,0))</f>
        <v>Jaipur</v>
      </c>
    </row>
    <row r="488" spans="1:4">
      <c r="A488" s="16" t="s">
        <v>1410</v>
      </c>
      <c r="B488">
        <f>VLOOKUP(A488,Amazon_Data_Set[],20,FALSE)</f>
        <v>3576.86</v>
      </c>
      <c r="C488">
        <f>_xlfn.XLOOKUP(Vlookup!A488,Amazon_Data_Set[Order ID],Amazon_Data_Set[Profit])</f>
        <v>1442.24</v>
      </c>
      <c r="D488" t="str">
        <f>INDEX('Amazon Data Set'!F:F,MATCH(Vlookup!A488,'Amazon Data Set'!A:A,0))</f>
        <v>Ahmedabad</v>
      </c>
    </row>
    <row r="489" spans="1:4">
      <c r="A489" s="17" t="s">
        <v>1412</v>
      </c>
      <c r="B489">
        <f>VLOOKUP(A489,Amazon_Data_Set[],20,FALSE)</f>
        <v>8319.66</v>
      </c>
      <c r="C489">
        <f>_xlfn.XLOOKUP(Vlookup!A489,Amazon_Data_Set[Order ID],Amazon_Data_Set[Profit])</f>
        <v>3591.02</v>
      </c>
      <c r="D489" t="str">
        <f>INDEX('Amazon Data Set'!F:F,MATCH(Vlookup!A489,'Amazon Data Set'!A:A,0))</f>
        <v>Kochi</v>
      </c>
    </row>
    <row r="490" spans="1:4">
      <c r="A490" s="16" t="s">
        <v>1414</v>
      </c>
      <c r="B490">
        <f>VLOOKUP(A490,Amazon_Data_Set[],20,FALSE)</f>
        <v>17844.560000000001</v>
      </c>
      <c r="C490">
        <f>_xlfn.XLOOKUP(Vlookup!A490,Amazon_Data_Set[Order ID],Amazon_Data_Set[Profit])</f>
        <v>4652.04</v>
      </c>
      <c r="D490" t="str">
        <f>INDEX('Amazon Data Set'!F:F,MATCH(Vlookup!A490,'Amazon Data Set'!A:A,0))</f>
        <v>Gurugram</v>
      </c>
    </row>
    <row r="491" spans="1:4">
      <c r="A491" s="17" t="s">
        <v>1417</v>
      </c>
      <c r="B491">
        <f>VLOOKUP(A491,Amazon_Data_Set[],20,FALSE)</f>
        <v>6470.07</v>
      </c>
      <c r="C491">
        <f>_xlfn.XLOOKUP(Vlookup!A491,Amazon_Data_Set[Order ID],Amazon_Data_Set[Profit])</f>
        <v>1913.85</v>
      </c>
      <c r="D491" t="str">
        <f>INDEX('Amazon Data Set'!F:F,MATCH(Vlookup!A491,'Amazon Data Set'!A:A,0))</f>
        <v>Kochi</v>
      </c>
    </row>
    <row r="492" spans="1:4">
      <c r="A492" s="16" t="s">
        <v>1419</v>
      </c>
      <c r="B492">
        <f>VLOOKUP(A492,Amazon_Data_Set[],20,FALSE)</f>
        <v>658.52</v>
      </c>
      <c r="C492">
        <f>_xlfn.XLOOKUP(Vlookup!A492,Amazon_Data_Set[Order ID],Amazon_Data_Set[Profit])</f>
        <v>146.27000000000001</v>
      </c>
      <c r="D492" t="str">
        <f>INDEX('Amazon Data Set'!F:F,MATCH(Vlookup!A492,'Amazon Data Set'!A:A,0))</f>
        <v>Kolkata</v>
      </c>
    </row>
    <row r="493" spans="1:4">
      <c r="A493" s="17" t="s">
        <v>1421</v>
      </c>
      <c r="B493">
        <f>VLOOKUP(A493,Amazon_Data_Set[],20,FALSE)</f>
        <v>7392.3</v>
      </c>
      <c r="C493">
        <f>_xlfn.XLOOKUP(Vlookup!A493,Amazon_Data_Set[Order ID],Amazon_Data_Set[Profit])</f>
        <v>1789.47</v>
      </c>
      <c r="D493" t="str">
        <f>INDEX('Amazon Data Set'!F:F,MATCH(Vlookup!A493,'Amazon Data Set'!A:A,0))</f>
        <v>Kolkata</v>
      </c>
    </row>
    <row r="494" spans="1:4">
      <c r="A494" s="16" t="s">
        <v>1424</v>
      </c>
      <c r="B494">
        <f>VLOOKUP(A494,Amazon_Data_Set[],20,FALSE)</f>
        <v>2171.67</v>
      </c>
      <c r="C494">
        <f>_xlfn.XLOOKUP(Vlookup!A494,Amazon_Data_Set[Order ID],Amazon_Data_Set[Profit])</f>
        <v>405.6</v>
      </c>
      <c r="D494" t="str">
        <f>INDEX('Amazon Data Set'!F:F,MATCH(Vlookup!A494,'Amazon Data Set'!A:A,0))</f>
        <v>Hyderabad</v>
      </c>
    </row>
    <row r="495" spans="1:4">
      <c r="A495" s="17" t="s">
        <v>1426</v>
      </c>
      <c r="B495">
        <f>VLOOKUP(A495,Amazon_Data_Set[],20,FALSE)</f>
        <v>6528.72</v>
      </c>
      <c r="C495">
        <f>_xlfn.XLOOKUP(Vlookup!A495,Amazon_Data_Set[Order ID],Amazon_Data_Set[Profit])</f>
        <v>2990.85</v>
      </c>
      <c r="D495" t="str">
        <f>INDEX('Amazon Data Set'!F:F,MATCH(Vlookup!A495,'Amazon Data Set'!A:A,0))</f>
        <v>Bhubaneswar</v>
      </c>
    </row>
    <row r="496" spans="1:4">
      <c r="A496" s="16" t="s">
        <v>1428</v>
      </c>
      <c r="B496">
        <f>VLOOKUP(A496,Amazon_Data_Set[],20,FALSE)</f>
        <v>1062.33</v>
      </c>
      <c r="C496">
        <f>_xlfn.XLOOKUP(Vlookup!A496,Amazon_Data_Set[Order ID],Amazon_Data_Set[Profit])</f>
        <v>296.67</v>
      </c>
      <c r="D496" t="str">
        <f>INDEX('Amazon Data Set'!F:F,MATCH(Vlookup!A496,'Amazon Data Set'!A:A,0))</f>
        <v>Kolkata</v>
      </c>
    </row>
    <row r="497" spans="1:4">
      <c r="A497" s="17" t="s">
        <v>1430</v>
      </c>
      <c r="B497">
        <f>VLOOKUP(A497,Amazon_Data_Set[],20,FALSE)</f>
        <v>11578.7</v>
      </c>
      <c r="C497">
        <f>_xlfn.XLOOKUP(Vlookup!A497,Amazon_Data_Set[Order ID],Amazon_Data_Set[Profit])</f>
        <v>4449.75</v>
      </c>
      <c r="D497" t="str">
        <f>INDEX('Amazon Data Set'!F:F,MATCH(Vlookup!A497,'Amazon Data Set'!A:A,0))</f>
        <v>Mysuru</v>
      </c>
    </row>
    <row r="498" spans="1:4">
      <c r="A498" s="16" t="s">
        <v>1432</v>
      </c>
      <c r="B498">
        <f>VLOOKUP(A498,Amazon_Data_Set[],20,FALSE)</f>
        <v>2564.56</v>
      </c>
      <c r="C498">
        <f>_xlfn.XLOOKUP(Vlookup!A498,Amazon_Data_Set[Order ID],Amazon_Data_Set[Profit])</f>
        <v>607.5</v>
      </c>
      <c r="D498" t="str">
        <f>INDEX('Amazon Data Set'!F:F,MATCH(Vlookup!A498,'Amazon Data Set'!A:A,0))</f>
        <v>Mumbai</v>
      </c>
    </row>
    <row r="499" spans="1:4">
      <c r="A499" s="17" t="s">
        <v>1434</v>
      </c>
      <c r="B499">
        <f>VLOOKUP(A499,Amazon_Data_Set[],20,FALSE)</f>
        <v>1329.04</v>
      </c>
      <c r="C499">
        <f>_xlfn.XLOOKUP(Vlookup!A499,Amazon_Data_Set[Order ID],Amazon_Data_Set[Profit])</f>
        <v>82.84</v>
      </c>
      <c r="D499" t="str">
        <f>INDEX('Amazon Data Set'!F:F,MATCH(Vlookup!A499,'Amazon Data Set'!A:A,0))</f>
        <v>Kolkata</v>
      </c>
    </row>
    <row r="500" spans="1:4">
      <c r="A500" s="16" t="s">
        <v>1437</v>
      </c>
      <c r="B500">
        <f>VLOOKUP(A500,Amazon_Data_Set[],20,FALSE)</f>
        <v>1157.3599999999999</v>
      </c>
      <c r="C500">
        <f>_xlfn.XLOOKUP(Vlookup!A500,Amazon_Data_Set[Order ID],Amazon_Data_Set[Profit])</f>
        <v>251.11</v>
      </c>
      <c r="D500" t="str">
        <f>INDEX('Amazon Data Set'!F:F,MATCH(Vlookup!A500,'Amazon Data Set'!A:A,0))</f>
        <v>Chennai</v>
      </c>
    </row>
    <row r="501" spans="1:4">
      <c r="A501" s="17" t="s">
        <v>1439</v>
      </c>
      <c r="B501">
        <f>VLOOKUP(A501,Amazon_Data_Set[],20,FALSE)</f>
        <v>30208.05</v>
      </c>
      <c r="C501">
        <f>_xlfn.XLOOKUP(Vlookup!A501,Amazon_Data_Set[Order ID],Amazon_Data_Set[Profit])</f>
        <v>11464.42</v>
      </c>
      <c r="D501" t="str">
        <f>INDEX('Amazon Data Set'!F:F,MATCH(Vlookup!A501,'Amazon Data Set'!A:A,0))</f>
        <v>Hyderabad</v>
      </c>
    </row>
    <row r="502" spans="1:4">
      <c r="A502" s="16" t="s">
        <v>1441</v>
      </c>
      <c r="B502">
        <f>VLOOKUP(A502,Amazon_Data_Set[],20,FALSE)</f>
        <v>9485.83</v>
      </c>
      <c r="C502">
        <f>_xlfn.XLOOKUP(Vlookup!A502,Amazon_Data_Set[Order ID],Amazon_Data_Set[Profit])</f>
        <v>3107.61</v>
      </c>
      <c r="D502" t="str">
        <f>INDEX('Amazon Data Set'!F:F,MATCH(Vlookup!A502,'Amazon Data Set'!A:A,0))</f>
        <v>Noida</v>
      </c>
    </row>
    <row r="503" spans="1:4">
      <c r="A503" s="17" t="s">
        <v>1443</v>
      </c>
      <c r="B503">
        <f>VLOOKUP(A503,Amazon_Data_Set[],20,FALSE)</f>
        <v>34230.400000000001</v>
      </c>
      <c r="C503">
        <f>_xlfn.XLOOKUP(Vlookup!A503,Amazon_Data_Set[Order ID],Amazon_Data_Set[Profit])</f>
        <v>8027.99</v>
      </c>
      <c r="D503" t="str">
        <f>INDEX('Amazon Data Set'!F:F,MATCH(Vlookup!A503,'Amazon Data Set'!A:A,0))</f>
        <v>Mysuru</v>
      </c>
    </row>
    <row r="504" spans="1:4">
      <c r="A504" s="16" t="s">
        <v>1446</v>
      </c>
      <c r="B504">
        <f>VLOOKUP(A504,Amazon_Data_Set[],20,FALSE)</f>
        <v>190004.35</v>
      </c>
      <c r="C504">
        <f>_xlfn.XLOOKUP(Vlookup!A504,Amazon_Data_Set[Order ID],Amazon_Data_Set[Profit])</f>
        <v>45385.83</v>
      </c>
      <c r="D504" t="str">
        <f>INDEX('Amazon Data Set'!F:F,MATCH(Vlookup!A504,'Amazon Data Set'!A:A,0))</f>
        <v>Hyderabad</v>
      </c>
    </row>
    <row r="505" spans="1:4">
      <c r="A505" s="17" t="s">
        <v>1448</v>
      </c>
      <c r="B505">
        <f>VLOOKUP(A505,Amazon_Data_Set[],20,FALSE)</f>
        <v>1252.75</v>
      </c>
      <c r="C505">
        <f>_xlfn.XLOOKUP(Vlookup!A505,Amazon_Data_Set[Order ID],Amazon_Data_Set[Profit])</f>
        <v>335.05</v>
      </c>
      <c r="D505" t="str">
        <f>INDEX('Amazon Data Set'!F:F,MATCH(Vlookup!A505,'Amazon Data Set'!A:A,0))</f>
        <v>Pune</v>
      </c>
    </row>
    <row r="506" spans="1:4">
      <c r="A506" s="16" t="s">
        <v>1450</v>
      </c>
      <c r="B506">
        <f>VLOOKUP(A506,Amazon_Data_Set[],20,FALSE)</f>
        <v>12816.84</v>
      </c>
      <c r="C506">
        <f>_xlfn.XLOOKUP(Vlookup!A506,Amazon_Data_Set[Order ID],Amazon_Data_Set[Profit])</f>
        <v>3218.32</v>
      </c>
      <c r="D506" t="str">
        <f>INDEX('Amazon Data Set'!F:F,MATCH(Vlookup!A506,'Amazon Data Set'!A:A,0))</f>
        <v>Bengaluru</v>
      </c>
    </row>
    <row r="507" spans="1:4">
      <c r="A507" s="17" t="s">
        <v>1452</v>
      </c>
      <c r="B507">
        <f>VLOOKUP(A507,Amazon_Data_Set[],20,FALSE)</f>
        <v>41362.04</v>
      </c>
      <c r="C507">
        <f>_xlfn.XLOOKUP(Vlookup!A507,Amazon_Data_Set[Order ID],Amazon_Data_Set[Profit])</f>
        <v>14850.13</v>
      </c>
      <c r="D507" t="str">
        <f>INDEX('Amazon Data Set'!F:F,MATCH(Vlookup!A507,'Amazon Data Set'!A:A,0))</f>
        <v>Chennai</v>
      </c>
    </row>
    <row r="508" spans="1:4">
      <c r="A508" s="16" t="s">
        <v>1454</v>
      </c>
      <c r="B508">
        <f>VLOOKUP(A508,Amazon_Data_Set[],20,FALSE)</f>
        <v>46125.07</v>
      </c>
      <c r="C508">
        <f>_xlfn.XLOOKUP(Vlookup!A508,Amazon_Data_Set[Order ID],Amazon_Data_Set[Profit])</f>
        <v>10038.85</v>
      </c>
      <c r="D508" t="str">
        <f>INDEX('Amazon Data Set'!F:F,MATCH(Vlookup!A508,'Amazon Data Set'!A:A,0))</f>
        <v>Noida</v>
      </c>
    </row>
    <row r="509" spans="1:4">
      <c r="A509" s="17" t="s">
        <v>1457</v>
      </c>
      <c r="B509">
        <f>VLOOKUP(A509,Amazon_Data_Set[],20,FALSE)</f>
        <v>12489.42</v>
      </c>
      <c r="C509">
        <f>_xlfn.XLOOKUP(Vlookup!A509,Amazon_Data_Set[Order ID],Amazon_Data_Set[Profit])</f>
        <v>4809.32</v>
      </c>
      <c r="D509" t="str">
        <f>INDEX('Amazon Data Set'!F:F,MATCH(Vlookup!A509,'Amazon Data Set'!A:A,0))</f>
        <v>Pune</v>
      </c>
    </row>
    <row r="510" spans="1:4">
      <c r="A510" s="16" t="s">
        <v>1459</v>
      </c>
      <c r="B510">
        <f>VLOOKUP(A510,Amazon_Data_Set[],20,FALSE)</f>
        <v>766.25</v>
      </c>
      <c r="C510">
        <f>_xlfn.XLOOKUP(Vlookup!A510,Amazon_Data_Set[Order ID],Amazon_Data_Set[Profit])</f>
        <v>58.57</v>
      </c>
      <c r="D510" t="str">
        <f>INDEX('Amazon Data Set'!F:F,MATCH(Vlookup!A510,'Amazon Data Set'!A:A,0))</f>
        <v>Patna</v>
      </c>
    </row>
    <row r="511" spans="1:4">
      <c r="A511" s="17" t="s">
        <v>1462</v>
      </c>
      <c r="B511">
        <f>VLOOKUP(A511,Amazon_Data_Set[],20,FALSE)</f>
        <v>109556.48</v>
      </c>
      <c r="C511">
        <f>_xlfn.XLOOKUP(Vlookup!A511,Amazon_Data_Set[Order ID],Amazon_Data_Set[Profit])</f>
        <v>20507.900000000001</v>
      </c>
      <c r="D511" t="str">
        <f>INDEX('Amazon Data Set'!F:F,MATCH(Vlookup!A511,'Amazon Data Set'!A:A,0))</f>
        <v>Ahmedabad</v>
      </c>
    </row>
    <row r="512" spans="1:4">
      <c r="A512" s="16" t="s">
        <v>1464</v>
      </c>
      <c r="B512">
        <f>VLOOKUP(A512,Amazon_Data_Set[],20,FALSE)</f>
        <v>59746.45</v>
      </c>
      <c r="C512">
        <f>_xlfn.XLOOKUP(Vlookup!A512,Amazon_Data_Set[Order ID],Amazon_Data_Set[Profit])</f>
        <v>24714.48</v>
      </c>
      <c r="D512" t="str">
        <f>INDEX('Amazon Data Set'!F:F,MATCH(Vlookup!A512,'Amazon Data Set'!A:A,0))</f>
        <v>Ahmedabad</v>
      </c>
    </row>
    <row r="513" spans="1:4">
      <c r="A513" s="17" t="s">
        <v>1466</v>
      </c>
      <c r="B513">
        <f>VLOOKUP(A513,Amazon_Data_Set[],20,FALSE)</f>
        <v>55343.3</v>
      </c>
      <c r="C513">
        <f>_xlfn.XLOOKUP(Vlookup!A513,Amazon_Data_Set[Order ID],Amazon_Data_Set[Profit])</f>
        <v>13617.82</v>
      </c>
      <c r="D513" t="str">
        <f>INDEX('Amazon Data Set'!F:F,MATCH(Vlookup!A513,'Amazon Data Set'!A:A,0))</f>
        <v>Chennai</v>
      </c>
    </row>
    <row r="514" spans="1:4">
      <c r="A514" s="16" t="s">
        <v>1468</v>
      </c>
      <c r="B514">
        <f>VLOOKUP(A514,Amazon_Data_Set[],20,FALSE)</f>
        <v>22741.56</v>
      </c>
      <c r="C514">
        <f>_xlfn.XLOOKUP(Vlookup!A514,Amazon_Data_Set[Order ID],Amazon_Data_Set[Profit])</f>
        <v>4951.9399999999996</v>
      </c>
      <c r="D514" t="str">
        <f>INDEX('Amazon Data Set'!F:F,MATCH(Vlookup!A514,'Amazon Data Set'!A:A,0))</f>
        <v>Kolkata</v>
      </c>
    </row>
    <row r="515" spans="1:4">
      <c r="A515" s="17" t="s">
        <v>1470</v>
      </c>
      <c r="B515">
        <f>VLOOKUP(A515,Amazon_Data_Set[],20,FALSE)</f>
        <v>516.95000000000005</v>
      </c>
      <c r="C515">
        <f>_xlfn.XLOOKUP(Vlookup!A515,Amazon_Data_Set[Order ID],Amazon_Data_Set[Profit])</f>
        <v>70.95</v>
      </c>
      <c r="D515" t="str">
        <f>INDEX('Amazon Data Set'!F:F,MATCH(Vlookup!A515,'Amazon Data Set'!A:A,0))</f>
        <v>Guwahati</v>
      </c>
    </row>
    <row r="516" spans="1:4">
      <c r="A516" s="16" t="s">
        <v>1473</v>
      </c>
      <c r="B516">
        <f>VLOOKUP(A516,Amazon_Data_Set[],20,FALSE)</f>
        <v>154.34</v>
      </c>
      <c r="C516">
        <f>_xlfn.XLOOKUP(Vlookup!A516,Amazon_Data_Set[Order ID],Amazon_Data_Set[Profit])</f>
        <v>-37.409999999999997</v>
      </c>
      <c r="D516" t="str">
        <f>INDEX('Amazon Data Set'!F:F,MATCH(Vlookup!A516,'Amazon Data Set'!A:A,0))</f>
        <v>New Delhi</v>
      </c>
    </row>
    <row r="517" spans="1:4">
      <c r="A517" s="17" t="s">
        <v>1476</v>
      </c>
      <c r="B517">
        <f>VLOOKUP(A517,Amazon_Data_Set[],20,FALSE)</f>
        <v>38007.68</v>
      </c>
      <c r="C517">
        <f>_xlfn.XLOOKUP(Vlookup!A517,Amazon_Data_Set[Order ID],Amazon_Data_Set[Profit])</f>
        <v>7398.51</v>
      </c>
      <c r="D517" t="str">
        <f>INDEX('Amazon Data Set'!F:F,MATCH(Vlookup!A517,'Amazon Data Set'!A:A,0))</f>
        <v>Bhubaneswar</v>
      </c>
    </row>
    <row r="518" spans="1:4">
      <c r="A518" s="16" t="s">
        <v>1478</v>
      </c>
      <c r="B518">
        <f>VLOOKUP(A518,Amazon_Data_Set[],20,FALSE)</f>
        <v>2519.5500000000002</v>
      </c>
      <c r="C518">
        <f>_xlfn.XLOOKUP(Vlookup!A518,Amazon_Data_Set[Order ID],Amazon_Data_Set[Profit])</f>
        <v>985.89</v>
      </c>
      <c r="D518" t="str">
        <f>INDEX('Amazon Data Set'!F:F,MATCH(Vlookup!A518,'Amazon Data Set'!A:A,0))</f>
        <v>Pune</v>
      </c>
    </row>
    <row r="519" spans="1:4">
      <c r="A519" s="17" t="s">
        <v>1480</v>
      </c>
      <c r="B519">
        <f>VLOOKUP(A519,Amazon_Data_Set[],20,FALSE)</f>
        <v>11000.07</v>
      </c>
      <c r="C519">
        <f>_xlfn.XLOOKUP(Vlookup!A519,Amazon_Data_Set[Order ID],Amazon_Data_Set[Profit])</f>
        <v>3935.88</v>
      </c>
      <c r="D519" t="str">
        <f>INDEX('Amazon Data Set'!F:F,MATCH(Vlookup!A519,'Amazon Data Set'!A:A,0))</f>
        <v>Mumbai</v>
      </c>
    </row>
    <row r="520" spans="1:4">
      <c r="A520" s="16" t="s">
        <v>1482</v>
      </c>
      <c r="B520">
        <f>VLOOKUP(A520,Amazon_Data_Set[],20,FALSE)</f>
        <v>1310.26</v>
      </c>
      <c r="C520">
        <f>_xlfn.XLOOKUP(Vlookup!A520,Amazon_Data_Set[Order ID],Amazon_Data_Set[Profit])</f>
        <v>355.08</v>
      </c>
      <c r="D520" t="str">
        <f>INDEX('Amazon Data Set'!F:F,MATCH(Vlookup!A520,'Amazon Data Set'!A:A,0))</f>
        <v>Mysuru</v>
      </c>
    </row>
    <row r="521" spans="1:4">
      <c r="A521" s="17" t="s">
        <v>1484</v>
      </c>
      <c r="B521">
        <f>VLOOKUP(A521,Amazon_Data_Set[],20,FALSE)</f>
        <v>1989.27</v>
      </c>
      <c r="C521">
        <f>_xlfn.XLOOKUP(Vlookup!A521,Amazon_Data_Set[Order ID],Amazon_Data_Set[Profit])</f>
        <v>326.70999999999998</v>
      </c>
      <c r="D521" t="str">
        <f>INDEX('Amazon Data Set'!F:F,MATCH(Vlookup!A521,'Amazon Data Set'!A:A,0))</f>
        <v>Ludhiana</v>
      </c>
    </row>
    <row r="522" spans="1:4">
      <c r="A522" s="16" t="s">
        <v>1486</v>
      </c>
      <c r="B522">
        <f>VLOOKUP(A522,Amazon_Data_Set[],20,FALSE)</f>
        <v>2114.64</v>
      </c>
      <c r="C522">
        <f>_xlfn.XLOOKUP(Vlookup!A522,Amazon_Data_Set[Order ID],Amazon_Data_Set[Profit])</f>
        <v>595.94000000000005</v>
      </c>
      <c r="D522" t="str">
        <f>INDEX('Amazon Data Set'!F:F,MATCH(Vlookup!A522,'Amazon Data Set'!A:A,0))</f>
        <v>Jaipur</v>
      </c>
    </row>
    <row r="523" spans="1:4">
      <c r="A523" s="17" t="s">
        <v>1488</v>
      </c>
      <c r="B523">
        <f>VLOOKUP(A523,Amazon_Data_Set[],20,FALSE)</f>
        <v>19203.36</v>
      </c>
      <c r="C523">
        <f>_xlfn.XLOOKUP(Vlookup!A523,Amazon_Data_Set[Order ID],Amazon_Data_Set[Profit])</f>
        <v>5040.37</v>
      </c>
      <c r="D523" t="str">
        <f>INDEX('Amazon Data Set'!F:F,MATCH(Vlookup!A523,'Amazon Data Set'!A:A,0))</f>
        <v>Pune</v>
      </c>
    </row>
    <row r="524" spans="1:4">
      <c r="A524" s="16" t="s">
        <v>1490</v>
      </c>
      <c r="B524">
        <f>VLOOKUP(A524,Amazon_Data_Set[],20,FALSE)</f>
        <v>13770</v>
      </c>
      <c r="C524">
        <f>_xlfn.XLOOKUP(Vlookup!A524,Amazon_Data_Set[Order ID],Amazon_Data_Set[Profit])</f>
        <v>4571.3999999999996</v>
      </c>
      <c r="D524" t="str">
        <f>INDEX('Amazon Data Set'!F:F,MATCH(Vlookup!A524,'Amazon Data Set'!A:A,0))</f>
        <v>Jaipur</v>
      </c>
    </row>
    <row r="525" spans="1:4">
      <c r="A525" s="17" t="s">
        <v>1493</v>
      </c>
      <c r="B525">
        <f>VLOOKUP(A525,Amazon_Data_Set[],20,FALSE)</f>
        <v>11934.8</v>
      </c>
      <c r="C525">
        <f>_xlfn.XLOOKUP(Vlookup!A525,Amazon_Data_Set[Order ID],Amazon_Data_Set[Profit])</f>
        <v>3246.15</v>
      </c>
      <c r="D525" t="str">
        <f>INDEX('Amazon Data Set'!F:F,MATCH(Vlookup!A525,'Amazon Data Set'!A:A,0))</f>
        <v>Gurugram</v>
      </c>
    </row>
    <row r="526" spans="1:4">
      <c r="A526" s="16" t="s">
        <v>1495</v>
      </c>
      <c r="B526">
        <f>VLOOKUP(A526,Amazon_Data_Set[],20,FALSE)</f>
        <v>33377.879999999997</v>
      </c>
      <c r="C526">
        <f>_xlfn.XLOOKUP(Vlookup!A526,Amazon_Data_Set[Order ID],Amazon_Data_Set[Profit])</f>
        <v>11644.18</v>
      </c>
      <c r="D526" t="str">
        <f>INDEX('Amazon Data Set'!F:F,MATCH(Vlookup!A526,'Amazon Data Set'!A:A,0))</f>
        <v>Patna</v>
      </c>
    </row>
    <row r="527" spans="1:4">
      <c r="A527" s="17" t="s">
        <v>1497</v>
      </c>
      <c r="B527">
        <f>VLOOKUP(A527,Amazon_Data_Set[],20,FALSE)</f>
        <v>828.84</v>
      </c>
      <c r="C527">
        <f>_xlfn.XLOOKUP(Vlookup!A527,Amazon_Data_Set[Order ID],Amazon_Data_Set[Profit])</f>
        <v>-11.56</v>
      </c>
      <c r="D527" t="str">
        <f>INDEX('Amazon Data Set'!F:F,MATCH(Vlookup!A527,'Amazon Data Set'!A:A,0))</f>
        <v>Noida</v>
      </c>
    </row>
    <row r="528" spans="1:4">
      <c r="A528" s="16" t="s">
        <v>1499</v>
      </c>
      <c r="B528">
        <f>VLOOKUP(A528,Amazon_Data_Set[],20,FALSE)</f>
        <v>3325.12</v>
      </c>
      <c r="C528">
        <f>_xlfn.XLOOKUP(Vlookup!A528,Amazon_Data_Set[Order ID],Amazon_Data_Set[Profit])</f>
        <v>798.31</v>
      </c>
      <c r="D528" t="str">
        <f>INDEX('Amazon Data Set'!F:F,MATCH(Vlookup!A528,'Amazon Data Set'!A:A,0))</f>
        <v>Kolkata</v>
      </c>
    </row>
    <row r="529" spans="1:4">
      <c r="A529" s="17" t="s">
        <v>1501</v>
      </c>
      <c r="B529">
        <f>VLOOKUP(A529,Amazon_Data_Set[],20,FALSE)</f>
        <v>4584.3599999999997</v>
      </c>
      <c r="C529">
        <f>_xlfn.XLOOKUP(Vlookup!A529,Amazon_Data_Set[Order ID],Amazon_Data_Set[Profit])</f>
        <v>1429.37</v>
      </c>
      <c r="D529" t="str">
        <f>INDEX('Amazon Data Set'!F:F,MATCH(Vlookup!A529,'Amazon Data Set'!A:A,0))</f>
        <v>Chennai</v>
      </c>
    </row>
    <row r="530" spans="1:4">
      <c r="A530" s="16" t="s">
        <v>1503</v>
      </c>
      <c r="B530">
        <f>VLOOKUP(A530,Amazon_Data_Set[],20,FALSE)</f>
        <v>441.45</v>
      </c>
      <c r="C530">
        <f>_xlfn.XLOOKUP(Vlookup!A530,Amazon_Data_Set[Order ID],Amazon_Data_Set[Profit])</f>
        <v>-61</v>
      </c>
      <c r="D530" t="str">
        <f>INDEX('Amazon Data Set'!F:F,MATCH(Vlookup!A530,'Amazon Data Set'!A:A,0))</f>
        <v>New Delhi</v>
      </c>
    </row>
    <row r="531" spans="1:4">
      <c r="A531" s="17" t="s">
        <v>1505</v>
      </c>
      <c r="B531">
        <f>VLOOKUP(A531,Amazon_Data_Set[],20,FALSE)</f>
        <v>458.99</v>
      </c>
      <c r="C531">
        <f>_xlfn.XLOOKUP(Vlookup!A531,Amazon_Data_Set[Order ID],Amazon_Data_Set[Profit])</f>
        <v>-37.04</v>
      </c>
      <c r="D531" t="str">
        <f>INDEX('Amazon Data Set'!F:F,MATCH(Vlookup!A531,'Amazon Data Set'!A:A,0))</f>
        <v>Kochi</v>
      </c>
    </row>
    <row r="532" spans="1:4">
      <c r="A532" s="16" t="s">
        <v>1508</v>
      </c>
      <c r="B532">
        <f>VLOOKUP(A532,Amazon_Data_Set[],20,FALSE)</f>
        <v>174241.75</v>
      </c>
      <c r="C532">
        <f>_xlfn.XLOOKUP(Vlookup!A532,Amazon_Data_Set[Order ID],Amazon_Data_Set[Profit])</f>
        <v>39842.21</v>
      </c>
      <c r="D532" t="str">
        <f>INDEX('Amazon Data Set'!F:F,MATCH(Vlookup!A532,'Amazon Data Set'!A:A,0))</f>
        <v>Patna</v>
      </c>
    </row>
    <row r="533" spans="1:4">
      <c r="A533" s="17" t="s">
        <v>1510</v>
      </c>
      <c r="B533">
        <f>VLOOKUP(A533,Amazon_Data_Set[],20,FALSE)</f>
        <v>269.33999999999997</v>
      </c>
      <c r="C533">
        <f>_xlfn.XLOOKUP(Vlookup!A533,Amazon_Data_Set[Order ID],Amazon_Data_Set[Profit])</f>
        <v>-93.92</v>
      </c>
      <c r="D533" t="str">
        <f>INDEX('Amazon Data Set'!F:F,MATCH(Vlookup!A533,'Amazon Data Set'!A:A,0))</f>
        <v>Mumbai</v>
      </c>
    </row>
    <row r="534" spans="1:4">
      <c r="A534" s="16" t="s">
        <v>1512</v>
      </c>
      <c r="B534">
        <f>VLOOKUP(A534,Amazon_Data_Set[],20,FALSE)</f>
        <v>46780.27</v>
      </c>
      <c r="C534">
        <f>_xlfn.XLOOKUP(Vlookup!A534,Amazon_Data_Set[Order ID],Amazon_Data_Set[Profit])</f>
        <v>13493.26</v>
      </c>
      <c r="D534" t="str">
        <f>INDEX('Amazon Data Set'!F:F,MATCH(Vlookup!A534,'Amazon Data Set'!A:A,0))</f>
        <v>Mumbai</v>
      </c>
    </row>
    <row r="535" spans="1:4">
      <c r="A535" s="17" t="s">
        <v>1514</v>
      </c>
      <c r="B535">
        <f>VLOOKUP(A535,Amazon_Data_Set[],20,FALSE)</f>
        <v>227.73</v>
      </c>
      <c r="C535">
        <f>_xlfn.XLOOKUP(Vlookup!A535,Amazon_Data_Set[Order ID],Amazon_Data_Set[Profit])</f>
        <v>-12.26</v>
      </c>
      <c r="D535" t="str">
        <f>INDEX('Amazon Data Set'!F:F,MATCH(Vlookup!A535,'Amazon Data Set'!A:A,0))</f>
        <v>Pune</v>
      </c>
    </row>
    <row r="536" spans="1:4">
      <c r="A536" s="16" t="s">
        <v>1517</v>
      </c>
      <c r="B536">
        <f>VLOOKUP(A536,Amazon_Data_Set[],20,FALSE)</f>
        <v>8099.34</v>
      </c>
      <c r="C536">
        <f>_xlfn.XLOOKUP(Vlookup!A536,Amazon_Data_Set[Order ID],Amazon_Data_Set[Profit])</f>
        <v>2860.22</v>
      </c>
      <c r="D536" t="str">
        <f>INDEX('Amazon Data Set'!F:F,MATCH(Vlookup!A536,'Amazon Data Set'!A:A,0))</f>
        <v>Bhubaneswar</v>
      </c>
    </row>
    <row r="537" spans="1:4">
      <c r="A537" s="17" t="s">
        <v>1519</v>
      </c>
      <c r="B537">
        <f>VLOOKUP(A537,Amazon_Data_Set[],20,FALSE)</f>
        <v>270.89</v>
      </c>
      <c r="C537">
        <f>_xlfn.XLOOKUP(Vlookup!A537,Amazon_Data_Set[Order ID],Amazon_Data_Set[Profit])</f>
        <v>107.04</v>
      </c>
      <c r="D537" t="str">
        <f>INDEX('Amazon Data Set'!F:F,MATCH(Vlookup!A537,'Amazon Data Set'!A:A,0))</f>
        <v>Ludhiana</v>
      </c>
    </row>
    <row r="538" spans="1:4">
      <c r="A538" s="16" t="s">
        <v>1521</v>
      </c>
      <c r="B538">
        <f>VLOOKUP(A538,Amazon_Data_Set[],20,FALSE)</f>
        <v>760</v>
      </c>
      <c r="C538">
        <f>_xlfn.XLOOKUP(Vlookup!A538,Amazon_Data_Set[Order ID],Amazon_Data_Set[Profit])</f>
        <v>94.35</v>
      </c>
      <c r="D538" t="str">
        <f>INDEX('Amazon Data Set'!F:F,MATCH(Vlookup!A538,'Amazon Data Set'!A:A,0))</f>
        <v>Mysuru</v>
      </c>
    </row>
    <row r="539" spans="1:4">
      <c r="A539" s="17" t="s">
        <v>1523</v>
      </c>
      <c r="B539">
        <f>VLOOKUP(A539,Amazon_Data_Set[],20,FALSE)</f>
        <v>23341.7</v>
      </c>
      <c r="C539">
        <f>_xlfn.XLOOKUP(Vlookup!A539,Amazon_Data_Set[Order ID],Amazon_Data_Set[Profit])</f>
        <v>7564.34</v>
      </c>
      <c r="D539" t="str">
        <f>INDEX('Amazon Data Set'!F:F,MATCH(Vlookup!A539,'Amazon Data Set'!A:A,0))</f>
        <v>Guwahati</v>
      </c>
    </row>
    <row r="540" spans="1:4">
      <c r="A540" s="16" t="s">
        <v>1525</v>
      </c>
      <c r="B540">
        <f>VLOOKUP(A540,Amazon_Data_Set[],20,FALSE)</f>
        <v>1418.78</v>
      </c>
      <c r="C540">
        <f>_xlfn.XLOOKUP(Vlookup!A540,Amazon_Data_Set[Order ID],Amazon_Data_Set[Profit])</f>
        <v>137.11000000000001</v>
      </c>
      <c r="D540" t="str">
        <f>INDEX('Amazon Data Set'!F:F,MATCH(Vlookup!A540,'Amazon Data Set'!A:A,0))</f>
        <v>Mumbai</v>
      </c>
    </row>
    <row r="541" spans="1:4">
      <c r="A541" s="17" t="s">
        <v>1527</v>
      </c>
      <c r="B541">
        <f>VLOOKUP(A541,Amazon_Data_Set[],20,FALSE)</f>
        <v>1566.68</v>
      </c>
      <c r="C541">
        <f>_xlfn.XLOOKUP(Vlookup!A541,Amazon_Data_Set[Order ID],Amazon_Data_Set[Profit])</f>
        <v>414.44</v>
      </c>
      <c r="D541" t="str">
        <f>INDEX('Amazon Data Set'!F:F,MATCH(Vlookup!A541,'Amazon Data Set'!A:A,0))</f>
        <v>Bhubaneswar</v>
      </c>
    </row>
    <row r="542" spans="1:4">
      <c r="A542" s="16" t="s">
        <v>1529</v>
      </c>
      <c r="B542">
        <f>VLOOKUP(A542,Amazon_Data_Set[],20,FALSE)</f>
        <v>357.42</v>
      </c>
      <c r="C542">
        <f>_xlfn.XLOOKUP(Vlookup!A542,Amazon_Data_Set[Order ID],Amazon_Data_Set[Profit])</f>
        <v>68.67</v>
      </c>
      <c r="D542" t="str">
        <f>INDEX('Amazon Data Set'!F:F,MATCH(Vlookup!A542,'Amazon Data Set'!A:A,0))</f>
        <v>Pune</v>
      </c>
    </row>
    <row r="543" spans="1:4">
      <c r="A543" s="17" t="s">
        <v>1532</v>
      </c>
      <c r="B543">
        <f>VLOOKUP(A543,Amazon_Data_Set[],20,FALSE)</f>
        <v>852.1</v>
      </c>
      <c r="C543">
        <f>_xlfn.XLOOKUP(Vlookup!A543,Amazon_Data_Set[Order ID],Amazon_Data_Set[Profit])</f>
        <v>50.76</v>
      </c>
      <c r="D543" t="str">
        <f>INDEX('Amazon Data Set'!F:F,MATCH(Vlookup!A543,'Amazon Data Set'!A:A,0))</f>
        <v>Hyderabad</v>
      </c>
    </row>
    <row r="544" spans="1:4">
      <c r="A544" s="16" t="s">
        <v>1534</v>
      </c>
      <c r="B544">
        <f>VLOOKUP(A544,Amazon_Data_Set[],20,FALSE)</f>
        <v>916.82</v>
      </c>
      <c r="C544">
        <f>_xlfn.XLOOKUP(Vlookup!A544,Amazon_Data_Set[Order ID],Amazon_Data_Set[Profit])</f>
        <v>144.63999999999999</v>
      </c>
      <c r="D544" t="str">
        <f>INDEX('Amazon Data Set'!F:F,MATCH(Vlookup!A544,'Amazon Data Set'!A:A,0))</f>
        <v>Ludhiana</v>
      </c>
    </row>
    <row r="545" spans="1:4">
      <c r="A545" s="17" t="s">
        <v>1536</v>
      </c>
      <c r="B545">
        <f>VLOOKUP(A545,Amazon_Data_Set[],20,FALSE)</f>
        <v>5886.64</v>
      </c>
      <c r="C545">
        <f>_xlfn.XLOOKUP(Vlookup!A545,Amazon_Data_Set[Order ID],Amazon_Data_Set[Profit])</f>
        <v>1204.6400000000001</v>
      </c>
      <c r="D545" t="str">
        <f>INDEX('Amazon Data Set'!F:F,MATCH(Vlookup!A545,'Amazon Data Set'!A:A,0))</f>
        <v>Kolkata</v>
      </c>
    </row>
    <row r="546" spans="1:4">
      <c r="A546" s="16" t="s">
        <v>1538</v>
      </c>
      <c r="B546">
        <f>VLOOKUP(A546,Amazon_Data_Set[],20,FALSE)</f>
        <v>53060.36</v>
      </c>
      <c r="C546">
        <f>_xlfn.XLOOKUP(Vlookup!A546,Amazon_Data_Set[Order ID],Amazon_Data_Set[Profit])</f>
        <v>12978.97</v>
      </c>
      <c r="D546" t="str">
        <f>INDEX('Amazon Data Set'!F:F,MATCH(Vlookup!A546,'Amazon Data Set'!A:A,0))</f>
        <v>Patna</v>
      </c>
    </row>
    <row r="547" spans="1:4">
      <c r="A547" s="17" t="s">
        <v>1540</v>
      </c>
      <c r="B547">
        <f>VLOOKUP(A547,Amazon_Data_Set[],20,FALSE)</f>
        <v>350.12</v>
      </c>
      <c r="C547">
        <f>_xlfn.XLOOKUP(Vlookup!A547,Amazon_Data_Set[Order ID],Amazon_Data_Set[Profit])</f>
        <v>-83.24</v>
      </c>
      <c r="D547" t="str">
        <f>INDEX('Amazon Data Set'!F:F,MATCH(Vlookup!A547,'Amazon Data Set'!A:A,0))</f>
        <v>Hyderabad</v>
      </c>
    </row>
    <row r="548" spans="1:4">
      <c r="A548" s="16" t="s">
        <v>1543</v>
      </c>
      <c r="B548">
        <f>VLOOKUP(A548,Amazon_Data_Set[],20,FALSE)</f>
        <v>2424.63</v>
      </c>
      <c r="C548">
        <f>_xlfn.XLOOKUP(Vlookup!A548,Amazon_Data_Set[Order ID],Amazon_Data_Set[Profit])</f>
        <v>680.95</v>
      </c>
      <c r="D548" t="str">
        <f>INDEX('Amazon Data Set'!F:F,MATCH(Vlookup!A548,'Amazon Data Set'!A:A,0))</f>
        <v>Ahmedabad</v>
      </c>
    </row>
    <row r="549" spans="1:4">
      <c r="A549" s="17" t="s">
        <v>1545</v>
      </c>
      <c r="B549">
        <f>VLOOKUP(A549,Amazon_Data_Set[],20,FALSE)</f>
        <v>17267.240000000002</v>
      </c>
      <c r="C549">
        <f>_xlfn.XLOOKUP(Vlookup!A549,Amazon_Data_Set[Order ID],Amazon_Data_Set[Profit])</f>
        <v>3789.58</v>
      </c>
      <c r="D549" t="str">
        <f>INDEX('Amazon Data Set'!F:F,MATCH(Vlookup!A549,'Amazon Data Set'!A:A,0))</f>
        <v>Hyderabad</v>
      </c>
    </row>
    <row r="550" spans="1:4">
      <c r="A550" s="16" t="s">
        <v>1547</v>
      </c>
      <c r="B550">
        <f>VLOOKUP(A550,Amazon_Data_Set[],20,FALSE)</f>
        <v>449.63</v>
      </c>
      <c r="C550">
        <f>_xlfn.XLOOKUP(Vlookup!A550,Amazon_Data_Set[Order ID],Amazon_Data_Set[Profit])</f>
        <v>107.35</v>
      </c>
      <c r="D550" t="str">
        <f>INDEX('Amazon Data Set'!F:F,MATCH(Vlookup!A550,'Amazon Data Set'!A:A,0))</f>
        <v>Bhubaneswar</v>
      </c>
    </row>
    <row r="551" spans="1:4">
      <c r="A551" s="17" t="s">
        <v>1550</v>
      </c>
      <c r="B551">
        <f>VLOOKUP(A551,Amazon_Data_Set[],20,FALSE)</f>
        <v>2722.92</v>
      </c>
      <c r="C551">
        <f>_xlfn.XLOOKUP(Vlookup!A551,Amazon_Data_Set[Order ID],Amazon_Data_Set[Profit])</f>
        <v>1102.8599999999999</v>
      </c>
      <c r="D551" t="str">
        <f>INDEX('Amazon Data Set'!F:F,MATCH(Vlookup!A551,'Amazon Data Set'!A:A,0))</f>
        <v>Kochi</v>
      </c>
    </row>
    <row r="552" spans="1:4">
      <c r="A552" s="16" t="s">
        <v>1552</v>
      </c>
      <c r="B552">
        <f>VLOOKUP(A552,Amazon_Data_Set[],20,FALSE)</f>
        <v>1372.4</v>
      </c>
      <c r="C552">
        <f>_xlfn.XLOOKUP(Vlookup!A552,Amazon_Data_Set[Order ID],Amazon_Data_Set[Profit])</f>
        <v>377.42</v>
      </c>
      <c r="D552" t="str">
        <f>INDEX('Amazon Data Set'!F:F,MATCH(Vlookup!A552,'Amazon Data Set'!A:A,0))</f>
        <v>Ahmedabad</v>
      </c>
    </row>
    <row r="553" spans="1:4">
      <c r="A553" s="17" t="s">
        <v>1554</v>
      </c>
      <c r="B553">
        <f>VLOOKUP(A553,Amazon_Data_Set[],20,FALSE)</f>
        <v>3135.84</v>
      </c>
      <c r="C553">
        <f>_xlfn.XLOOKUP(Vlookup!A553,Amazon_Data_Set[Order ID],Amazon_Data_Set[Profit])</f>
        <v>999.25</v>
      </c>
      <c r="D553" t="str">
        <f>INDEX('Amazon Data Set'!F:F,MATCH(Vlookup!A553,'Amazon Data Set'!A:A,0))</f>
        <v>Noida</v>
      </c>
    </row>
    <row r="554" spans="1:4">
      <c r="A554" s="16" t="s">
        <v>1556</v>
      </c>
      <c r="B554">
        <f>VLOOKUP(A554,Amazon_Data_Set[],20,FALSE)</f>
        <v>4362.32</v>
      </c>
      <c r="C554">
        <f>_xlfn.XLOOKUP(Vlookup!A554,Amazon_Data_Set[Order ID],Amazon_Data_Set[Profit])</f>
        <v>789.7</v>
      </c>
      <c r="D554" t="str">
        <f>INDEX('Amazon Data Set'!F:F,MATCH(Vlookup!A554,'Amazon Data Set'!A:A,0))</f>
        <v>Ludhiana</v>
      </c>
    </row>
    <row r="555" spans="1:4">
      <c r="A555" s="17" t="s">
        <v>1558</v>
      </c>
      <c r="B555">
        <f>VLOOKUP(A555,Amazon_Data_Set[],20,FALSE)</f>
        <v>742.2</v>
      </c>
      <c r="C555">
        <f>_xlfn.XLOOKUP(Vlookup!A555,Amazon_Data_Set[Order ID],Amazon_Data_Set[Profit])</f>
        <v>258.06</v>
      </c>
      <c r="D555" t="str">
        <f>INDEX('Amazon Data Set'!F:F,MATCH(Vlookup!A555,'Amazon Data Set'!A:A,0))</f>
        <v>Mumbai</v>
      </c>
    </row>
    <row r="556" spans="1:4">
      <c r="A556" s="16" t="s">
        <v>1560</v>
      </c>
      <c r="B556">
        <f>VLOOKUP(A556,Amazon_Data_Set[],20,FALSE)</f>
        <v>8960.36</v>
      </c>
      <c r="C556">
        <f>_xlfn.XLOOKUP(Vlookup!A556,Amazon_Data_Set[Order ID],Amazon_Data_Set[Profit])</f>
        <v>3389.43</v>
      </c>
      <c r="D556" t="str">
        <f>INDEX('Amazon Data Set'!F:F,MATCH(Vlookup!A556,'Amazon Data Set'!A:A,0))</f>
        <v>Hyderabad</v>
      </c>
    </row>
    <row r="557" spans="1:4">
      <c r="A557" s="17" t="s">
        <v>1562</v>
      </c>
      <c r="B557">
        <f>VLOOKUP(A557,Amazon_Data_Set[],20,FALSE)</f>
        <v>5387.97</v>
      </c>
      <c r="C557">
        <f>_xlfn.XLOOKUP(Vlookup!A557,Amazon_Data_Set[Order ID],Amazon_Data_Set[Profit])</f>
        <v>853.31</v>
      </c>
      <c r="D557" t="str">
        <f>INDEX('Amazon Data Set'!F:F,MATCH(Vlookup!A557,'Amazon Data Set'!A:A,0))</f>
        <v>Patna</v>
      </c>
    </row>
    <row r="558" spans="1:4">
      <c r="A558" s="16" t="s">
        <v>1564</v>
      </c>
      <c r="B558">
        <f>VLOOKUP(A558,Amazon_Data_Set[],20,FALSE)</f>
        <v>1974.53</v>
      </c>
      <c r="C558">
        <f>_xlfn.XLOOKUP(Vlookup!A558,Amazon_Data_Set[Order ID],Amazon_Data_Set[Profit])</f>
        <v>336.44</v>
      </c>
      <c r="D558" t="str">
        <f>INDEX('Amazon Data Set'!F:F,MATCH(Vlookup!A558,'Amazon Data Set'!A:A,0))</f>
        <v>Kolkata</v>
      </c>
    </row>
    <row r="559" spans="1:4">
      <c r="A559" s="17" t="s">
        <v>1566</v>
      </c>
      <c r="B559">
        <f>VLOOKUP(A559,Amazon_Data_Set[],20,FALSE)</f>
        <v>9043.4699999999993</v>
      </c>
      <c r="C559">
        <f>_xlfn.XLOOKUP(Vlookup!A559,Amazon_Data_Set[Order ID],Amazon_Data_Set[Profit])</f>
        <v>1829.6</v>
      </c>
      <c r="D559" t="str">
        <f>INDEX('Amazon Data Set'!F:F,MATCH(Vlookup!A559,'Amazon Data Set'!A:A,0))</f>
        <v>Pune</v>
      </c>
    </row>
    <row r="560" spans="1:4">
      <c r="A560" s="16" t="s">
        <v>1568</v>
      </c>
      <c r="B560">
        <f>VLOOKUP(A560,Amazon_Data_Set[],20,FALSE)</f>
        <v>32949.629999999997</v>
      </c>
      <c r="C560">
        <f>_xlfn.XLOOKUP(Vlookup!A560,Amazon_Data_Set[Order ID],Amazon_Data_Set[Profit])</f>
        <v>7874.06</v>
      </c>
      <c r="D560" t="str">
        <f>INDEX('Amazon Data Set'!F:F,MATCH(Vlookup!A560,'Amazon Data Set'!A:A,0))</f>
        <v>Patna</v>
      </c>
    </row>
    <row r="561" spans="1:4">
      <c r="A561" s="17" t="s">
        <v>1570</v>
      </c>
      <c r="B561">
        <f>VLOOKUP(A561,Amazon_Data_Set[],20,FALSE)</f>
        <v>35100.480000000003</v>
      </c>
      <c r="C561">
        <f>_xlfn.XLOOKUP(Vlookup!A561,Amazon_Data_Set[Order ID],Amazon_Data_Set[Profit])</f>
        <v>6984.62</v>
      </c>
      <c r="D561" t="str">
        <f>INDEX('Amazon Data Set'!F:F,MATCH(Vlookup!A561,'Amazon Data Set'!A:A,0))</f>
        <v>Bhubaneswar</v>
      </c>
    </row>
    <row r="562" spans="1:4">
      <c r="A562" s="16" t="s">
        <v>1572</v>
      </c>
      <c r="B562">
        <f>VLOOKUP(A562,Amazon_Data_Set[],20,FALSE)</f>
        <v>9002.6</v>
      </c>
      <c r="C562">
        <f>_xlfn.XLOOKUP(Vlookup!A562,Amazon_Data_Set[Order ID],Amazon_Data_Set[Profit])</f>
        <v>1415.08</v>
      </c>
      <c r="D562" t="str">
        <f>INDEX('Amazon Data Set'!F:F,MATCH(Vlookup!A562,'Amazon Data Set'!A:A,0))</f>
        <v>Bengaluru</v>
      </c>
    </row>
    <row r="563" spans="1:4">
      <c r="A563" s="17" t="s">
        <v>1574</v>
      </c>
      <c r="B563">
        <f>VLOOKUP(A563,Amazon_Data_Set[],20,FALSE)</f>
        <v>11332.4</v>
      </c>
      <c r="C563">
        <f>_xlfn.XLOOKUP(Vlookup!A563,Amazon_Data_Set[Order ID],Amazon_Data_Set[Profit])</f>
        <v>4390.7700000000004</v>
      </c>
      <c r="D563" t="str">
        <f>INDEX('Amazon Data Set'!F:F,MATCH(Vlookup!A563,'Amazon Data Set'!A:A,0))</f>
        <v>Guwahati</v>
      </c>
    </row>
    <row r="564" spans="1:4">
      <c r="A564" s="16" t="s">
        <v>1576</v>
      </c>
      <c r="B564">
        <f>VLOOKUP(A564,Amazon_Data_Set[],20,FALSE)</f>
        <v>2444.84</v>
      </c>
      <c r="C564">
        <f>_xlfn.XLOOKUP(Vlookup!A564,Amazon_Data_Set[Order ID],Amazon_Data_Set[Profit])</f>
        <v>388.4</v>
      </c>
      <c r="D564" t="str">
        <f>INDEX('Amazon Data Set'!F:F,MATCH(Vlookup!A564,'Amazon Data Set'!A:A,0))</f>
        <v>Bhubaneswar</v>
      </c>
    </row>
    <row r="565" spans="1:4">
      <c r="A565" s="17" t="s">
        <v>1578</v>
      </c>
      <c r="B565">
        <f>VLOOKUP(A565,Amazon_Data_Set[],20,FALSE)</f>
        <v>557.88</v>
      </c>
      <c r="C565">
        <f>_xlfn.XLOOKUP(Vlookup!A565,Amazon_Data_Set[Order ID],Amazon_Data_Set[Profit])</f>
        <v>148.75</v>
      </c>
      <c r="D565" t="str">
        <f>INDEX('Amazon Data Set'!F:F,MATCH(Vlookup!A565,'Amazon Data Set'!A:A,0))</f>
        <v>Mumbai</v>
      </c>
    </row>
    <row r="566" spans="1:4">
      <c r="A566" s="16" t="s">
        <v>1580</v>
      </c>
      <c r="B566">
        <f>VLOOKUP(A566,Amazon_Data_Set[],20,FALSE)</f>
        <v>1453.42</v>
      </c>
      <c r="C566">
        <f>_xlfn.XLOOKUP(Vlookup!A566,Amazon_Data_Set[Order ID],Amazon_Data_Set[Profit])</f>
        <v>478.62</v>
      </c>
      <c r="D566" t="str">
        <f>INDEX('Amazon Data Set'!F:F,MATCH(Vlookup!A566,'Amazon Data Set'!A:A,0))</f>
        <v>Kolkata</v>
      </c>
    </row>
    <row r="567" spans="1:4">
      <c r="A567" s="17" t="s">
        <v>1582</v>
      </c>
      <c r="B567">
        <f>VLOOKUP(A567,Amazon_Data_Set[],20,FALSE)</f>
        <v>5269.65</v>
      </c>
      <c r="C567">
        <f>_xlfn.XLOOKUP(Vlookup!A567,Amazon_Data_Set[Order ID],Amazon_Data_Set[Profit])</f>
        <v>1215.8399999999999</v>
      </c>
      <c r="D567" t="str">
        <f>INDEX('Amazon Data Set'!F:F,MATCH(Vlookup!A567,'Amazon Data Set'!A:A,0))</f>
        <v>Kolkata</v>
      </c>
    </row>
    <row r="568" spans="1:4">
      <c r="A568" s="16" t="s">
        <v>1584</v>
      </c>
      <c r="B568">
        <f>VLOOKUP(A568,Amazon_Data_Set[],20,FALSE)</f>
        <v>340.19</v>
      </c>
      <c r="C568">
        <f>_xlfn.XLOOKUP(Vlookup!A568,Amazon_Data_Set[Order ID],Amazon_Data_Set[Profit])</f>
        <v>24.69</v>
      </c>
      <c r="D568" t="str">
        <f>INDEX('Amazon Data Set'!F:F,MATCH(Vlookup!A568,'Amazon Data Set'!A:A,0))</f>
        <v>Gurugram</v>
      </c>
    </row>
    <row r="569" spans="1:4">
      <c r="A569" s="17" t="s">
        <v>1586</v>
      </c>
      <c r="B569">
        <f>VLOOKUP(A569,Amazon_Data_Set[],20,FALSE)</f>
        <v>2916.44</v>
      </c>
      <c r="C569">
        <f>_xlfn.XLOOKUP(Vlookup!A569,Amazon_Data_Set[Order ID],Amazon_Data_Set[Profit])</f>
        <v>580.63</v>
      </c>
      <c r="D569" t="str">
        <f>INDEX('Amazon Data Set'!F:F,MATCH(Vlookup!A569,'Amazon Data Set'!A:A,0))</f>
        <v>Mysuru</v>
      </c>
    </row>
    <row r="570" spans="1:4">
      <c r="A570" s="16" t="s">
        <v>1588</v>
      </c>
      <c r="B570">
        <f>VLOOKUP(A570,Amazon_Data_Set[],20,FALSE)</f>
        <v>1091.94</v>
      </c>
      <c r="C570">
        <f>_xlfn.XLOOKUP(Vlookup!A570,Amazon_Data_Set[Order ID],Amazon_Data_Set[Profit])</f>
        <v>154.25</v>
      </c>
      <c r="D570" t="str">
        <f>INDEX('Amazon Data Set'!F:F,MATCH(Vlookup!A570,'Amazon Data Set'!A:A,0))</f>
        <v>Chennai</v>
      </c>
    </row>
    <row r="571" spans="1:4">
      <c r="A571" s="17" t="s">
        <v>1590</v>
      </c>
      <c r="B571">
        <f>VLOOKUP(A571,Amazon_Data_Set[],20,FALSE)</f>
        <v>4270.82</v>
      </c>
      <c r="C571">
        <f>_xlfn.XLOOKUP(Vlookup!A571,Amazon_Data_Set[Order ID],Amazon_Data_Set[Profit])</f>
        <v>1193.98</v>
      </c>
      <c r="D571" t="str">
        <f>INDEX('Amazon Data Set'!F:F,MATCH(Vlookup!A571,'Amazon Data Set'!A:A,0))</f>
        <v>Ludhiana</v>
      </c>
    </row>
    <row r="572" spans="1:4">
      <c r="A572" s="16" t="s">
        <v>1592</v>
      </c>
      <c r="B572">
        <f>VLOOKUP(A572,Amazon_Data_Set[],20,FALSE)</f>
        <v>5146.17</v>
      </c>
      <c r="C572">
        <f>_xlfn.XLOOKUP(Vlookup!A572,Amazon_Data_Set[Order ID],Amazon_Data_Set[Profit])</f>
        <v>1333.58</v>
      </c>
      <c r="D572" t="str">
        <f>INDEX('Amazon Data Set'!F:F,MATCH(Vlookup!A572,'Amazon Data Set'!A:A,0))</f>
        <v>Mumbai</v>
      </c>
    </row>
    <row r="573" spans="1:4">
      <c r="A573" s="17" t="s">
        <v>1594</v>
      </c>
      <c r="B573">
        <f>VLOOKUP(A573,Amazon_Data_Set[],20,FALSE)</f>
        <v>23113.56</v>
      </c>
      <c r="C573">
        <f>_xlfn.XLOOKUP(Vlookup!A573,Amazon_Data_Set[Order ID],Amazon_Data_Set[Profit])</f>
        <v>6285.93</v>
      </c>
      <c r="D573" t="str">
        <f>INDEX('Amazon Data Set'!F:F,MATCH(Vlookup!A573,'Amazon Data Set'!A:A,0))</f>
        <v>Hyderabad</v>
      </c>
    </row>
    <row r="574" spans="1:4">
      <c r="A574" s="16" t="s">
        <v>1596</v>
      </c>
      <c r="B574">
        <f>VLOOKUP(A574,Amazon_Data_Set[],20,FALSE)</f>
        <v>756.98</v>
      </c>
      <c r="C574">
        <f>_xlfn.XLOOKUP(Vlookup!A574,Amazon_Data_Set[Order ID],Amazon_Data_Set[Profit])</f>
        <v>68.88</v>
      </c>
      <c r="D574" t="str">
        <f>INDEX('Amazon Data Set'!F:F,MATCH(Vlookup!A574,'Amazon Data Set'!A:A,0))</f>
        <v>Ludhiana</v>
      </c>
    </row>
    <row r="575" spans="1:4">
      <c r="A575" s="17" t="s">
        <v>1598</v>
      </c>
      <c r="B575">
        <f>VLOOKUP(A575,Amazon_Data_Set[],20,FALSE)</f>
        <v>12195.39</v>
      </c>
      <c r="C575">
        <f>_xlfn.XLOOKUP(Vlookup!A575,Amazon_Data_Set[Order ID],Amazon_Data_Set[Profit])</f>
        <v>3085.57</v>
      </c>
      <c r="D575" t="str">
        <f>INDEX('Amazon Data Set'!F:F,MATCH(Vlookup!A575,'Amazon Data Set'!A:A,0))</f>
        <v>Ahmedabad</v>
      </c>
    </row>
    <row r="576" spans="1:4">
      <c r="A576" s="16" t="s">
        <v>1600</v>
      </c>
      <c r="B576">
        <f>VLOOKUP(A576,Amazon_Data_Set[],20,FALSE)</f>
        <v>4512.5</v>
      </c>
      <c r="C576">
        <f>_xlfn.XLOOKUP(Vlookup!A576,Amazon_Data_Set[Order ID],Amazon_Data_Set[Profit])</f>
        <v>1281.57</v>
      </c>
      <c r="D576" t="str">
        <f>INDEX('Amazon Data Set'!F:F,MATCH(Vlookup!A576,'Amazon Data Set'!A:A,0))</f>
        <v>Bengaluru</v>
      </c>
    </row>
    <row r="577" spans="1:4">
      <c r="A577" s="17" t="s">
        <v>1603</v>
      </c>
      <c r="B577">
        <f>VLOOKUP(A577,Amazon_Data_Set[],20,FALSE)</f>
        <v>3488.25</v>
      </c>
      <c r="C577">
        <f>_xlfn.XLOOKUP(Vlookup!A577,Amazon_Data_Set[Order ID],Amazon_Data_Set[Profit])</f>
        <v>759.83</v>
      </c>
      <c r="D577" t="str">
        <f>INDEX('Amazon Data Set'!F:F,MATCH(Vlookup!A577,'Amazon Data Set'!A:A,0))</f>
        <v>Ahmedabad</v>
      </c>
    </row>
    <row r="578" spans="1:4">
      <c r="A578" s="16" t="s">
        <v>1605</v>
      </c>
      <c r="B578">
        <f>VLOOKUP(A578,Amazon_Data_Set[],20,FALSE)</f>
        <v>157.1</v>
      </c>
      <c r="C578">
        <f>_xlfn.XLOOKUP(Vlookup!A578,Amazon_Data_Set[Order ID],Amazon_Data_Set[Profit])</f>
        <v>-124.67</v>
      </c>
      <c r="D578" t="str">
        <f>INDEX('Amazon Data Set'!F:F,MATCH(Vlookup!A578,'Amazon Data Set'!A:A,0))</f>
        <v>Hyderabad</v>
      </c>
    </row>
    <row r="579" spans="1:4">
      <c r="A579" s="17" t="s">
        <v>1607</v>
      </c>
      <c r="B579">
        <f>VLOOKUP(A579,Amazon_Data_Set[],20,FALSE)</f>
        <v>139.97</v>
      </c>
      <c r="C579">
        <f>_xlfn.XLOOKUP(Vlookup!A579,Amazon_Data_Set[Order ID],Amazon_Data_Set[Profit])</f>
        <v>-194.46</v>
      </c>
      <c r="D579" t="str">
        <f>INDEX('Amazon Data Set'!F:F,MATCH(Vlookup!A579,'Amazon Data Set'!A:A,0))</f>
        <v>Kochi</v>
      </c>
    </row>
    <row r="580" spans="1:4">
      <c r="A580" s="16" t="s">
        <v>1609</v>
      </c>
      <c r="B580">
        <f>VLOOKUP(A580,Amazon_Data_Set[],20,FALSE)</f>
        <v>5777.76</v>
      </c>
      <c r="C580">
        <f>_xlfn.XLOOKUP(Vlookup!A580,Amazon_Data_Set[Order ID],Amazon_Data_Set[Profit])</f>
        <v>1781.84</v>
      </c>
      <c r="D580" t="str">
        <f>INDEX('Amazon Data Set'!F:F,MATCH(Vlookup!A580,'Amazon Data Set'!A:A,0))</f>
        <v>Chennai</v>
      </c>
    </row>
    <row r="581" spans="1:4">
      <c r="A581" s="17" t="s">
        <v>1611</v>
      </c>
      <c r="B581">
        <f>VLOOKUP(A581,Amazon_Data_Set[],20,FALSE)</f>
        <v>3727.48</v>
      </c>
      <c r="C581">
        <f>_xlfn.XLOOKUP(Vlookup!A581,Amazon_Data_Set[Order ID],Amazon_Data_Set[Profit])</f>
        <v>1017.81</v>
      </c>
      <c r="D581" t="str">
        <f>INDEX('Amazon Data Set'!F:F,MATCH(Vlookup!A581,'Amazon Data Set'!A:A,0))</f>
        <v>Ahmedabad</v>
      </c>
    </row>
    <row r="582" spans="1:4">
      <c r="A582" s="16" t="s">
        <v>1614</v>
      </c>
      <c r="B582">
        <f>VLOOKUP(A582,Amazon_Data_Set[],20,FALSE)</f>
        <v>3008.65</v>
      </c>
      <c r="C582">
        <f>_xlfn.XLOOKUP(Vlookup!A582,Amazon_Data_Set[Order ID],Amazon_Data_Set[Profit])</f>
        <v>834.99</v>
      </c>
      <c r="D582" t="str">
        <f>INDEX('Amazon Data Set'!F:F,MATCH(Vlookup!A582,'Amazon Data Set'!A:A,0))</f>
        <v>Ludhiana</v>
      </c>
    </row>
    <row r="583" spans="1:4">
      <c r="A583" s="17" t="s">
        <v>1616</v>
      </c>
      <c r="B583">
        <f>VLOOKUP(A583,Amazon_Data_Set[],20,FALSE)</f>
        <v>30800.73</v>
      </c>
      <c r="C583">
        <f>_xlfn.XLOOKUP(Vlookup!A583,Amazon_Data_Set[Order ID],Amazon_Data_Set[Profit])</f>
        <v>10251.01</v>
      </c>
      <c r="D583" t="str">
        <f>INDEX('Amazon Data Set'!F:F,MATCH(Vlookup!A583,'Amazon Data Set'!A:A,0))</f>
        <v>Noida</v>
      </c>
    </row>
    <row r="584" spans="1:4">
      <c r="A584" s="16" t="s">
        <v>1618</v>
      </c>
      <c r="B584">
        <f>VLOOKUP(A584,Amazon_Data_Set[],20,FALSE)</f>
        <v>748.02</v>
      </c>
      <c r="C584">
        <f>_xlfn.XLOOKUP(Vlookup!A584,Amazon_Data_Set[Order ID],Amazon_Data_Set[Profit])</f>
        <v>111.32</v>
      </c>
      <c r="D584" t="str">
        <f>INDEX('Amazon Data Set'!F:F,MATCH(Vlookup!A584,'Amazon Data Set'!A:A,0))</f>
        <v>Pune</v>
      </c>
    </row>
    <row r="585" spans="1:4">
      <c r="A585" s="17" t="s">
        <v>1621</v>
      </c>
      <c r="B585">
        <f>VLOOKUP(A585,Amazon_Data_Set[],20,FALSE)</f>
        <v>12337.65</v>
      </c>
      <c r="C585">
        <f>_xlfn.XLOOKUP(Vlookup!A585,Amazon_Data_Set[Order ID],Amazon_Data_Set[Profit])</f>
        <v>4402.21</v>
      </c>
      <c r="D585" t="str">
        <f>INDEX('Amazon Data Set'!F:F,MATCH(Vlookup!A585,'Amazon Data Set'!A:A,0))</f>
        <v>Jaipur</v>
      </c>
    </row>
    <row r="586" spans="1:4">
      <c r="A586" s="16" t="s">
        <v>1623</v>
      </c>
      <c r="B586">
        <f>VLOOKUP(A586,Amazon_Data_Set[],20,FALSE)</f>
        <v>10168.82</v>
      </c>
      <c r="C586">
        <f>_xlfn.XLOOKUP(Vlookup!A586,Amazon_Data_Set[Order ID],Amazon_Data_Set[Profit])</f>
        <v>4585.6000000000004</v>
      </c>
      <c r="D586" t="str">
        <f>INDEX('Amazon Data Set'!F:F,MATCH(Vlookup!A586,'Amazon Data Set'!A:A,0))</f>
        <v>Kochi</v>
      </c>
    </row>
    <row r="587" spans="1:4">
      <c r="A587" s="17" t="s">
        <v>1625</v>
      </c>
      <c r="B587">
        <f>VLOOKUP(A587,Amazon_Data_Set[],20,FALSE)</f>
        <v>349.16</v>
      </c>
      <c r="C587">
        <f>_xlfn.XLOOKUP(Vlookup!A587,Amazon_Data_Set[Order ID],Amazon_Data_Set[Profit])</f>
        <v>-110.89</v>
      </c>
      <c r="D587" t="str">
        <f>INDEX('Amazon Data Set'!F:F,MATCH(Vlookup!A587,'Amazon Data Set'!A:A,0))</f>
        <v>Mysuru</v>
      </c>
    </row>
    <row r="588" spans="1:4">
      <c r="A588" s="16" t="s">
        <v>1628</v>
      </c>
      <c r="B588">
        <f>VLOOKUP(A588,Amazon_Data_Set[],20,FALSE)</f>
        <v>1055.72</v>
      </c>
      <c r="C588">
        <f>_xlfn.XLOOKUP(Vlookup!A588,Amazon_Data_Set[Order ID],Amazon_Data_Set[Profit])</f>
        <v>242.36</v>
      </c>
      <c r="D588" t="str">
        <f>INDEX('Amazon Data Set'!F:F,MATCH(Vlookup!A588,'Amazon Data Set'!A:A,0))</f>
        <v>Mumbai</v>
      </c>
    </row>
    <row r="589" spans="1:4">
      <c r="A589" s="17" t="s">
        <v>1630</v>
      </c>
      <c r="B589">
        <f>VLOOKUP(A589,Amazon_Data_Set[],20,FALSE)</f>
        <v>27861.35</v>
      </c>
      <c r="C589">
        <f>_xlfn.XLOOKUP(Vlookup!A589,Amazon_Data_Set[Order ID],Amazon_Data_Set[Profit])</f>
        <v>9840.2000000000007</v>
      </c>
      <c r="D589" t="str">
        <f>INDEX('Amazon Data Set'!F:F,MATCH(Vlookup!A589,'Amazon Data Set'!A:A,0))</f>
        <v>Mysuru</v>
      </c>
    </row>
    <row r="590" spans="1:4">
      <c r="A590" s="16" t="s">
        <v>1632</v>
      </c>
      <c r="B590">
        <f>VLOOKUP(A590,Amazon_Data_Set[],20,FALSE)</f>
        <v>1584.73</v>
      </c>
      <c r="C590">
        <f>_xlfn.XLOOKUP(Vlookup!A590,Amazon_Data_Set[Order ID],Amazon_Data_Set[Profit])</f>
        <v>597.11</v>
      </c>
      <c r="D590" t="str">
        <f>INDEX('Amazon Data Set'!F:F,MATCH(Vlookup!A590,'Amazon Data Set'!A:A,0))</f>
        <v>Pune</v>
      </c>
    </row>
    <row r="591" spans="1:4">
      <c r="A591" s="17" t="s">
        <v>1634</v>
      </c>
      <c r="B591">
        <f>VLOOKUP(A591,Amazon_Data_Set[],20,FALSE)</f>
        <v>6227.48</v>
      </c>
      <c r="C591">
        <f>_xlfn.XLOOKUP(Vlookup!A591,Amazon_Data_Set[Order ID],Amazon_Data_Set[Profit])</f>
        <v>1406.82</v>
      </c>
      <c r="D591" t="str">
        <f>INDEX('Amazon Data Set'!F:F,MATCH(Vlookup!A591,'Amazon Data Set'!A:A,0))</f>
        <v>Chennai</v>
      </c>
    </row>
    <row r="592" spans="1:4">
      <c r="A592" s="16" t="s">
        <v>1636</v>
      </c>
      <c r="B592">
        <f>VLOOKUP(A592,Amazon_Data_Set[],20,FALSE)</f>
        <v>10850.4</v>
      </c>
      <c r="C592">
        <f>_xlfn.XLOOKUP(Vlookup!A592,Amazon_Data_Set[Order ID],Amazon_Data_Set[Profit])</f>
        <v>4806.84</v>
      </c>
      <c r="D592" t="str">
        <f>INDEX('Amazon Data Set'!F:F,MATCH(Vlookup!A592,'Amazon Data Set'!A:A,0))</f>
        <v>New Delhi</v>
      </c>
    </row>
    <row r="593" spans="1:4">
      <c r="A593" s="17" t="s">
        <v>1638</v>
      </c>
      <c r="B593">
        <f>VLOOKUP(A593,Amazon_Data_Set[],20,FALSE)</f>
        <v>5917.76</v>
      </c>
      <c r="C593">
        <f>_xlfn.XLOOKUP(Vlookup!A593,Amazon_Data_Set[Order ID],Amazon_Data_Set[Profit])</f>
        <v>2326.6999999999998</v>
      </c>
      <c r="D593" t="str">
        <f>INDEX('Amazon Data Set'!F:F,MATCH(Vlookup!A593,'Amazon Data Set'!A:A,0))</f>
        <v>Jaipur</v>
      </c>
    </row>
    <row r="594" spans="1:4">
      <c r="A594" s="16" t="s">
        <v>1640</v>
      </c>
      <c r="B594">
        <f>VLOOKUP(A594,Amazon_Data_Set[],20,FALSE)</f>
        <v>4864.45</v>
      </c>
      <c r="C594">
        <f>_xlfn.XLOOKUP(Vlookup!A594,Amazon_Data_Set[Order ID],Amazon_Data_Set[Profit])</f>
        <v>1205.45</v>
      </c>
      <c r="D594" t="str">
        <f>INDEX('Amazon Data Set'!F:F,MATCH(Vlookup!A594,'Amazon Data Set'!A:A,0))</f>
        <v>New Delhi</v>
      </c>
    </row>
    <row r="595" spans="1:4">
      <c r="A595" s="17" t="s">
        <v>1643</v>
      </c>
      <c r="B595">
        <f>VLOOKUP(A595,Amazon_Data_Set[],20,FALSE)</f>
        <v>9725.58</v>
      </c>
      <c r="C595">
        <f>_xlfn.XLOOKUP(Vlookup!A595,Amazon_Data_Set[Order ID],Amazon_Data_Set[Profit])</f>
        <v>2474.77</v>
      </c>
      <c r="D595" t="str">
        <f>INDEX('Amazon Data Set'!F:F,MATCH(Vlookup!A595,'Amazon Data Set'!A:A,0))</f>
        <v>Ahmedabad</v>
      </c>
    </row>
    <row r="596" spans="1:4">
      <c r="A596" s="16" t="s">
        <v>1645</v>
      </c>
      <c r="B596">
        <f>VLOOKUP(A596,Amazon_Data_Set[],20,FALSE)</f>
        <v>1989.39</v>
      </c>
      <c r="C596">
        <f>_xlfn.XLOOKUP(Vlookup!A596,Amazon_Data_Set[Order ID],Amazon_Data_Set[Profit])</f>
        <v>571.44000000000005</v>
      </c>
      <c r="D596" t="str">
        <f>INDEX('Amazon Data Set'!F:F,MATCH(Vlookup!A596,'Amazon Data Set'!A:A,0))</f>
        <v>Bhubaneswar</v>
      </c>
    </row>
    <row r="597" spans="1:4">
      <c r="A597" s="17" t="s">
        <v>1647</v>
      </c>
      <c r="B597">
        <f>VLOOKUP(A597,Amazon_Data_Set[],20,FALSE)</f>
        <v>9008.76</v>
      </c>
      <c r="C597">
        <f>_xlfn.XLOOKUP(Vlookup!A597,Amazon_Data_Set[Order ID],Amazon_Data_Set[Profit])</f>
        <v>3762.4</v>
      </c>
      <c r="D597" t="str">
        <f>INDEX('Amazon Data Set'!F:F,MATCH(Vlookup!A597,'Amazon Data Set'!A:A,0))</f>
        <v>Chennai</v>
      </c>
    </row>
    <row r="598" spans="1:4">
      <c r="A598" s="16" t="s">
        <v>1649</v>
      </c>
      <c r="B598">
        <f>VLOOKUP(A598,Amazon_Data_Set[],20,FALSE)</f>
        <v>17497.23</v>
      </c>
      <c r="C598">
        <f>_xlfn.XLOOKUP(Vlookup!A598,Amazon_Data_Set[Order ID],Amazon_Data_Set[Profit])</f>
        <v>5282.76</v>
      </c>
      <c r="D598" t="str">
        <f>INDEX('Amazon Data Set'!F:F,MATCH(Vlookup!A598,'Amazon Data Set'!A:A,0))</f>
        <v>Kochi</v>
      </c>
    </row>
    <row r="599" spans="1:4">
      <c r="A599" s="17" t="s">
        <v>1651</v>
      </c>
      <c r="B599">
        <f>VLOOKUP(A599,Amazon_Data_Set[],20,FALSE)</f>
        <v>22705.68</v>
      </c>
      <c r="C599">
        <f>_xlfn.XLOOKUP(Vlookup!A599,Amazon_Data_Set[Order ID],Amazon_Data_Set[Profit])</f>
        <v>7325.51</v>
      </c>
      <c r="D599" t="str">
        <f>INDEX('Amazon Data Set'!F:F,MATCH(Vlookup!A599,'Amazon Data Set'!A:A,0))</f>
        <v>Guwahati</v>
      </c>
    </row>
    <row r="600" spans="1:4">
      <c r="A600" s="16" t="s">
        <v>1653</v>
      </c>
      <c r="B600">
        <f>VLOOKUP(A600,Amazon_Data_Set[],20,FALSE)</f>
        <v>317.02</v>
      </c>
      <c r="C600">
        <f>_xlfn.XLOOKUP(Vlookup!A600,Amazon_Data_Set[Order ID],Amazon_Data_Set[Profit])</f>
        <v>23.39</v>
      </c>
      <c r="D600" t="str">
        <f>INDEX('Amazon Data Set'!F:F,MATCH(Vlookup!A600,'Amazon Data Set'!A:A,0))</f>
        <v>Pune</v>
      </c>
    </row>
    <row r="601" spans="1:4">
      <c r="A601" s="17" t="s">
        <v>1655</v>
      </c>
      <c r="B601">
        <f>VLOOKUP(A601,Amazon_Data_Set[],20,FALSE)</f>
        <v>23187.4</v>
      </c>
      <c r="C601">
        <f>_xlfn.XLOOKUP(Vlookup!A601,Amazon_Data_Set[Order ID],Amazon_Data_Set[Profit])</f>
        <v>8430.85</v>
      </c>
      <c r="D601" t="str">
        <f>INDEX('Amazon Data Set'!F:F,MATCH(Vlookup!A601,'Amazon Data Set'!A:A,0))</f>
        <v>Ahmedabad</v>
      </c>
    </row>
    <row r="602" spans="1:4">
      <c r="A602" s="16" t="s">
        <v>1657</v>
      </c>
      <c r="B602">
        <f>VLOOKUP(A602,Amazon_Data_Set[],20,FALSE)</f>
        <v>6731.75</v>
      </c>
      <c r="C602">
        <f>_xlfn.XLOOKUP(Vlookup!A602,Amazon_Data_Set[Order ID],Amazon_Data_Set[Profit])</f>
        <v>2145.66</v>
      </c>
      <c r="D602" t="str">
        <f>INDEX('Amazon Data Set'!F:F,MATCH(Vlookup!A602,'Amazon Data Set'!A:A,0))</f>
        <v>Mumbai</v>
      </c>
    </row>
    <row r="603" spans="1:4">
      <c r="A603" s="17" t="s">
        <v>1659</v>
      </c>
      <c r="B603">
        <f>VLOOKUP(A603,Amazon_Data_Set[],20,FALSE)</f>
        <v>51888.65</v>
      </c>
      <c r="C603">
        <f>_xlfn.XLOOKUP(Vlookup!A603,Amazon_Data_Set[Order ID],Amazon_Data_Set[Profit])</f>
        <v>15152.93</v>
      </c>
      <c r="D603" t="str">
        <f>INDEX('Amazon Data Set'!F:F,MATCH(Vlookup!A603,'Amazon Data Set'!A:A,0))</f>
        <v>Noida</v>
      </c>
    </row>
    <row r="604" spans="1:4">
      <c r="A604" s="16" t="s">
        <v>1661</v>
      </c>
      <c r="B604">
        <f>VLOOKUP(A604,Amazon_Data_Set[],20,FALSE)</f>
        <v>6090.32</v>
      </c>
      <c r="C604">
        <f>_xlfn.XLOOKUP(Vlookup!A604,Amazon_Data_Set[Order ID],Amazon_Data_Set[Profit])</f>
        <v>1452.39</v>
      </c>
      <c r="D604" t="str">
        <f>INDEX('Amazon Data Set'!F:F,MATCH(Vlookup!A604,'Amazon Data Set'!A:A,0))</f>
        <v>Bengaluru</v>
      </c>
    </row>
    <row r="605" spans="1:4">
      <c r="A605" s="17" t="s">
        <v>1663</v>
      </c>
      <c r="B605">
        <f>VLOOKUP(A605,Amazon_Data_Set[],20,FALSE)</f>
        <v>8028.69</v>
      </c>
      <c r="C605">
        <f>_xlfn.XLOOKUP(Vlookup!A605,Amazon_Data_Set[Order ID],Amazon_Data_Set[Profit])</f>
        <v>2168.48</v>
      </c>
      <c r="D605" t="str">
        <f>INDEX('Amazon Data Set'!F:F,MATCH(Vlookup!A605,'Amazon Data Set'!A:A,0))</f>
        <v>Kochi</v>
      </c>
    </row>
    <row r="606" spans="1:4">
      <c r="A606" s="16" t="s">
        <v>1665</v>
      </c>
      <c r="B606">
        <f>VLOOKUP(A606,Amazon_Data_Set[],20,FALSE)</f>
        <v>675.94</v>
      </c>
      <c r="C606">
        <f>_xlfn.XLOOKUP(Vlookup!A606,Amazon_Data_Set[Order ID],Amazon_Data_Set[Profit])</f>
        <v>120.18</v>
      </c>
      <c r="D606" t="str">
        <f>INDEX('Amazon Data Set'!F:F,MATCH(Vlookup!A606,'Amazon Data Set'!A:A,0))</f>
        <v>Hyderabad</v>
      </c>
    </row>
    <row r="607" spans="1:4">
      <c r="A607" s="17" t="s">
        <v>1667</v>
      </c>
      <c r="B607">
        <f>VLOOKUP(A607,Amazon_Data_Set[],20,FALSE)</f>
        <v>931</v>
      </c>
      <c r="C607">
        <f>_xlfn.XLOOKUP(Vlookup!A607,Amazon_Data_Set[Order ID],Amazon_Data_Set[Profit])</f>
        <v>145.18</v>
      </c>
      <c r="D607" t="str">
        <f>INDEX('Amazon Data Set'!F:F,MATCH(Vlookup!A607,'Amazon Data Set'!A:A,0))</f>
        <v>Jaipur</v>
      </c>
    </row>
    <row r="608" spans="1:4">
      <c r="A608" s="16" t="s">
        <v>1670</v>
      </c>
      <c r="B608">
        <f>VLOOKUP(A608,Amazon_Data_Set[],20,FALSE)</f>
        <v>3732.4</v>
      </c>
      <c r="C608">
        <f>_xlfn.XLOOKUP(Vlookup!A608,Amazon_Data_Set[Order ID],Amazon_Data_Set[Profit])</f>
        <v>1050.46</v>
      </c>
      <c r="D608" t="str">
        <f>INDEX('Amazon Data Set'!F:F,MATCH(Vlookup!A608,'Amazon Data Set'!A:A,0))</f>
        <v>Bengaluru</v>
      </c>
    </row>
    <row r="609" spans="1:4">
      <c r="A609" s="17" t="s">
        <v>1672</v>
      </c>
      <c r="B609">
        <f>VLOOKUP(A609,Amazon_Data_Set[],20,FALSE)</f>
        <v>41137.480000000003</v>
      </c>
      <c r="C609">
        <f>_xlfn.XLOOKUP(Vlookup!A609,Amazon_Data_Set[Order ID],Amazon_Data_Set[Profit])</f>
        <v>17304.66</v>
      </c>
      <c r="D609" t="str">
        <f>INDEX('Amazon Data Set'!F:F,MATCH(Vlookup!A609,'Amazon Data Set'!A:A,0))</f>
        <v>Mysuru</v>
      </c>
    </row>
    <row r="610" spans="1:4">
      <c r="A610" s="16" t="s">
        <v>1674</v>
      </c>
      <c r="B610">
        <f>VLOOKUP(A610,Amazon_Data_Set[],20,FALSE)</f>
        <v>5621.76</v>
      </c>
      <c r="C610">
        <f>_xlfn.XLOOKUP(Vlookup!A610,Amazon_Data_Set[Order ID],Amazon_Data_Set[Profit])</f>
        <v>1210.96</v>
      </c>
      <c r="D610" t="str">
        <f>INDEX('Amazon Data Set'!F:F,MATCH(Vlookup!A610,'Amazon Data Set'!A:A,0))</f>
        <v>Noida</v>
      </c>
    </row>
    <row r="611" spans="1:4">
      <c r="A611" s="17" t="s">
        <v>1677</v>
      </c>
      <c r="B611">
        <f>VLOOKUP(A611,Amazon_Data_Set[],20,FALSE)</f>
        <v>1067.81</v>
      </c>
      <c r="C611">
        <f>_xlfn.XLOOKUP(Vlookup!A611,Amazon_Data_Set[Order ID],Amazon_Data_Set[Profit])</f>
        <v>154.26</v>
      </c>
      <c r="D611" t="str">
        <f>INDEX('Amazon Data Set'!F:F,MATCH(Vlookup!A611,'Amazon Data Set'!A:A,0))</f>
        <v>Noida</v>
      </c>
    </row>
    <row r="612" spans="1:4">
      <c r="A612" s="16" t="s">
        <v>1679</v>
      </c>
      <c r="B612">
        <f>VLOOKUP(A612,Amazon_Data_Set[],20,FALSE)</f>
        <v>1383.74</v>
      </c>
      <c r="C612">
        <f>_xlfn.XLOOKUP(Vlookup!A612,Amazon_Data_Set[Order ID],Amazon_Data_Set[Profit])</f>
        <v>303.68</v>
      </c>
      <c r="D612" t="str">
        <f>INDEX('Amazon Data Set'!F:F,MATCH(Vlookup!A612,'Amazon Data Set'!A:A,0))</f>
        <v>Pune</v>
      </c>
    </row>
    <row r="613" spans="1:4">
      <c r="A613" s="17" t="s">
        <v>1681</v>
      </c>
      <c r="B613">
        <f>VLOOKUP(A613,Amazon_Data_Set[],20,FALSE)</f>
        <v>980.52</v>
      </c>
      <c r="C613">
        <f>_xlfn.XLOOKUP(Vlookup!A613,Amazon_Data_Set[Order ID],Amazon_Data_Set[Profit])</f>
        <v>119.98</v>
      </c>
      <c r="D613" t="str">
        <f>INDEX('Amazon Data Set'!F:F,MATCH(Vlookup!A613,'Amazon Data Set'!A:A,0))</f>
        <v>Mumbai</v>
      </c>
    </row>
    <row r="614" spans="1:4">
      <c r="A614" s="16" t="s">
        <v>1683</v>
      </c>
      <c r="B614">
        <f>VLOOKUP(A614,Amazon_Data_Set[],20,FALSE)</f>
        <v>3201.28</v>
      </c>
      <c r="C614">
        <f>_xlfn.XLOOKUP(Vlookup!A614,Amazon_Data_Set[Order ID],Amazon_Data_Set[Profit])</f>
        <v>631.77</v>
      </c>
      <c r="D614" t="str">
        <f>INDEX('Amazon Data Set'!F:F,MATCH(Vlookup!A614,'Amazon Data Set'!A:A,0))</f>
        <v>Ahmedabad</v>
      </c>
    </row>
    <row r="615" spans="1:4">
      <c r="A615" s="17" t="s">
        <v>1685</v>
      </c>
      <c r="B615">
        <f>VLOOKUP(A615,Amazon_Data_Set[],20,FALSE)</f>
        <v>18393.3</v>
      </c>
      <c r="C615">
        <f>_xlfn.XLOOKUP(Vlookup!A615,Amazon_Data_Set[Order ID],Amazon_Data_Set[Profit])</f>
        <v>3677.55</v>
      </c>
      <c r="D615" t="str">
        <f>INDEX('Amazon Data Set'!F:F,MATCH(Vlookup!A615,'Amazon Data Set'!A:A,0))</f>
        <v>Mumbai</v>
      </c>
    </row>
    <row r="616" spans="1:4">
      <c r="A616" s="16" t="s">
        <v>1687</v>
      </c>
      <c r="B616">
        <f>VLOOKUP(A616,Amazon_Data_Set[],20,FALSE)</f>
        <v>1000.46</v>
      </c>
      <c r="C616">
        <f>_xlfn.XLOOKUP(Vlookup!A616,Amazon_Data_Set[Order ID],Amazon_Data_Set[Profit])</f>
        <v>186.15</v>
      </c>
      <c r="D616" t="str">
        <f>INDEX('Amazon Data Set'!F:F,MATCH(Vlookup!A616,'Amazon Data Set'!A:A,0))</f>
        <v>Mysuru</v>
      </c>
    </row>
    <row r="617" spans="1:4">
      <c r="A617" s="17" t="s">
        <v>1689</v>
      </c>
      <c r="B617">
        <f>VLOOKUP(A617,Amazon_Data_Set[],20,FALSE)</f>
        <v>256.98</v>
      </c>
      <c r="C617">
        <f>_xlfn.XLOOKUP(Vlookup!A617,Amazon_Data_Set[Order ID],Amazon_Data_Set[Profit])</f>
        <v>36.57</v>
      </c>
      <c r="D617" t="str">
        <f>INDEX('Amazon Data Set'!F:F,MATCH(Vlookup!A617,'Amazon Data Set'!A:A,0))</f>
        <v>Ahmedabad</v>
      </c>
    </row>
    <row r="618" spans="1:4">
      <c r="A618" s="16" t="s">
        <v>1691</v>
      </c>
      <c r="B618">
        <f>VLOOKUP(A618,Amazon_Data_Set[],20,FALSE)</f>
        <v>2039.08</v>
      </c>
      <c r="C618">
        <f>_xlfn.XLOOKUP(Vlookup!A618,Amazon_Data_Set[Order ID],Amazon_Data_Set[Profit])</f>
        <v>670.54</v>
      </c>
      <c r="D618" t="str">
        <f>INDEX('Amazon Data Set'!F:F,MATCH(Vlookup!A618,'Amazon Data Set'!A:A,0))</f>
        <v>Ludhiana</v>
      </c>
    </row>
    <row r="619" spans="1:4">
      <c r="A619" s="17" t="s">
        <v>1693</v>
      </c>
      <c r="B619">
        <f>VLOOKUP(A619,Amazon_Data_Set[],20,FALSE)</f>
        <v>21029.55</v>
      </c>
      <c r="C619">
        <f>_xlfn.XLOOKUP(Vlookup!A619,Amazon_Data_Set[Order ID],Amazon_Data_Set[Profit])</f>
        <v>5413.27</v>
      </c>
      <c r="D619" t="str">
        <f>INDEX('Amazon Data Set'!F:F,MATCH(Vlookup!A619,'Amazon Data Set'!A:A,0))</f>
        <v>Jaipur</v>
      </c>
    </row>
    <row r="620" spans="1:4">
      <c r="A620" s="16" t="s">
        <v>1695</v>
      </c>
      <c r="B620">
        <f>VLOOKUP(A620,Amazon_Data_Set[],20,FALSE)</f>
        <v>25030.02</v>
      </c>
      <c r="C620">
        <f>_xlfn.XLOOKUP(Vlookup!A620,Amazon_Data_Set[Order ID],Amazon_Data_Set[Profit])</f>
        <v>5850.91</v>
      </c>
      <c r="D620" t="str">
        <f>INDEX('Amazon Data Set'!F:F,MATCH(Vlookup!A620,'Amazon Data Set'!A:A,0))</f>
        <v>Ludhiana</v>
      </c>
    </row>
    <row r="621" spans="1:4">
      <c r="A621" s="17" t="s">
        <v>1697</v>
      </c>
      <c r="B621">
        <f>VLOOKUP(A621,Amazon_Data_Set[],20,FALSE)</f>
        <v>1366.06</v>
      </c>
      <c r="C621">
        <f>_xlfn.XLOOKUP(Vlookup!A621,Amazon_Data_Set[Order ID],Amazon_Data_Set[Profit])</f>
        <v>309.58999999999997</v>
      </c>
      <c r="D621" t="str">
        <f>INDEX('Amazon Data Set'!F:F,MATCH(Vlookup!A621,'Amazon Data Set'!A:A,0))</f>
        <v>Jaipur</v>
      </c>
    </row>
    <row r="622" spans="1:4">
      <c r="A622" s="16" t="s">
        <v>1699</v>
      </c>
      <c r="B622">
        <f>VLOOKUP(A622,Amazon_Data_Set[],20,FALSE)</f>
        <v>302.98</v>
      </c>
      <c r="C622">
        <f>_xlfn.XLOOKUP(Vlookup!A622,Amazon_Data_Set[Order ID],Amazon_Data_Set[Profit])</f>
        <v>-14.67</v>
      </c>
      <c r="D622" t="str">
        <f>INDEX('Amazon Data Set'!F:F,MATCH(Vlookup!A622,'Amazon Data Set'!A:A,0))</f>
        <v>Kochi</v>
      </c>
    </row>
    <row r="623" spans="1:4">
      <c r="A623" s="17" t="s">
        <v>1701</v>
      </c>
      <c r="B623">
        <f>VLOOKUP(A623,Amazon_Data_Set[],20,FALSE)</f>
        <v>19925.98</v>
      </c>
      <c r="C623">
        <f>_xlfn.XLOOKUP(Vlookup!A623,Amazon_Data_Set[Order ID],Amazon_Data_Set[Profit])</f>
        <v>7058.54</v>
      </c>
      <c r="D623" t="str">
        <f>INDEX('Amazon Data Set'!F:F,MATCH(Vlookup!A623,'Amazon Data Set'!A:A,0))</f>
        <v>Hyderabad</v>
      </c>
    </row>
    <row r="624" spans="1:4">
      <c r="A624" s="16" t="s">
        <v>1703</v>
      </c>
      <c r="B624">
        <f>VLOOKUP(A624,Amazon_Data_Set[],20,FALSE)</f>
        <v>2118.8000000000002</v>
      </c>
      <c r="C624">
        <f>_xlfn.XLOOKUP(Vlookup!A624,Amazon_Data_Set[Order ID],Amazon_Data_Set[Profit])</f>
        <v>486.1</v>
      </c>
      <c r="D624" t="str">
        <f>INDEX('Amazon Data Set'!F:F,MATCH(Vlookup!A624,'Amazon Data Set'!A:A,0))</f>
        <v>Gurugram</v>
      </c>
    </row>
    <row r="625" spans="1:4">
      <c r="A625" s="17" t="s">
        <v>1705</v>
      </c>
      <c r="B625">
        <f>VLOOKUP(A625,Amazon_Data_Set[],20,FALSE)</f>
        <v>7374.92</v>
      </c>
      <c r="C625">
        <f>_xlfn.XLOOKUP(Vlookup!A625,Amazon_Data_Set[Order ID],Amazon_Data_Set[Profit])</f>
        <v>3397.55</v>
      </c>
      <c r="D625" t="str">
        <f>INDEX('Amazon Data Set'!F:F,MATCH(Vlookup!A625,'Amazon Data Set'!A:A,0))</f>
        <v>Mumbai</v>
      </c>
    </row>
    <row r="626" spans="1:4">
      <c r="A626" s="16" t="s">
        <v>1707</v>
      </c>
      <c r="B626">
        <f>VLOOKUP(A626,Amazon_Data_Set[],20,FALSE)</f>
        <v>302547.55</v>
      </c>
      <c r="C626">
        <f>_xlfn.XLOOKUP(Vlookup!A626,Amazon_Data_Set[Order ID],Amazon_Data_Set[Profit])</f>
        <v>77569.27</v>
      </c>
      <c r="D626" t="str">
        <f>INDEX('Amazon Data Set'!F:F,MATCH(Vlookup!A626,'Amazon Data Set'!A:A,0))</f>
        <v>Bhubaneswar</v>
      </c>
    </row>
    <row r="627" spans="1:4">
      <c r="A627" s="17" t="s">
        <v>1709</v>
      </c>
      <c r="B627">
        <f>VLOOKUP(A627,Amazon_Data_Set[],20,FALSE)</f>
        <v>1022.7</v>
      </c>
      <c r="C627">
        <f>_xlfn.XLOOKUP(Vlookup!A627,Amazon_Data_Set[Order ID],Amazon_Data_Set[Profit])</f>
        <v>62.46</v>
      </c>
      <c r="D627" t="str">
        <f>INDEX('Amazon Data Set'!F:F,MATCH(Vlookup!A627,'Amazon Data Set'!A:A,0))</f>
        <v>Ahmedabad</v>
      </c>
    </row>
    <row r="628" spans="1:4">
      <c r="A628" s="16" t="s">
        <v>1712</v>
      </c>
      <c r="B628">
        <f>VLOOKUP(A628,Amazon_Data_Set[],20,FALSE)</f>
        <v>444.36</v>
      </c>
      <c r="C628">
        <f>_xlfn.XLOOKUP(Vlookup!A628,Amazon_Data_Set[Order ID],Amazon_Data_Set[Profit])</f>
        <v>57.16</v>
      </c>
      <c r="D628" t="str">
        <f>INDEX('Amazon Data Set'!F:F,MATCH(Vlookup!A628,'Amazon Data Set'!A:A,0))</f>
        <v>Jaipur</v>
      </c>
    </row>
    <row r="629" spans="1:4">
      <c r="A629" s="17" t="s">
        <v>1714</v>
      </c>
      <c r="B629">
        <f>VLOOKUP(A629,Amazon_Data_Set[],20,FALSE)</f>
        <v>12941.79</v>
      </c>
      <c r="C629">
        <f>_xlfn.XLOOKUP(Vlookup!A629,Amazon_Data_Set[Order ID],Amazon_Data_Set[Profit])</f>
        <v>3276.37</v>
      </c>
      <c r="D629" t="str">
        <f>INDEX('Amazon Data Set'!F:F,MATCH(Vlookup!A629,'Amazon Data Set'!A:A,0))</f>
        <v>Bengaluru</v>
      </c>
    </row>
    <row r="630" spans="1:4">
      <c r="A630" s="16" t="s">
        <v>1716</v>
      </c>
      <c r="B630">
        <f>VLOOKUP(A630,Amazon_Data_Set[],20,FALSE)</f>
        <v>2091.25</v>
      </c>
      <c r="C630">
        <f>_xlfn.XLOOKUP(Vlookup!A630,Amazon_Data_Set[Order ID],Amazon_Data_Set[Profit])</f>
        <v>292.31</v>
      </c>
      <c r="D630" t="str">
        <f>INDEX('Amazon Data Set'!F:F,MATCH(Vlookup!A630,'Amazon Data Set'!A:A,0))</f>
        <v>Kochi</v>
      </c>
    </row>
    <row r="631" spans="1:4">
      <c r="A631" s="17" t="s">
        <v>1718</v>
      </c>
      <c r="B631">
        <f>VLOOKUP(A631,Amazon_Data_Set[],20,FALSE)</f>
        <v>3591.36</v>
      </c>
      <c r="C631">
        <f>_xlfn.XLOOKUP(Vlookup!A631,Amazon_Data_Set[Order ID],Amazon_Data_Set[Profit])</f>
        <v>1542.06</v>
      </c>
      <c r="D631" t="str">
        <f>INDEX('Amazon Data Set'!F:F,MATCH(Vlookup!A631,'Amazon Data Set'!A:A,0))</f>
        <v>Ahmedabad</v>
      </c>
    </row>
    <row r="632" spans="1:4">
      <c r="A632" s="16" t="s">
        <v>1721</v>
      </c>
      <c r="B632">
        <f>VLOOKUP(A632,Amazon_Data_Set[],20,FALSE)</f>
        <v>1536.02</v>
      </c>
      <c r="C632">
        <f>_xlfn.XLOOKUP(Vlookup!A632,Amazon_Data_Set[Order ID],Amazon_Data_Set[Profit])</f>
        <v>462.7</v>
      </c>
      <c r="D632" t="str">
        <f>INDEX('Amazon Data Set'!F:F,MATCH(Vlookup!A632,'Amazon Data Set'!A:A,0))</f>
        <v>Mumbai</v>
      </c>
    </row>
    <row r="633" spans="1:4">
      <c r="A633" s="17" t="s">
        <v>1723</v>
      </c>
      <c r="B633">
        <f>VLOOKUP(A633,Amazon_Data_Set[],20,FALSE)</f>
        <v>495.31</v>
      </c>
      <c r="C633">
        <f>_xlfn.XLOOKUP(Vlookup!A633,Amazon_Data_Set[Order ID],Amazon_Data_Set[Profit])</f>
        <v>32.89</v>
      </c>
      <c r="D633" t="str">
        <f>INDEX('Amazon Data Set'!F:F,MATCH(Vlookup!A633,'Amazon Data Set'!A:A,0))</f>
        <v>Patna</v>
      </c>
    </row>
    <row r="634" spans="1:4">
      <c r="A634" s="16" t="s">
        <v>1725</v>
      </c>
      <c r="B634">
        <f>VLOOKUP(A634,Amazon_Data_Set[],20,FALSE)</f>
        <v>7151.77</v>
      </c>
      <c r="C634">
        <f>_xlfn.XLOOKUP(Vlookup!A634,Amazon_Data_Set[Order ID],Amazon_Data_Set[Profit])</f>
        <v>2068.52</v>
      </c>
      <c r="D634" t="str">
        <f>INDEX('Amazon Data Set'!F:F,MATCH(Vlookup!A634,'Amazon Data Set'!A:A,0))</f>
        <v>Noida</v>
      </c>
    </row>
    <row r="635" spans="1:4">
      <c r="A635" s="17" t="s">
        <v>1727</v>
      </c>
      <c r="B635">
        <f>VLOOKUP(A635,Amazon_Data_Set[],20,FALSE)</f>
        <v>3976.45</v>
      </c>
      <c r="C635">
        <f>_xlfn.XLOOKUP(Vlookup!A635,Amazon_Data_Set[Order ID],Amazon_Data_Set[Profit])</f>
        <v>1393.71</v>
      </c>
      <c r="D635" t="str">
        <f>INDEX('Amazon Data Set'!F:F,MATCH(Vlookup!A635,'Amazon Data Set'!A:A,0))</f>
        <v>Jaipur</v>
      </c>
    </row>
    <row r="636" spans="1:4">
      <c r="A636" s="16" t="s">
        <v>1729</v>
      </c>
      <c r="B636">
        <f>VLOOKUP(A636,Amazon_Data_Set[],20,FALSE)</f>
        <v>13825.86</v>
      </c>
      <c r="C636">
        <f>_xlfn.XLOOKUP(Vlookup!A636,Amazon_Data_Set[Order ID],Amazon_Data_Set[Profit])</f>
        <v>4291</v>
      </c>
      <c r="D636" t="str">
        <f>INDEX('Amazon Data Set'!F:F,MATCH(Vlookup!A636,'Amazon Data Set'!A:A,0))</f>
        <v>Ahmedabad</v>
      </c>
    </row>
    <row r="637" spans="1:4">
      <c r="A637" s="17" t="s">
        <v>1731</v>
      </c>
      <c r="B637">
        <f>VLOOKUP(A637,Amazon_Data_Set[],20,FALSE)</f>
        <v>25443.27</v>
      </c>
      <c r="C637">
        <f>_xlfn.XLOOKUP(Vlookup!A637,Amazon_Data_Set[Order ID],Amazon_Data_Set[Profit])</f>
        <v>5630.67</v>
      </c>
      <c r="D637" t="str">
        <f>INDEX('Amazon Data Set'!F:F,MATCH(Vlookup!A637,'Amazon Data Set'!A:A,0))</f>
        <v>Bhubaneswar</v>
      </c>
    </row>
    <row r="638" spans="1:4">
      <c r="A638" s="16" t="s">
        <v>1733</v>
      </c>
      <c r="B638">
        <f>VLOOKUP(A638,Amazon_Data_Set[],20,FALSE)</f>
        <v>5042.46</v>
      </c>
      <c r="C638">
        <f>_xlfn.XLOOKUP(Vlookup!A638,Amazon_Data_Set[Order ID],Amazon_Data_Set[Profit])</f>
        <v>1542.92</v>
      </c>
      <c r="D638" t="str">
        <f>INDEX('Amazon Data Set'!F:F,MATCH(Vlookup!A638,'Amazon Data Set'!A:A,0))</f>
        <v>New Delhi</v>
      </c>
    </row>
    <row r="639" spans="1:4">
      <c r="A639" s="17" t="s">
        <v>1735</v>
      </c>
      <c r="B639">
        <f>VLOOKUP(A639,Amazon_Data_Set[],20,FALSE)</f>
        <v>1298.68</v>
      </c>
      <c r="C639">
        <f>_xlfn.XLOOKUP(Vlookup!A639,Amazon_Data_Set[Order ID],Amazon_Data_Set[Profit])</f>
        <v>457.23</v>
      </c>
      <c r="D639" t="str">
        <f>INDEX('Amazon Data Set'!F:F,MATCH(Vlookup!A639,'Amazon Data Set'!A:A,0))</f>
        <v>Chennai</v>
      </c>
    </row>
    <row r="640" spans="1:4">
      <c r="A640" s="16" t="s">
        <v>1737</v>
      </c>
      <c r="B640">
        <f>VLOOKUP(A640,Amazon_Data_Set[],20,FALSE)</f>
        <v>350.66</v>
      </c>
      <c r="C640">
        <f>_xlfn.XLOOKUP(Vlookup!A640,Amazon_Data_Set[Order ID],Amazon_Data_Set[Profit])</f>
        <v>-47.06</v>
      </c>
      <c r="D640" t="str">
        <f>INDEX('Amazon Data Set'!F:F,MATCH(Vlookup!A640,'Amazon Data Set'!A:A,0))</f>
        <v>Pune</v>
      </c>
    </row>
    <row r="641" spans="1:4">
      <c r="A641" s="17" t="s">
        <v>1739</v>
      </c>
      <c r="B641">
        <f>VLOOKUP(A641,Amazon_Data_Set[],20,FALSE)</f>
        <v>408.07</v>
      </c>
      <c r="C641">
        <f>_xlfn.XLOOKUP(Vlookup!A641,Amazon_Data_Set[Order ID],Amazon_Data_Set[Profit])</f>
        <v>137.02000000000001</v>
      </c>
      <c r="D641" t="str">
        <f>INDEX('Amazon Data Set'!F:F,MATCH(Vlookup!A641,'Amazon Data Set'!A:A,0))</f>
        <v>Gurugram</v>
      </c>
    </row>
    <row r="642" spans="1:4">
      <c r="A642" s="16" t="s">
        <v>1741</v>
      </c>
      <c r="B642">
        <f>VLOOKUP(A642,Amazon_Data_Set[],20,FALSE)</f>
        <v>31985.5</v>
      </c>
      <c r="C642">
        <f>_xlfn.XLOOKUP(Vlookup!A642,Amazon_Data_Set[Order ID],Amazon_Data_Set[Profit])</f>
        <v>12990.2</v>
      </c>
      <c r="D642" t="str">
        <f>INDEX('Amazon Data Set'!F:F,MATCH(Vlookup!A642,'Amazon Data Set'!A:A,0))</f>
        <v>Hyderabad</v>
      </c>
    </row>
    <row r="643" spans="1:4">
      <c r="A643" s="17" t="s">
        <v>1743</v>
      </c>
      <c r="B643">
        <f>VLOOKUP(A643,Amazon_Data_Set[],20,FALSE)</f>
        <v>21657.919999999998</v>
      </c>
      <c r="C643">
        <f>_xlfn.XLOOKUP(Vlookup!A643,Amazon_Data_Set[Order ID],Amazon_Data_Set[Profit])</f>
        <v>5834.89</v>
      </c>
      <c r="D643" t="str">
        <f>INDEX('Amazon Data Set'!F:F,MATCH(Vlookup!A643,'Amazon Data Set'!A:A,0))</f>
        <v>Bengaluru</v>
      </c>
    </row>
    <row r="644" spans="1:4">
      <c r="A644" s="16" t="s">
        <v>1745</v>
      </c>
      <c r="B644">
        <f>VLOOKUP(A644,Amazon_Data_Set[],20,FALSE)</f>
        <v>160.83000000000001</v>
      </c>
      <c r="C644">
        <f>_xlfn.XLOOKUP(Vlookup!A644,Amazon_Data_Set[Order ID],Amazon_Data_Set[Profit])</f>
        <v>-87.59</v>
      </c>
      <c r="D644" t="str">
        <f>INDEX('Amazon Data Set'!F:F,MATCH(Vlookup!A644,'Amazon Data Set'!A:A,0))</f>
        <v>Patna</v>
      </c>
    </row>
    <row r="645" spans="1:4">
      <c r="A645" s="17" t="s">
        <v>1747</v>
      </c>
      <c r="B645">
        <f>VLOOKUP(A645,Amazon_Data_Set[],20,FALSE)</f>
        <v>1814.34</v>
      </c>
      <c r="C645">
        <f>_xlfn.XLOOKUP(Vlookup!A645,Amazon_Data_Set[Order ID],Amazon_Data_Set[Profit])</f>
        <v>323.58999999999997</v>
      </c>
      <c r="D645" t="str">
        <f>INDEX('Amazon Data Set'!F:F,MATCH(Vlookup!A645,'Amazon Data Set'!A:A,0))</f>
        <v>Mysuru</v>
      </c>
    </row>
    <row r="646" spans="1:4">
      <c r="A646" s="16" t="s">
        <v>1749</v>
      </c>
      <c r="B646">
        <f>VLOOKUP(A646,Amazon_Data_Set[],20,FALSE)</f>
        <v>4731.0200000000004</v>
      </c>
      <c r="C646">
        <f>_xlfn.XLOOKUP(Vlookup!A646,Amazon_Data_Set[Order ID],Amazon_Data_Set[Profit])</f>
        <v>1214.06</v>
      </c>
      <c r="D646" t="str">
        <f>INDEX('Amazon Data Set'!F:F,MATCH(Vlookup!A646,'Amazon Data Set'!A:A,0))</f>
        <v>Kochi</v>
      </c>
    </row>
    <row r="647" spans="1:4">
      <c r="A647" s="17" t="s">
        <v>1751</v>
      </c>
      <c r="B647">
        <f>VLOOKUP(A647,Amazon_Data_Set[],20,FALSE)</f>
        <v>10003.120000000001</v>
      </c>
      <c r="C647">
        <f>_xlfn.XLOOKUP(Vlookup!A647,Amazon_Data_Set[Order ID],Amazon_Data_Set[Profit])</f>
        <v>4265.24</v>
      </c>
      <c r="D647" t="str">
        <f>INDEX('Amazon Data Set'!F:F,MATCH(Vlookup!A647,'Amazon Data Set'!A:A,0))</f>
        <v>Pune</v>
      </c>
    </row>
    <row r="648" spans="1:4">
      <c r="A648" s="16" t="s">
        <v>1753</v>
      </c>
      <c r="B648">
        <f>VLOOKUP(A648,Amazon_Data_Set[],20,FALSE)</f>
        <v>213.69</v>
      </c>
      <c r="C648">
        <f>_xlfn.XLOOKUP(Vlookup!A648,Amazon_Data_Set[Order ID],Amazon_Data_Set[Profit])</f>
        <v>-153.68</v>
      </c>
      <c r="D648" t="str">
        <f>INDEX('Amazon Data Set'!F:F,MATCH(Vlookup!A648,'Amazon Data Set'!A:A,0))</f>
        <v>Ludhiana</v>
      </c>
    </row>
    <row r="649" spans="1:4">
      <c r="A649" s="17" t="s">
        <v>1756</v>
      </c>
      <c r="B649">
        <f>VLOOKUP(A649,Amazon_Data_Set[],20,FALSE)</f>
        <v>6251.43</v>
      </c>
      <c r="C649">
        <f>_xlfn.XLOOKUP(Vlookup!A649,Amazon_Data_Set[Order ID],Amazon_Data_Set[Profit])</f>
        <v>1045.3800000000001</v>
      </c>
      <c r="D649" t="str">
        <f>INDEX('Amazon Data Set'!F:F,MATCH(Vlookup!A649,'Amazon Data Set'!A:A,0))</f>
        <v>Ludhiana</v>
      </c>
    </row>
    <row r="650" spans="1:4">
      <c r="A650" s="16" t="s">
        <v>1758</v>
      </c>
      <c r="B650">
        <f>VLOOKUP(A650,Amazon_Data_Set[],20,FALSE)</f>
        <v>396.84</v>
      </c>
      <c r="C650">
        <f>_xlfn.XLOOKUP(Vlookup!A650,Amazon_Data_Set[Order ID],Amazon_Data_Set[Profit])</f>
        <v>88.32</v>
      </c>
      <c r="D650" t="str">
        <f>INDEX('Amazon Data Set'!F:F,MATCH(Vlookup!A650,'Amazon Data Set'!A:A,0))</f>
        <v>Bhubaneswar</v>
      </c>
    </row>
    <row r="651" spans="1:4">
      <c r="A651" s="17" t="s">
        <v>1760</v>
      </c>
      <c r="B651">
        <f>VLOOKUP(A651,Amazon_Data_Set[],20,FALSE)</f>
        <v>2682.04</v>
      </c>
      <c r="C651">
        <f>_xlfn.XLOOKUP(Vlookup!A651,Amazon_Data_Set[Order ID],Amazon_Data_Set[Profit])</f>
        <v>749.36</v>
      </c>
      <c r="D651" t="str">
        <f>INDEX('Amazon Data Set'!F:F,MATCH(Vlookup!A651,'Amazon Data Set'!A:A,0))</f>
        <v>Bhubaneswar</v>
      </c>
    </row>
    <row r="652" spans="1:4">
      <c r="A652" s="16" t="s">
        <v>1762</v>
      </c>
      <c r="B652">
        <f>VLOOKUP(A652,Amazon_Data_Set[],20,FALSE)</f>
        <v>2285.7600000000002</v>
      </c>
      <c r="C652">
        <f>_xlfn.XLOOKUP(Vlookup!A652,Amazon_Data_Set[Order ID],Amazon_Data_Set[Profit])</f>
        <v>726.12</v>
      </c>
      <c r="D652" t="str">
        <f>INDEX('Amazon Data Set'!F:F,MATCH(Vlookup!A652,'Amazon Data Set'!A:A,0))</f>
        <v>Kochi</v>
      </c>
    </row>
    <row r="653" spans="1:4">
      <c r="A653" s="17" t="s">
        <v>1764</v>
      </c>
      <c r="B653">
        <f>VLOOKUP(A653,Amazon_Data_Set[],20,FALSE)</f>
        <v>8012.85</v>
      </c>
      <c r="C653">
        <f>_xlfn.XLOOKUP(Vlookup!A653,Amazon_Data_Set[Order ID],Amazon_Data_Set[Profit])</f>
        <v>1469.72</v>
      </c>
      <c r="D653" t="str">
        <f>INDEX('Amazon Data Set'!F:F,MATCH(Vlookup!A653,'Amazon Data Set'!A:A,0))</f>
        <v>New Delhi</v>
      </c>
    </row>
    <row r="654" spans="1:4">
      <c r="A654" s="16" t="s">
        <v>1766</v>
      </c>
      <c r="B654">
        <f>VLOOKUP(A654,Amazon_Data_Set[],20,FALSE)</f>
        <v>1399.38</v>
      </c>
      <c r="C654">
        <f>_xlfn.XLOOKUP(Vlookup!A654,Amazon_Data_Set[Order ID],Amazon_Data_Set[Profit])</f>
        <v>350.36</v>
      </c>
      <c r="D654" t="str">
        <f>INDEX('Amazon Data Set'!F:F,MATCH(Vlookup!A654,'Amazon Data Set'!A:A,0))</f>
        <v>Ludhiana</v>
      </c>
    </row>
    <row r="655" spans="1:4">
      <c r="A655" s="17" t="s">
        <v>1768</v>
      </c>
      <c r="B655">
        <f>VLOOKUP(A655,Amazon_Data_Set[],20,FALSE)</f>
        <v>12805.32</v>
      </c>
      <c r="C655">
        <f>_xlfn.XLOOKUP(Vlookup!A655,Amazon_Data_Set[Order ID],Amazon_Data_Set[Profit])</f>
        <v>2540.8200000000002</v>
      </c>
      <c r="D655" t="str">
        <f>INDEX('Amazon Data Set'!F:F,MATCH(Vlookup!A655,'Amazon Data Set'!A:A,0))</f>
        <v>Bengaluru</v>
      </c>
    </row>
    <row r="656" spans="1:4">
      <c r="A656" s="16" t="s">
        <v>1770</v>
      </c>
      <c r="B656">
        <f>VLOOKUP(A656,Amazon_Data_Set[],20,FALSE)</f>
        <v>10430.36</v>
      </c>
      <c r="C656">
        <f>_xlfn.XLOOKUP(Vlookup!A656,Amazon_Data_Set[Order ID],Amazon_Data_Set[Profit])</f>
        <v>2866.9</v>
      </c>
      <c r="D656" t="str">
        <f>INDEX('Amazon Data Set'!F:F,MATCH(Vlookup!A656,'Amazon Data Set'!A:A,0))</f>
        <v>Jaipur</v>
      </c>
    </row>
    <row r="657" spans="1:4">
      <c r="A657" s="17" t="s">
        <v>1772</v>
      </c>
      <c r="B657">
        <f>VLOOKUP(A657,Amazon_Data_Set[],20,FALSE)</f>
        <v>1237.1500000000001</v>
      </c>
      <c r="C657">
        <f>_xlfn.XLOOKUP(Vlookup!A657,Amazon_Data_Set[Order ID],Amazon_Data_Set[Profit])</f>
        <v>201.33</v>
      </c>
      <c r="D657" t="str">
        <f>INDEX('Amazon Data Set'!F:F,MATCH(Vlookup!A657,'Amazon Data Set'!A:A,0))</f>
        <v>Kochi</v>
      </c>
    </row>
    <row r="658" spans="1:4">
      <c r="A658" s="16" t="s">
        <v>1774</v>
      </c>
      <c r="B658">
        <f>VLOOKUP(A658,Amazon_Data_Set[],20,FALSE)</f>
        <v>7744</v>
      </c>
      <c r="C658">
        <f>_xlfn.XLOOKUP(Vlookup!A658,Amazon_Data_Set[Order ID],Amazon_Data_Set[Profit])</f>
        <v>2629.86</v>
      </c>
      <c r="D658" t="str">
        <f>INDEX('Amazon Data Set'!F:F,MATCH(Vlookup!A658,'Amazon Data Set'!A:A,0))</f>
        <v>Ludhiana</v>
      </c>
    </row>
    <row r="659" spans="1:4">
      <c r="A659" s="17" t="s">
        <v>1777</v>
      </c>
      <c r="B659">
        <f>VLOOKUP(A659,Amazon_Data_Set[],20,FALSE)</f>
        <v>489.16</v>
      </c>
      <c r="C659">
        <f>_xlfn.XLOOKUP(Vlookup!A659,Amazon_Data_Set[Order ID],Amazon_Data_Set[Profit])</f>
        <v>-59.12</v>
      </c>
      <c r="D659" t="str">
        <f>INDEX('Amazon Data Set'!F:F,MATCH(Vlookup!A659,'Amazon Data Set'!A:A,0))</f>
        <v>Patna</v>
      </c>
    </row>
    <row r="660" spans="1:4">
      <c r="A660" s="16" t="s">
        <v>1779</v>
      </c>
      <c r="B660">
        <f>VLOOKUP(A660,Amazon_Data_Set[],20,FALSE)</f>
        <v>9443.07</v>
      </c>
      <c r="C660">
        <f>_xlfn.XLOOKUP(Vlookup!A660,Amazon_Data_Set[Order ID],Amazon_Data_Set[Profit])</f>
        <v>3648.18</v>
      </c>
      <c r="D660" t="str">
        <f>INDEX('Amazon Data Set'!F:F,MATCH(Vlookup!A660,'Amazon Data Set'!A:A,0))</f>
        <v>Ludhiana</v>
      </c>
    </row>
    <row r="661" spans="1:4">
      <c r="A661" s="17" t="s">
        <v>1781</v>
      </c>
      <c r="B661">
        <f>VLOOKUP(A661,Amazon_Data_Set[],20,FALSE)</f>
        <v>2715.27</v>
      </c>
      <c r="C661">
        <f>_xlfn.XLOOKUP(Vlookup!A661,Amazon_Data_Set[Order ID],Amazon_Data_Set[Profit])</f>
        <v>729.12</v>
      </c>
      <c r="D661" t="str">
        <f>INDEX('Amazon Data Set'!F:F,MATCH(Vlookup!A661,'Amazon Data Set'!A:A,0))</f>
        <v>Guwahati</v>
      </c>
    </row>
    <row r="662" spans="1:4">
      <c r="A662" s="16" t="s">
        <v>1783</v>
      </c>
      <c r="B662">
        <f>VLOOKUP(A662,Amazon_Data_Set[],20,FALSE)</f>
        <v>870.57</v>
      </c>
      <c r="C662">
        <f>_xlfn.XLOOKUP(Vlookup!A662,Amazon_Data_Set[Order ID],Amazon_Data_Set[Profit])</f>
        <v>193.13</v>
      </c>
      <c r="D662" t="str">
        <f>INDEX('Amazon Data Set'!F:F,MATCH(Vlookup!A662,'Amazon Data Set'!A:A,0))</f>
        <v>Jaipur</v>
      </c>
    </row>
    <row r="663" spans="1:4">
      <c r="A663" s="17" t="s">
        <v>1785</v>
      </c>
      <c r="B663">
        <f>VLOOKUP(A663,Amazon_Data_Set[],20,FALSE)</f>
        <v>8516.2000000000007</v>
      </c>
      <c r="C663">
        <f>_xlfn.XLOOKUP(Vlookup!A663,Amazon_Data_Set[Order ID],Amazon_Data_Set[Profit])</f>
        <v>3102.88</v>
      </c>
      <c r="D663" t="str">
        <f>INDEX('Amazon Data Set'!F:F,MATCH(Vlookup!A663,'Amazon Data Set'!A:A,0))</f>
        <v>Chennai</v>
      </c>
    </row>
    <row r="664" spans="1:4">
      <c r="A664" s="16" t="s">
        <v>1787</v>
      </c>
      <c r="B664">
        <f>VLOOKUP(A664,Amazon_Data_Set[],20,FALSE)</f>
        <v>155781.15</v>
      </c>
      <c r="C664">
        <f>_xlfn.XLOOKUP(Vlookup!A664,Amazon_Data_Set[Order ID],Amazon_Data_Set[Profit])</f>
        <v>56632.54</v>
      </c>
      <c r="D664" t="str">
        <f>INDEX('Amazon Data Set'!F:F,MATCH(Vlookup!A664,'Amazon Data Set'!A:A,0))</f>
        <v>Hyderabad</v>
      </c>
    </row>
    <row r="665" spans="1:4">
      <c r="A665" s="17" t="s">
        <v>1789</v>
      </c>
      <c r="B665">
        <f>VLOOKUP(A665,Amazon_Data_Set[],20,FALSE)</f>
        <v>1830.05</v>
      </c>
      <c r="C665">
        <f>_xlfn.XLOOKUP(Vlookup!A665,Amazon_Data_Set[Order ID],Amazon_Data_Set[Profit])</f>
        <v>235.48</v>
      </c>
      <c r="D665" t="str">
        <f>INDEX('Amazon Data Set'!F:F,MATCH(Vlookup!A665,'Amazon Data Set'!A:A,0))</f>
        <v>Patna</v>
      </c>
    </row>
    <row r="666" spans="1:4">
      <c r="A666" s="16" t="s">
        <v>1791</v>
      </c>
      <c r="B666">
        <f>VLOOKUP(A666,Amazon_Data_Set[],20,FALSE)</f>
        <v>66944.740000000005</v>
      </c>
      <c r="C666">
        <f>_xlfn.XLOOKUP(Vlookup!A666,Amazon_Data_Set[Order ID],Amazon_Data_Set[Profit])</f>
        <v>16498.09</v>
      </c>
      <c r="D666" t="str">
        <f>INDEX('Amazon Data Set'!F:F,MATCH(Vlookup!A666,'Amazon Data Set'!A:A,0))</f>
        <v>Bhubaneswar</v>
      </c>
    </row>
    <row r="667" spans="1:4">
      <c r="A667" s="17" t="s">
        <v>1793</v>
      </c>
      <c r="B667">
        <f>VLOOKUP(A667,Amazon_Data_Set[],20,FALSE)</f>
        <v>6041.55</v>
      </c>
      <c r="C667">
        <f>_xlfn.XLOOKUP(Vlookup!A667,Amazon_Data_Set[Order ID],Amazon_Data_Set[Profit])</f>
        <v>1839.05</v>
      </c>
      <c r="D667" t="str">
        <f>INDEX('Amazon Data Set'!F:F,MATCH(Vlookup!A667,'Amazon Data Set'!A:A,0))</f>
        <v>Kolkata</v>
      </c>
    </row>
    <row r="668" spans="1:4">
      <c r="A668" s="16" t="s">
        <v>1795</v>
      </c>
      <c r="B668">
        <f>VLOOKUP(A668,Amazon_Data_Set[],20,FALSE)</f>
        <v>1759.12</v>
      </c>
      <c r="C668">
        <f>_xlfn.XLOOKUP(Vlookup!A668,Amazon_Data_Set[Order ID],Amazon_Data_Set[Profit])</f>
        <v>487.3</v>
      </c>
      <c r="D668" t="str">
        <f>INDEX('Amazon Data Set'!F:F,MATCH(Vlookup!A668,'Amazon Data Set'!A:A,0))</f>
        <v>Kochi</v>
      </c>
    </row>
    <row r="669" spans="1:4">
      <c r="A669" s="17" t="s">
        <v>1797</v>
      </c>
      <c r="B669">
        <f>VLOOKUP(A669,Amazon_Data_Set[],20,FALSE)</f>
        <v>3294.7</v>
      </c>
      <c r="C669">
        <f>_xlfn.XLOOKUP(Vlookup!A669,Amazon_Data_Set[Order ID],Amazon_Data_Set[Profit])</f>
        <v>921.79</v>
      </c>
      <c r="D669" t="str">
        <f>INDEX('Amazon Data Set'!F:F,MATCH(Vlookup!A669,'Amazon Data Set'!A:A,0))</f>
        <v>Hyderabad</v>
      </c>
    </row>
    <row r="670" spans="1:4">
      <c r="A670" s="16" t="s">
        <v>1799</v>
      </c>
      <c r="B670">
        <f>VLOOKUP(A670,Amazon_Data_Set[],20,FALSE)</f>
        <v>5809.32</v>
      </c>
      <c r="C670">
        <f>_xlfn.XLOOKUP(Vlookup!A670,Amazon_Data_Set[Order ID],Amazon_Data_Set[Profit])</f>
        <v>1907.69</v>
      </c>
      <c r="D670" t="str">
        <f>INDEX('Amazon Data Set'!F:F,MATCH(Vlookup!A670,'Amazon Data Set'!A:A,0))</f>
        <v>Gurugram</v>
      </c>
    </row>
    <row r="671" spans="1:4">
      <c r="A671" s="17" t="s">
        <v>1801</v>
      </c>
      <c r="B671">
        <f>VLOOKUP(A671,Amazon_Data_Set[],20,FALSE)</f>
        <v>1097.1600000000001</v>
      </c>
      <c r="C671">
        <f>_xlfn.XLOOKUP(Vlookup!A671,Amazon_Data_Set[Order ID],Amazon_Data_Set[Profit])</f>
        <v>130.66</v>
      </c>
      <c r="D671" t="str">
        <f>INDEX('Amazon Data Set'!F:F,MATCH(Vlookup!A671,'Amazon Data Set'!A:A,0))</f>
        <v>Hyderabad</v>
      </c>
    </row>
    <row r="672" spans="1:4">
      <c r="A672" s="16" t="s">
        <v>1803</v>
      </c>
      <c r="B672">
        <f>VLOOKUP(A672,Amazon_Data_Set[],20,FALSE)</f>
        <v>1467.32</v>
      </c>
      <c r="C672">
        <f>_xlfn.XLOOKUP(Vlookup!A672,Amazon_Data_Set[Order ID],Amazon_Data_Set[Profit])</f>
        <v>525.07000000000005</v>
      </c>
      <c r="D672" t="str">
        <f>INDEX('Amazon Data Set'!F:F,MATCH(Vlookup!A672,'Amazon Data Set'!A:A,0))</f>
        <v>Noida</v>
      </c>
    </row>
    <row r="673" spans="1:4">
      <c r="A673" s="17" t="s">
        <v>1806</v>
      </c>
      <c r="B673">
        <f>VLOOKUP(A673,Amazon_Data_Set[],20,FALSE)</f>
        <v>14276.4</v>
      </c>
      <c r="C673">
        <f>_xlfn.XLOOKUP(Vlookup!A673,Amazon_Data_Set[Order ID],Amazon_Data_Set[Profit])</f>
        <v>4486.12</v>
      </c>
      <c r="D673" t="str">
        <f>INDEX('Amazon Data Set'!F:F,MATCH(Vlookup!A673,'Amazon Data Set'!A:A,0))</f>
        <v>Mumbai</v>
      </c>
    </row>
    <row r="674" spans="1:4">
      <c r="A674" s="16" t="s">
        <v>1808</v>
      </c>
      <c r="B674">
        <f>VLOOKUP(A674,Amazon_Data_Set[],20,FALSE)</f>
        <v>3797.04</v>
      </c>
      <c r="C674">
        <f>_xlfn.XLOOKUP(Vlookup!A674,Amazon_Data_Set[Order ID],Amazon_Data_Set[Profit])</f>
        <v>768.71</v>
      </c>
      <c r="D674" t="str">
        <f>INDEX('Amazon Data Set'!F:F,MATCH(Vlookup!A674,'Amazon Data Set'!A:A,0))</f>
        <v>Ludhiana</v>
      </c>
    </row>
    <row r="675" spans="1:4">
      <c r="A675" s="17" t="s">
        <v>1810</v>
      </c>
      <c r="B675">
        <f>VLOOKUP(A675,Amazon_Data_Set[],20,FALSE)</f>
        <v>4930.5</v>
      </c>
      <c r="C675">
        <f>_xlfn.XLOOKUP(Vlookup!A675,Amazon_Data_Set[Order ID],Amazon_Data_Set[Profit])</f>
        <v>1122.9100000000001</v>
      </c>
      <c r="D675" t="str">
        <f>INDEX('Amazon Data Set'!F:F,MATCH(Vlookup!A675,'Amazon Data Set'!A:A,0))</f>
        <v>New Delhi</v>
      </c>
    </row>
    <row r="676" spans="1:4">
      <c r="A676" s="16" t="s">
        <v>1813</v>
      </c>
      <c r="B676">
        <f>VLOOKUP(A676,Amazon_Data_Set[],20,FALSE)</f>
        <v>11321.3</v>
      </c>
      <c r="C676">
        <f>_xlfn.XLOOKUP(Vlookup!A676,Amazon_Data_Set[Order ID],Amazon_Data_Set[Profit])</f>
        <v>2828.23</v>
      </c>
      <c r="D676" t="str">
        <f>INDEX('Amazon Data Set'!F:F,MATCH(Vlookup!A676,'Amazon Data Set'!A:A,0))</f>
        <v>Ahmedabad</v>
      </c>
    </row>
    <row r="677" spans="1:4">
      <c r="A677" s="17" t="s">
        <v>1815</v>
      </c>
      <c r="B677">
        <f>VLOOKUP(A677,Amazon_Data_Set[],20,FALSE)</f>
        <v>12561.64</v>
      </c>
      <c r="C677">
        <f>_xlfn.XLOOKUP(Vlookup!A677,Amazon_Data_Set[Order ID],Amazon_Data_Set[Profit])</f>
        <v>3305.68</v>
      </c>
      <c r="D677" t="str">
        <f>INDEX('Amazon Data Set'!F:F,MATCH(Vlookup!A677,'Amazon Data Set'!A:A,0))</f>
        <v>Ahmedabad</v>
      </c>
    </row>
    <row r="678" spans="1:4">
      <c r="A678" s="16" t="s">
        <v>1817</v>
      </c>
      <c r="B678">
        <f>VLOOKUP(A678,Amazon_Data_Set[],20,FALSE)</f>
        <v>22739.4</v>
      </c>
      <c r="C678">
        <f>_xlfn.XLOOKUP(Vlookup!A678,Amazon_Data_Set[Order ID],Amazon_Data_Set[Profit])</f>
        <v>5968.59</v>
      </c>
      <c r="D678" t="str">
        <f>INDEX('Amazon Data Set'!F:F,MATCH(Vlookup!A678,'Amazon Data Set'!A:A,0))</f>
        <v>Kolkata</v>
      </c>
    </row>
    <row r="679" spans="1:4">
      <c r="A679" s="17" t="s">
        <v>1819</v>
      </c>
      <c r="B679">
        <f>VLOOKUP(A679,Amazon_Data_Set[],20,FALSE)</f>
        <v>120026.68</v>
      </c>
      <c r="C679">
        <f>_xlfn.XLOOKUP(Vlookup!A679,Amazon_Data_Set[Order ID],Amazon_Data_Set[Profit])</f>
        <v>49038.75</v>
      </c>
      <c r="D679" t="str">
        <f>INDEX('Amazon Data Set'!F:F,MATCH(Vlookup!A679,'Amazon Data Set'!A:A,0))</f>
        <v>Bhubaneswar</v>
      </c>
    </row>
    <row r="680" spans="1:4">
      <c r="A680" s="16" t="s">
        <v>1821</v>
      </c>
      <c r="B680">
        <f>VLOOKUP(A680,Amazon_Data_Set[],20,FALSE)</f>
        <v>41329.47</v>
      </c>
      <c r="C680">
        <f>_xlfn.XLOOKUP(Vlookup!A680,Amazon_Data_Set[Order ID],Amazon_Data_Set[Profit])</f>
        <v>9075.75</v>
      </c>
      <c r="D680" t="str">
        <f>INDEX('Amazon Data Set'!F:F,MATCH(Vlookup!A680,'Amazon Data Set'!A:A,0))</f>
        <v>Kolkata</v>
      </c>
    </row>
    <row r="681" spans="1:4">
      <c r="A681" s="17" t="s">
        <v>1823</v>
      </c>
      <c r="B681">
        <f>VLOOKUP(A681,Amazon_Data_Set[],20,FALSE)</f>
        <v>2990.44</v>
      </c>
      <c r="C681">
        <f>_xlfn.XLOOKUP(Vlookup!A681,Amazon_Data_Set[Order ID],Amazon_Data_Set[Profit])</f>
        <v>618.12</v>
      </c>
      <c r="D681" t="str">
        <f>INDEX('Amazon Data Set'!F:F,MATCH(Vlookup!A681,'Amazon Data Set'!A:A,0))</f>
        <v>Bhubaneswar</v>
      </c>
    </row>
    <row r="682" spans="1:4">
      <c r="A682" s="16" t="s">
        <v>1825</v>
      </c>
      <c r="B682">
        <f>VLOOKUP(A682,Amazon_Data_Set[],20,FALSE)</f>
        <v>1475.62</v>
      </c>
      <c r="C682">
        <f>_xlfn.XLOOKUP(Vlookup!A682,Amazon_Data_Set[Order ID],Amazon_Data_Set[Profit])</f>
        <v>253.41</v>
      </c>
      <c r="D682" t="str">
        <f>INDEX('Amazon Data Set'!F:F,MATCH(Vlookup!A682,'Amazon Data Set'!A:A,0))</f>
        <v>Mumbai</v>
      </c>
    </row>
    <row r="683" spans="1:4">
      <c r="A683" s="17" t="s">
        <v>1828</v>
      </c>
      <c r="B683">
        <f>VLOOKUP(A683,Amazon_Data_Set[],20,FALSE)</f>
        <v>68677.679999999993</v>
      </c>
      <c r="C683">
        <f>_xlfn.XLOOKUP(Vlookup!A683,Amazon_Data_Set[Order ID],Amazon_Data_Set[Profit])</f>
        <v>18051.86</v>
      </c>
      <c r="D683" t="str">
        <f>INDEX('Amazon Data Set'!F:F,MATCH(Vlookup!A683,'Amazon Data Set'!A:A,0))</f>
        <v>Mysuru</v>
      </c>
    </row>
    <row r="684" spans="1:4">
      <c r="A684" s="16" t="s">
        <v>1830</v>
      </c>
      <c r="B684">
        <f>VLOOKUP(A684,Amazon_Data_Set[],20,FALSE)</f>
        <v>8109.28</v>
      </c>
      <c r="C684">
        <f>_xlfn.XLOOKUP(Vlookup!A684,Amazon_Data_Set[Order ID],Amazon_Data_Set[Profit])</f>
        <v>2834.81</v>
      </c>
      <c r="D684" t="str">
        <f>INDEX('Amazon Data Set'!F:F,MATCH(Vlookup!A684,'Amazon Data Set'!A:A,0))</f>
        <v>Hyderabad</v>
      </c>
    </row>
    <row r="685" spans="1:4">
      <c r="A685" s="17" t="s">
        <v>1832</v>
      </c>
      <c r="B685">
        <f>VLOOKUP(A685,Amazon_Data_Set[],20,FALSE)</f>
        <v>12846.25</v>
      </c>
      <c r="C685">
        <f>_xlfn.XLOOKUP(Vlookup!A685,Amazon_Data_Set[Order ID],Amazon_Data_Set[Profit])</f>
        <v>2568.4299999999998</v>
      </c>
      <c r="D685" t="str">
        <f>INDEX('Amazon Data Set'!F:F,MATCH(Vlookup!A685,'Amazon Data Set'!A:A,0))</f>
        <v>Mumbai</v>
      </c>
    </row>
    <row r="686" spans="1:4">
      <c r="A686" s="16" t="s">
        <v>1834</v>
      </c>
      <c r="B686">
        <f>VLOOKUP(A686,Amazon_Data_Set[],20,FALSE)</f>
        <v>12251.19</v>
      </c>
      <c r="C686">
        <f>_xlfn.XLOOKUP(Vlookup!A686,Amazon_Data_Set[Order ID],Amazon_Data_Set[Profit])</f>
        <v>3150.56</v>
      </c>
      <c r="D686" t="str">
        <f>INDEX('Amazon Data Set'!F:F,MATCH(Vlookup!A686,'Amazon Data Set'!A:A,0))</f>
        <v>Ahmedabad</v>
      </c>
    </row>
    <row r="687" spans="1:4">
      <c r="A687" s="17" t="s">
        <v>1837</v>
      </c>
      <c r="B687">
        <f>VLOOKUP(A687,Amazon_Data_Set[],20,FALSE)</f>
        <v>35916.39</v>
      </c>
      <c r="C687">
        <f>_xlfn.XLOOKUP(Vlookup!A687,Amazon_Data_Set[Order ID],Amazon_Data_Set[Profit])</f>
        <v>14360.4</v>
      </c>
      <c r="D687" t="str">
        <f>INDEX('Amazon Data Set'!F:F,MATCH(Vlookup!A687,'Amazon Data Set'!A:A,0))</f>
        <v>Guwahati</v>
      </c>
    </row>
    <row r="688" spans="1:4">
      <c r="A688" s="16" t="s">
        <v>1839</v>
      </c>
      <c r="B688">
        <f>VLOOKUP(A688,Amazon_Data_Set[],20,FALSE)</f>
        <v>600.46</v>
      </c>
      <c r="C688">
        <f>_xlfn.XLOOKUP(Vlookup!A688,Amazon_Data_Set[Order ID],Amazon_Data_Set[Profit])</f>
        <v>-39.07</v>
      </c>
      <c r="D688" t="str">
        <f>INDEX('Amazon Data Set'!F:F,MATCH(Vlookup!A688,'Amazon Data Set'!A:A,0))</f>
        <v>Kochi</v>
      </c>
    </row>
    <row r="689" spans="1:4">
      <c r="A689" s="17" t="s">
        <v>1841</v>
      </c>
      <c r="B689">
        <f>VLOOKUP(A689,Amazon_Data_Set[],20,FALSE)</f>
        <v>50355.69</v>
      </c>
      <c r="C689">
        <f>_xlfn.XLOOKUP(Vlookup!A689,Amazon_Data_Set[Order ID],Amazon_Data_Set[Profit])</f>
        <v>22937.65</v>
      </c>
      <c r="D689" t="str">
        <f>INDEX('Amazon Data Set'!F:F,MATCH(Vlookup!A689,'Amazon Data Set'!A:A,0))</f>
        <v>Gurugram</v>
      </c>
    </row>
    <row r="690" spans="1:4">
      <c r="A690" s="16" t="s">
        <v>1843</v>
      </c>
      <c r="B690">
        <f>VLOOKUP(A690,Amazon_Data_Set[],20,FALSE)</f>
        <v>4749.8</v>
      </c>
      <c r="C690">
        <f>_xlfn.XLOOKUP(Vlookup!A690,Amazon_Data_Set[Order ID],Amazon_Data_Set[Profit])</f>
        <v>1563.1</v>
      </c>
      <c r="D690" t="str">
        <f>INDEX('Amazon Data Set'!F:F,MATCH(Vlookup!A690,'Amazon Data Set'!A:A,0))</f>
        <v>Mumbai</v>
      </c>
    </row>
    <row r="691" spans="1:4">
      <c r="A691" s="17" t="s">
        <v>1845</v>
      </c>
      <c r="B691">
        <f>VLOOKUP(A691,Amazon_Data_Set[],20,FALSE)</f>
        <v>97528.66</v>
      </c>
      <c r="C691">
        <f>_xlfn.XLOOKUP(Vlookup!A691,Amazon_Data_Set[Order ID],Amazon_Data_Set[Profit])</f>
        <v>19122.13</v>
      </c>
      <c r="D691" t="str">
        <f>INDEX('Amazon Data Set'!F:F,MATCH(Vlookup!A691,'Amazon Data Set'!A:A,0))</f>
        <v>New Delhi</v>
      </c>
    </row>
    <row r="692" spans="1:4">
      <c r="A692" s="16" t="s">
        <v>1847</v>
      </c>
      <c r="B692">
        <f>VLOOKUP(A692,Amazon_Data_Set[],20,FALSE)</f>
        <v>1923.24</v>
      </c>
      <c r="C692">
        <f>_xlfn.XLOOKUP(Vlookup!A692,Amazon_Data_Set[Order ID],Amazon_Data_Set[Profit])</f>
        <v>380.54</v>
      </c>
      <c r="D692" t="str">
        <f>INDEX('Amazon Data Set'!F:F,MATCH(Vlookup!A692,'Amazon Data Set'!A:A,0))</f>
        <v>Pune</v>
      </c>
    </row>
    <row r="693" spans="1:4">
      <c r="A693" s="17" t="s">
        <v>1849</v>
      </c>
      <c r="B693">
        <f>VLOOKUP(A693,Amazon_Data_Set[],20,FALSE)</f>
        <v>2858.56</v>
      </c>
      <c r="C693">
        <f>_xlfn.XLOOKUP(Vlookup!A693,Amazon_Data_Set[Order ID],Amazon_Data_Set[Profit])</f>
        <v>468.04</v>
      </c>
      <c r="D693" t="str">
        <f>INDEX('Amazon Data Set'!F:F,MATCH(Vlookup!A693,'Amazon Data Set'!A:A,0))</f>
        <v>Mysuru</v>
      </c>
    </row>
    <row r="694" spans="1:4">
      <c r="A694" s="16" t="s">
        <v>1851</v>
      </c>
      <c r="B694">
        <f>VLOOKUP(A694,Amazon_Data_Set[],20,FALSE)</f>
        <v>4768.63</v>
      </c>
      <c r="C694">
        <f>_xlfn.XLOOKUP(Vlookup!A694,Amazon_Data_Set[Order ID],Amazon_Data_Set[Profit])</f>
        <v>1049.49</v>
      </c>
      <c r="D694" t="str">
        <f>INDEX('Amazon Data Set'!F:F,MATCH(Vlookup!A694,'Amazon Data Set'!A:A,0))</f>
        <v>Patna</v>
      </c>
    </row>
    <row r="695" spans="1:4">
      <c r="A695" s="17" t="s">
        <v>1853</v>
      </c>
      <c r="B695">
        <f>VLOOKUP(A695,Amazon_Data_Set[],20,FALSE)</f>
        <v>186.34</v>
      </c>
      <c r="C695">
        <f>_xlfn.XLOOKUP(Vlookup!A695,Amazon_Data_Set[Order ID],Amazon_Data_Set[Profit])</f>
        <v>-23.03</v>
      </c>
      <c r="D695" t="str">
        <f>INDEX('Amazon Data Set'!F:F,MATCH(Vlookup!A695,'Amazon Data Set'!A:A,0))</f>
        <v>Bengaluru</v>
      </c>
    </row>
    <row r="696" spans="1:4">
      <c r="A696" s="16" t="s">
        <v>1855</v>
      </c>
      <c r="B696">
        <f>VLOOKUP(A696,Amazon_Data_Set[],20,FALSE)</f>
        <v>5081.58</v>
      </c>
      <c r="C696">
        <f>_xlfn.XLOOKUP(Vlookup!A696,Amazon_Data_Set[Order ID],Amazon_Data_Set[Profit])</f>
        <v>1749.03</v>
      </c>
      <c r="D696" t="str">
        <f>INDEX('Amazon Data Set'!F:F,MATCH(Vlookup!A696,'Amazon Data Set'!A:A,0))</f>
        <v>Bengaluru</v>
      </c>
    </row>
    <row r="697" spans="1:4">
      <c r="A697" s="17" t="s">
        <v>1857</v>
      </c>
      <c r="B697">
        <f>VLOOKUP(A697,Amazon_Data_Set[],20,FALSE)</f>
        <v>314755.8</v>
      </c>
      <c r="C697">
        <f>_xlfn.XLOOKUP(Vlookup!A697,Amazon_Data_Set[Order ID],Amazon_Data_Set[Profit])</f>
        <v>95257.2</v>
      </c>
      <c r="D697" t="str">
        <f>INDEX('Amazon Data Set'!F:F,MATCH(Vlookup!A697,'Amazon Data Set'!A:A,0))</f>
        <v>New Delhi</v>
      </c>
    </row>
    <row r="698" spans="1:4">
      <c r="A698" s="16" t="s">
        <v>1859</v>
      </c>
      <c r="B698">
        <f>VLOOKUP(A698,Amazon_Data_Set[],20,FALSE)</f>
        <v>14096.67</v>
      </c>
      <c r="C698">
        <f>_xlfn.XLOOKUP(Vlookup!A698,Amazon_Data_Set[Order ID],Amazon_Data_Set[Profit])</f>
        <v>4838.6099999999997</v>
      </c>
      <c r="D698" t="str">
        <f>INDEX('Amazon Data Set'!F:F,MATCH(Vlookup!A698,'Amazon Data Set'!A:A,0))</f>
        <v>Pune</v>
      </c>
    </row>
    <row r="699" spans="1:4">
      <c r="A699" s="17" t="s">
        <v>1861</v>
      </c>
      <c r="B699">
        <f>VLOOKUP(A699,Amazon_Data_Set[],20,FALSE)</f>
        <v>15279.2</v>
      </c>
      <c r="C699">
        <f>_xlfn.XLOOKUP(Vlookup!A699,Amazon_Data_Set[Order ID],Amazon_Data_Set[Profit])</f>
        <v>5478.49</v>
      </c>
      <c r="D699" t="str">
        <f>INDEX('Amazon Data Set'!F:F,MATCH(Vlookup!A699,'Amazon Data Set'!A:A,0))</f>
        <v>Bhubaneswar</v>
      </c>
    </row>
    <row r="700" spans="1:4">
      <c r="A700" s="16" t="s">
        <v>1863</v>
      </c>
      <c r="B700">
        <f>VLOOKUP(A700,Amazon_Data_Set[],20,FALSE)</f>
        <v>307.08</v>
      </c>
      <c r="C700">
        <f>_xlfn.XLOOKUP(Vlookup!A700,Amazon_Data_Set[Order ID],Amazon_Data_Set[Profit])</f>
        <v>12.87</v>
      </c>
      <c r="D700" t="str">
        <f>INDEX('Amazon Data Set'!F:F,MATCH(Vlookup!A700,'Amazon Data Set'!A:A,0))</f>
        <v>Patna</v>
      </c>
    </row>
    <row r="701" spans="1:4">
      <c r="A701" s="17" t="s">
        <v>1866</v>
      </c>
      <c r="B701">
        <f>VLOOKUP(A701,Amazon_Data_Set[],20,FALSE)</f>
        <v>4614.96</v>
      </c>
      <c r="C701">
        <f>_xlfn.XLOOKUP(Vlookup!A701,Amazon_Data_Set[Order ID],Amazon_Data_Set[Profit])</f>
        <v>1313.56</v>
      </c>
      <c r="D701" t="str">
        <f>INDEX('Amazon Data Set'!F:F,MATCH(Vlookup!A701,'Amazon Data Set'!A:A,0))</f>
        <v>Ludhiana</v>
      </c>
    </row>
    <row r="702" spans="1:4">
      <c r="A702" s="16" t="s">
        <v>1868</v>
      </c>
      <c r="B702">
        <f>VLOOKUP(A702,Amazon_Data_Set[],20,FALSE)</f>
        <v>354.44</v>
      </c>
      <c r="C702">
        <f>_xlfn.XLOOKUP(Vlookup!A702,Amazon_Data_Set[Order ID],Amazon_Data_Set[Profit])</f>
        <v>-88.31</v>
      </c>
      <c r="D702" t="str">
        <f>INDEX('Amazon Data Set'!F:F,MATCH(Vlookup!A702,'Amazon Data Set'!A:A,0))</f>
        <v>Kochi</v>
      </c>
    </row>
    <row r="703" spans="1:4">
      <c r="A703" s="17" t="s">
        <v>1871</v>
      </c>
      <c r="B703">
        <f>VLOOKUP(A703,Amazon_Data_Set[],20,FALSE)</f>
        <v>34111.050000000003</v>
      </c>
      <c r="C703">
        <f>_xlfn.XLOOKUP(Vlookup!A703,Amazon_Data_Set[Order ID],Amazon_Data_Set[Profit])</f>
        <v>9884.57</v>
      </c>
      <c r="D703" t="str">
        <f>INDEX('Amazon Data Set'!F:F,MATCH(Vlookup!A703,'Amazon Data Set'!A:A,0))</f>
        <v>Kochi</v>
      </c>
    </row>
    <row r="704" spans="1:4">
      <c r="A704" s="16" t="s">
        <v>1873</v>
      </c>
      <c r="B704">
        <f>VLOOKUP(A704,Amazon_Data_Set[],20,FALSE)</f>
        <v>5312.15</v>
      </c>
      <c r="C704">
        <f>_xlfn.XLOOKUP(Vlookup!A704,Amazon_Data_Set[Order ID],Amazon_Data_Set[Profit])</f>
        <v>1682.61</v>
      </c>
      <c r="D704" t="str">
        <f>INDEX('Amazon Data Set'!F:F,MATCH(Vlookup!A704,'Amazon Data Set'!A:A,0))</f>
        <v>Mumbai</v>
      </c>
    </row>
    <row r="705" spans="1:4">
      <c r="A705" s="17" t="s">
        <v>1875</v>
      </c>
      <c r="B705">
        <f>VLOOKUP(A705,Amazon_Data_Set[],20,FALSE)</f>
        <v>1329.65</v>
      </c>
      <c r="C705">
        <f>_xlfn.XLOOKUP(Vlookup!A705,Amazon_Data_Set[Order ID],Amazon_Data_Set[Profit])</f>
        <v>89.86</v>
      </c>
      <c r="D705" t="str">
        <f>INDEX('Amazon Data Set'!F:F,MATCH(Vlookup!A705,'Amazon Data Set'!A:A,0))</f>
        <v>Patna</v>
      </c>
    </row>
    <row r="706" spans="1:4">
      <c r="A706" s="16" t="s">
        <v>1877</v>
      </c>
      <c r="B706">
        <f>VLOOKUP(A706,Amazon_Data_Set[],20,FALSE)</f>
        <v>59237.4</v>
      </c>
      <c r="C706">
        <f>_xlfn.XLOOKUP(Vlookup!A706,Amazon_Data_Set[Order ID],Amazon_Data_Set[Profit])</f>
        <v>21052.35</v>
      </c>
      <c r="D706" t="str">
        <f>INDEX('Amazon Data Set'!F:F,MATCH(Vlookup!A706,'Amazon Data Set'!A:A,0))</f>
        <v>Chennai</v>
      </c>
    </row>
    <row r="707" spans="1:4">
      <c r="A707" s="17" t="s">
        <v>1879</v>
      </c>
      <c r="B707">
        <f>VLOOKUP(A707,Amazon_Data_Set[],20,FALSE)</f>
        <v>2058.62</v>
      </c>
      <c r="C707">
        <f>_xlfn.XLOOKUP(Vlookup!A707,Amazon_Data_Set[Order ID],Amazon_Data_Set[Profit])</f>
        <v>494.57</v>
      </c>
      <c r="D707" t="str">
        <f>INDEX('Amazon Data Set'!F:F,MATCH(Vlookup!A707,'Amazon Data Set'!A:A,0))</f>
        <v>Jaipur</v>
      </c>
    </row>
    <row r="708" spans="1:4">
      <c r="A708" s="16" t="s">
        <v>1881</v>
      </c>
      <c r="B708">
        <f>VLOOKUP(A708,Amazon_Data_Set[],20,FALSE)</f>
        <v>4097.8900000000003</v>
      </c>
      <c r="C708">
        <f>_xlfn.XLOOKUP(Vlookup!A708,Amazon_Data_Set[Order ID],Amazon_Data_Set[Profit])</f>
        <v>1386.14</v>
      </c>
      <c r="D708" t="str">
        <f>INDEX('Amazon Data Set'!F:F,MATCH(Vlookup!A708,'Amazon Data Set'!A:A,0))</f>
        <v>Bengaluru</v>
      </c>
    </row>
    <row r="709" spans="1:4">
      <c r="A709" s="17" t="s">
        <v>1883</v>
      </c>
      <c r="B709">
        <f>VLOOKUP(A709,Amazon_Data_Set[],20,FALSE)</f>
        <v>765.36</v>
      </c>
      <c r="C709">
        <f>_xlfn.XLOOKUP(Vlookup!A709,Amazon_Data_Set[Order ID],Amazon_Data_Set[Profit])</f>
        <v>343.98</v>
      </c>
      <c r="D709" t="str">
        <f>INDEX('Amazon Data Set'!F:F,MATCH(Vlookup!A709,'Amazon Data Set'!A:A,0))</f>
        <v>Noida</v>
      </c>
    </row>
    <row r="710" spans="1:4">
      <c r="A710" s="16" t="s">
        <v>1885</v>
      </c>
      <c r="B710">
        <f>VLOOKUP(A710,Amazon_Data_Set[],20,FALSE)</f>
        <v>1555.9</v>
      </c>
      <c r="C710">
        <f>_xlfn.XLOOKUP(Vlookup!A710,Amazon_Data_Set[Order ID],Amazon_Data_Set[Profit])</f>
        <v>360.11</v>
      </c>
      <c r="D710" t="str">
        <f>INDEX('Amazon Data Set'!F:F,MATCH(Vlookup!A710,'Amazon Data Set'!A:A,0))</f>
        <v>Ludhiana</v>
      </c>
    </row>
    <row r="711" spans="1:4">
      <c r="A711" s="17" t="s">
        <v>1888</v>
      </c>
      <c r="B711">
        <f>VLOOKUP(A711,Amazon_Data_Set[],20,FALSE)</f>
        <v>107738.1</v>
      </c>
      <c r="C711">
        <f>_xlfn.XLOOKUP(Vlookup!A711,Amazon_Data_Set[Order ID],Amazon_Data_Set[Profit])</f>
        <v>27876.75</v>
      </c>
      <c r="D711" t="str">
        <f>INDEX('Amazon Data Set'!F:F,MATCH(Vlookup!A711,'Amazon Data Set'!A:A,0))</f>
        <v>Kochi</v>
      </c>
    </row>
    <row r="712" spans="1:4">
      <c r="A712" s="16" t="s">
        <v>1890</v>
      </c>
      <c r="B712">
        <f>VLOOKUP(A712,Amazon_Data_Set[],20,FALSE)</f>
        <v>518.54</v>
      </c>
      <c r="C712">
        <f>_xlfn.XLOOKUP(Vlookup!A712,Amazon_Data_Set[Order ID],Amazon_Data_Set[Profit])</f>
        <v>7.81</v>
      </c>
      <c r="D712" t="str">
        <f>INDEX('Amazon Data Set'!F:F,MATCH(Vlookup!A712,'Amazon Data Set'!A:A,0))</f>
        <v>Mumbai</v>
      </c>
    </row>
    <row r="713" spans="1:4">
      <c r="A713" s="17" t="s">
        <v>1892</v>
      </c>
      <c r="B713">
        <f>VLOOKUP(A713,Amazon_Data_Set[],20,FALSE)</f>
        <v>22272.26</v>
      </c>
      <c r="C713">
        <f>_xlfn.XLOOKUP(Vlookup!A713,Amazon_Data_Set[Order ID],Amazon_Data_Set[Profit])</f>
        <v>5439.53</v>
      </c>
      <c r="D713" t="str">
        <f>INDEX('Amazon Data Set'!F:F,MATCH(Vlookup!A713,'Amazon Data Set'!A:A,0))</f>
        <v>Mumbai</v>
      </c>
    </row>
    <row r="714" spans="1:4">
      <c r="A714" s="16" t="s">
        <v>1894</v>
      </c>
      <c r="B714">
        <f>VLOOKUP(A714,Amazon_Data_Set[],20,FALSE)</f>
        <v>2115.02</v>
      </c>
      <c r="C714">
        <f>_xlfn.XLOOKUP(Vlookup!A714,Amazon_Data_Set[Order ID],Amazon_Data_Set[Profit])</f>
        <v>489.03</v>
      </c>
      <c r="D714" t="str">
        <f>INDEX('Amazon Data Set'!F:F,MATCH(Vlookup!A714,'Amazon Data Set'!A:A,0))</f>
        <v>New Delhi</v>
      </c>
    </row>
    <row r="715" spans="1:4">
      <c r="A715" s="17" t="s">
        <v>1896</v>
      </c>
      <c r="B715">
        <f>VLOOKUP(A715,Amazon_Data_Set[],20,FALSE)</f>
        <v>218201.5</v>
      </c>
      <c r="C715">
        <f>_xlfn.XLOOKUP(Vlookup!A715,Amazon_Data_Set[Order ID],Amazon_Data_Set[Profit])</f>
        <v>51881.51</v>
      </c>
      <c r="D715" t="str">
        <f>INDEX('Amazon Data Set'!F:F,MATCH(Vlookup!A715,'Amazon Data Set'!A:A,0))</f>
        <v>Ahmedabad</v>
      </c>
    </row>
    <row r="716" spans="1:4">
      <c r="A716" s="16" t="s">
        <v>1898</v>
      </c>
      <c r="B716">
        <f>VLOOKUP(A716,Amazon_Data_Set[],20,FALSE)</f>
        <v>91748.2</v>
      </c>
      <c r="C716">
        <f>_xlfn.XLOOKUP(Vlookup!A716,Amazon_Data_Set[Order ID],Amazon_Data_Set[Profit])</f>
        <v>25405.360000000001</v>
      </c>
      <c r="D716" t="str">
        <f>INDEX('Amazon Data Set'!F:F,MATCH(Vlookup!A716,'Amazon Data Set'!A:A,0))</f>
        <v>New Delhi</v>
      </c>
    </row>
    <row r="717" spans="1:4">
      <c r="A717" s="17" t="s">
        <v>1900</v>
      </c>
      <c r="B717">
        <f>VLOOKUP(A717,Amazon_Data_Set[],20,FALSE)</f>
        <v>12505.08</v>
      </c>
      <c r="C717">
        <f>_xlfn.XLOOKUP(Vlookup!A717,Amazon_Data_Set[Order ID],Amazon_Data_Set[Profit])</f>
        <v>4333.6099999999997</v>
      </c>
      <c r="D717" t="str">
        <f>INDEX('Amazon Data Set'!F:F,MATCH(Vlookup!A717,'Amazon Data Set'!A:A,0))</f>
        <v>Ludhiana</v>
      </c>
    </row>
    <row r="718" spans="1:4">
      <c r="A718" s="16" t="s">
        <v>1902</v>
      </c>
      <c r="B718">
        <f>VLOOKUP(A718,Amazon_Data_Set[],20,FALSE)</f>
        <v>4272.66</v>
      </c>
      <c r="C718">
        <f>_xlfn.XLOOKUP(Vlookup!A718,Amazon_Data_Set[Order ID],Amazon_Data_Set[Profit])</f>
        <v>1521.2</v>
      </c>
      <c r="D718" t="str">
        <f>INDEX('Amazon Data Set'!F:F,MATCH(Vlookup!A718,'Amazon Data Set'!A:A,0))</f>
        <v>Noida</v>
      </c>
    </row>
    <row r="719" spans="1:4">
      <c r="A719" s="17" t="s">
        <v>1904</v>
      </c>
      <c r="B719">
        <f>VLOOKUP(A719,Amazon_Data_Set[],20,FALSE)</f>
        <v>15065.45</v>
      </c>
      <c r="C719">
        <f>_xlfn.XLOOKUP(Vlookup!A719,Amazon_Data_Set[Order ID],Amazon_Data_Set[Profit])</f>
        <v>4076.03</v>
      </c>
      <c r="D719" t="str">
        <f>INDEX('Amazon Data Set'!F:F,MATCH(Vlookup!A719,'Amazon Data Set'!A:A,0))</f>
        <v>Kolkata</v>
      </c>
    </row>
    <row r="720" spans="1:4">
      <c r="A720" s="16" t="s">
        <v>1906</v>
      </c>
      <c r="B720">
        <f>VLOOKUP(A720,Amazon_Data_Set[],20,FALSE)</f>
        <v>2001.35</v>
      </c>
      <c r="C720">
        <f>_xlfn.XLOOKUP(Vlookup!A720,Amazon_Data_Set[Order ID],Amazon_Data_Set[Profit])</f>
        <v>480.29</v>
      </c>
      <c r="D720" t="str">
        <f>INDEX('Amazon Data Set'!F:F,MATCH(Vlookup!A720,'Amazon Data Set'!A:A,0))</f>
        <v>Guwahati</v>
      </c>
    </row>
    <row r="721" spans="1:4">
      <c r="A721" s="17" t="s">
        <v>1908</v>
      </c>
      <c r="B721">
        <f>VLOOKUP(A721,Amazon_Data_Set[],20,FALSE)</f>
        <v>3734.24</v>
      </c>
      <c r="C721">
        <f>_xlfn.XLOOKUP(Vlookup!A721,Amazon_Data_Set[Order ID],Amazon_Data_Set[Profit])</f>
        <v>700.39</v>
      </c>
      <c r="D721" t="str">
        <f>INDEX('Amazon Data Set'!F:F,MATCH(Vlookup!A721,'Amazon Data Set'!A:A,0))</f>
        <v>Patna</v>
      </c>
    </row>
    <row r="722" spans="1:4">
      <c r="A722" s="16" t="s">
        <v>1910</v>
      </c>
      <c r="B722">
        <f>VLOOKUP(A722,Amazon_Data_Set[],20,FALSE)</f>
        <v>40418.68</v>
      </c>
      <c r="C722">
        <f>_xlfn.XLOOKUP(Vlookup!A722,Amazon_Data_Set[Order ID],Amazon_Data_Set[Profit])</f>
        <v>18999.400000000001</v>
      </c>
      <c r="D722" t="str">
        <f>INDEX('Amazon Data Set'!F:F,MATCH(Vlookup!A722,'Amazon Data Set'!A:A,0))</f>
        <v>New Delhi</v>
      </c>
    </row>
    <row r="723" spans="1:4">
      <c r="A723" s="17" t="s">
        <v>1912</v>
      </c>
      <c r="B723">
        <f>VLOOKUP(A723,Amazon_Data_Set[],20,FALSE)</f>
        <v>3381.7</v>
      </c>
      <c r="C723">
        <f>_xlfn.XLOOKUP(Vlookup!A723,Amazon_Data_Set[Order ID],Amazon_Data_Set[Profit])</f>
        <v>1315.19</v>
      </c>
      <c r="D723" t="str">
        <f>INDEX('Amazon Data Set'!F:F,MATCH(Vlookup!A723,'Amazon Data Set'!A:A,0))</f>
        <v>Noida</v>
      </c>
    </row>
    <row r="724" spans="1:4">
      <c r="A724" s="16" t="s">
        <v>1914</v>
      </c>
      <c r="B724">
        <f>VLOOKUP(A724,Amazon_Data_Set[],20,FALSE)</f>
        <v>28323.68</v>
      </c>
      <c r="C724">
        <f>_xlfn.XLOOKUP(Vlookup!A724,Amazon_Data_Set[Order ID],Amazon_Data_Set[Profit])</f>
        <v>10908.74</v>
      </c>
      <c r="D724" t="str">
        <f>INDEX('Amazon Data Set'!F:F,MATCH(Vlookup!A724,'Amazon Data Set'!A:A,0))</f>
        <v>Patna</v>
      </c>
    </row>
    <row r="725" spans="1:4">
      <c r="A725" s="17" t="s">
        <v>1916</v>
      </c>
      <c r="B725">
        <f>VLOOKUP(A725,Amazon_Data_Set[],20,FALSE)</f>
        <v>8189.42</v>
      </c>
      <c r="C725">
        <f>_xlfn.XLOOKUP(Vlookup!A725,Amazon_Data_Set[Order ID],Amazon_Data_Set[Profit])</f>
        <v>2537.13</v>
      </c>
      <c r="D725" t="str">
        <f>INDEX('Amazon Data Set'!F:F,MATCH(Vlookup!A725,'Amazon Data Set'!A:A,0))</f>
        <v>Mumbai</v>
      </c>
    </row>
    <row r="726" spans="1:4">
      <c r="A726" s="16" t="s">
        <v>1918</v>
      </c>
      <c r="B726">
        <f>VLOOKUP(A726,Amazon_Data_Set[],20,FALSE)</f>
        <v>7855.84</v>
      </c>
      <c r="C726">
        <f>_xlfn.XLOOKUP(Vlookup!A726,Amazon_Data_Set[Order ID],Amazon_Data_Set[Profit])</f>
        <v>2734.66</v>
      </c>
      <c r="D726" t="str">
        <f>INDEX('Amazon Data Set'!F:F,MATCH(Vlookup!A726,'Amazon Data Set'!A:A,0))</f>
        <v>Kolkata</v>
      </c>
    </row>
    <row r="727" spans="1:4">
      <c r="A727" s="17" t="s">
        <v>1920</v>
      </c>
      <c r="B727">
        <f>VLOOKUP(A727,Amazon_Data_Set[],20,FALSE)</f>
        <v>7464</v>
      </c>
      <c r="C727">
        <f>_xlfn.XLOOKUP(Vlookup!A727,Amazon_Data_Set[Order ID],Amazon_Data_Set[Profit])</f>
        <v>2134.84</v>
      </c>
      <c r="D727" t="str">
        <f>INDEX('Amazon Data Set'!F:F,MATCH(Vlookup!A727,'Amazon Data Set'!A:A,0))</f>
        <v>Chennai</v>
      </c>
    </row>
    <row r="728" spans="1:4">
      <c r="A728" s="16" t="s">
        <v>1922</v>
      </c>
      <c r="B728">
        <f>VLOOKUP(A728,Amazon_Data_Set[],20,FALSE)</f>
        <v>76301.72</v>
      </c>
      <c r="C728">
        <f>_xlfn.XLOOKUP(Vlookup!A728,Amazon_Data_Set[Order ID],Amazon_Data_Set[Profit])</f>
        <v>15715.56</v>
      </c>
      <c r="D728" t="str">
        <f>INDEX('Amazon Data Set'!F:F,MATCH(Vlookup!A728,'Amazon Data Set'!A:A,0))</f>
        <v>Mumbai</v>
      </c>
    </row>
    <row r="729" spans="1:4">
      <c r="A729" s="17" t="s">
        <v>1924</v>
      </c>
      <c r="B729">
        <f>VLOOKUP(A729,Amazon_Data_Set[],20,FALSE)</f>
        <v>11537.01</v>
      </c>
      <c r="C729">
        <f>_xlfn.XLOOKUP(Vlookup!A729,Amazon_Data_Set[Order ID],Amazon_Data_Set[Profit])</f>
        <v>2762.93</v>
      </c>
      <c r="D729" t="str">
        <f>INDEX('Amazon Data Set'!F:F,MATCH(Vlookup!A729,'Amazon Data Set'!A:A,0))</f>
        <v>Noida</v>
      </c>
    </row>
    <row r="730" spans="1:4">
      <c r="A730" s="16" t="s">
        <v>1926</v>
      </c>
      <c r="B730">
        <f>VLOOKUP(A730,Amazon_Data_Set[],20,FALSE)</f>
        <v>13639.02</v>
      </c>
      <c r="C730">
        <f>_xlfn.XLOOKUP(Vlookup!A730,Amazon_Data_Set[Order ID],Amazon_Data_Set[Profit])</f>
        <v>3967.4</v>
      </c>
      <c r="D730" t="str">
        <f>INDEX('Amazon Data Set'!F:F,MATCH(Vlookup!A730,'Amazon Data Set'!A:A,0))</f>
        <v>Noida</v>
      </c>
    </row>
    <row r="731" spans="1:4">
      <c r="A731" s="17" t="s">
        <v>1928</v>
      </c>
      <c r="B731">
        <f>VLOOKUP(A731,Amazon_Data_Set[],20,FALSE)</f>
        <v>22604.55</v>
      </c>
      <c r="C731">
        <f>_xlfn.XLOOKUP(Vlookup!A731,Amazon_Data_Set[Order ID],Amazon_Data_Set[Profit])</f>
        <v>7715.11</v>
      </c>
      <c r="D731" t="str">
        <f>INDEX('Amazon Data Set'!F:F,MATCH(Vlookup!A731,'Amazon Data Set'!A:A,0))</f>
        <v>Hyderabad</v>
      </c>
    </row>
    <row r="732" spans="1:4">
      <c r="A732" s="16" t="s">
        <v>1930</v>
      </c>
      <c r="B732">
        <f>VLOOKUP(A732,Amazon_Data_Set[],20,FALSE)</f>
        <v>4925.6400000000003</v>
      </c>
      <c r="C732">
        <f>_xlfn.XLOOKUP(Vlookup!A732,Amazon_Data_Set[Order ID],Amazon_Data_Set[Profit])</f>
        <v>1545.64</v>
      </c>
      <c r="D732" t="str">
        <f>INDEX('Amazon Data Set'!F:F,MATCH(Vlookup!A732,'Amazon Data Set'!A:A,0))</f>
        <v>Mysuru</v>
      </c>
    </row>
    <row r="733" spans="1:4">
      <c r="A733" s="17" t="s">
        <v>1933</v>
      </c>
      <c r="B733">
        <f>VLOOKUP(A733,Amazon_Data_Set[],20,FALSE)</f>
        <v>20502.419999999998</v>
      </c>
      <c r="C733">
        <f>_xlfn.XLOOKUP(Vlookup!A733,Amazon_Data_Set[Order ID],Amazon_Data_Set[Profit])</f>
        <v>7167.48</v>
      </c>
      <c r="D733" t="str">
        <f>INDEX('Amazon Data Set'!F:F,MATCH(Vlookup!A733,'Amazon Data Set'!A:A,0))</f>
        <v>New Delhi</v>
      </c>
    </row>
    <row r="734" spans="1:4">
      <c r="A734" s="16" t="s">
        <v>1935</v>
      </c>
      <c r="B734">
        <f>VLOOKUP(A734,Amazon_Data_Set[],20,FALSE)</f>
        <v>84358.16</v>
      </c>
      <c r="C734">
        <f>_xlfn.XLOOKUP(Vlookup!A734,Amazon_Data_Set[Order ID],Amazon_Data_Set[Profit])</f>
        <v>29233.67</v>
      </c>
      <c r="D734" t="str">
        <f>INDEX('Amazon Data Set'!F:F,MATCH(Vlookup!A734,'Amazon Data Set'!A:A,0))</f>
        <v>Mumbai</v>
      </c>
    </row>
    <row r="735" spans="1:4">
      <c r="A735" s="17" t="s">
        <v>1937</v>
      </c>
      <c r="B735">
        <f>VLOOKUP(A735,Amazon_Data_Set[],20,FALSE)</f>
        <v>3191.55</v>
      </c>
      <c r="C735">
        <f>_xlfn.XLOOKUP(Vlookup!A735,Amazon_Data_Set[Order ID],Amazon_Data_Set[Profit])</f>
        <v>1048.51</v>
      </c>
      <c r="D735" t="str">
        <f>INDEX('Amazon Data Set'!F:F,MATCH(Vlookup!A735,'Amazon Data Set'!A:A,0))</f>
        <v>Gurugram</v>
      </c>
    </row>
    <row r="736" spans="1:4">
      <c r="A736" s="16" t="s">
        <v>1939</v>
      </c>
      <c r="B736">
        <f>VLOOKUP(A736,Amazon_Data_Set[],20,FALSE)</f>
        <v>7258.1</v>
      </c>
      <c r="C736">
        <f>_xlfn.XLOOKUP(Vlookup!A736,Amazon_Data_Set[Order ID],Amazon_Data_Set[Profit])</f>
        <v>1468.07</v>
      </c>
      <c r="D736" t="str">
        <f>INDEX('Amazon Data Set'!F:F,MATCH(Vlookup!A736,'Amazon Data Set'!A:A,0))</f>
        <v>Patna</v>
      </c>
    </row>
    <row r="737" spans="1:4">
      <c r="A737" s="17" t="s">
        <v>1941</v>
      </c>
      <c r="B737">
        <f>VLOOKUP(A737,Amazon_Data_Set[],20,FALSE)</f>
        <v>647.32000000000005</v>
      </c>
      <c r="C737">
        <f>_xlfn.XLOOKUP(Vlookup!A737,Amazon_Data_Set[Order ID],Amazon_Data_Set[Profit])</f>
        <v>72.92</v>
      </c>
      <c r="D737" t="str">
        <f>INDEX('Amazon Data Set'!F:F,MATCH(Vlookup!A737,'Amazon Data Set'!A:A,0))</f>
        <v>Mysuru</v>
      </c>
    </row>
    <row r="738" spans="1:4">
      <c r="A738" s="16" t="s">
        <v>1943</v>
      </c>
      <c r="B738">
        <f>VLOOKUP(A738,Amazon_Data_Set[],20,FALSE)</f>
        <v>57942.68</v>
      </c>
      <c r="C738">
        <f>_xlfn.XLOOKUP(Vlookup!A738,Amazon_Data_Set[Order ID],Amazon_Data_Set[Profit])</f>
        <v>19664.61</v>
      </c>
      <c r="D738" t="str">
        <f>INDEX('Amazon Data Set'!F:F,MATCH(Vlookup!A738,'Amazon Data Set'!A:A,0))</f>
        <v>Mysuru</v>
      </c>
    </row>
    <row r="739" spans="1:4">
      <c r="A739" s="17" t="s">
        <v>1945</v>
      </c>
      <c r="B739">
        <f>VLOOKUP(A739,Amazon_Data_Set[],20,FALSE)</f>
        <v>1239.28</v>
      </c>
      <c r="C739">
        <f>_xlfn.XLOOKUP(Vlookup!A739,Amazon_Data_Set[Order ID],Amazon_Data_Set[Profit])</f>
        <v>286.49</v>
      </c>
      <c r="D739" t="str">
        <f>INDEX('Amazon Data Set'!F:F,MATCH(Vlookup!A739,'Amazon Data Set'!A:A,0))</f>
        <v>New Delhi</v>
      </c>
    </row>
    <row r="740" spans="1:4">
      <c r="A740" s="16" t="s">
        <v>1947</v>
      </c>
      <c r="B740">
        <f>VLOOKUP(A740,Amazon_Data_Set[],20,FALSE)</f>
        <v>950.24</v>
      </c>
      <c r="C740">
        <f>_xlfn.XLOOKUP(Vlookup!A740,Amazon_Data_Set[Order ID],Amazon_Data_Set[Profit])</f>
        <v>236.98</v>
      </c>
      <c r="D740" t="str">
        <f>INDEX('Amazon Data Set'!F:F,MATCH(Vlookup!A740,'Amazon Data Set'!A:A,0))</f>
        <v>Ludhiana</v>
      </c>
    </row>
    <row r="741" spans="1:4">
      <c r="A741" s="17" t="s">
        <v>1949</v>
      </c>
      <c r="B741">
        <f>VLOOKUP(A741,Amazon_Data_Set[],20,FALSE)</f>
        <v>2180.14</v>
      </c>
      <c r="C741">
        <f>_xlfn.XLOOKUP(Vlookup!A741,Amazon_Data_Set[Order ID],Amazon_Data_Set[Profit])</f>
        <v>678.28</v>
      </c>
      <c r="D741" t="str">
        <f>INDEX('Amazon Data Set'!F:F,MATCH(Vlookup!A741,'Amazon Data Set'!A:A,0))</f>
        <v>Kolkata</v>
      </c>
    </row>
    <row r="742" spans="1:4">
      <c r="A742" s="16" t="s">
        <v>1951</v>
      </c>
      <c r="B742">
        <f>VLOOKUP(A742,Amazon_Data_Set[],20,FALSE)</f>
        <v>737.12</v>
      </c>
      <c r="C742">
        <f>_xlfn.XLOOKUP(Vlookup!A742,Amazon_Data_Set[Order ID],Amazon_Data_Set[Profit])</f>
        <v>39.020000000000003</v>
      </c>
      <c r="D742" t="str">
        <f>INDEX('Amazon Data Set'!F:F,MATCH(Vlookup!A742,'Amazon Data Set'!A:A,0))</f>
        <v>Gurugram</v>
      </c>
    </row>
    <row r="743" spans="1:4">
      <c r="A743" s="17" t="s">
        <v>1953</v>
      </c>
      <c r="B743">
        <f>VLOOKUP(A743,Amazon_Data_Set[],20,FALSE)</f>
        <v>20448.849999999999</v>
      </c>
      <c r="C743">
        <f>_xlfn.XLOOKUP(Vlookup!A743,Amazon_Data_Set[Order ID],Amazon_Data_Set[Profit])</f>
        <v>6652.75</v>
      </c>
      <c r="D743" t="str">
        <f>INDEX('Amazon Data Set'!F:F,MATCH(Vlookup!A743,'Amazon Data Set'!A:A,0))</f>
        <v>Kochi</v>
      </c>
    </row>
    <row r="744" spans="1:4">
      <c r="A744" s="16" t="s">
        <v>1955</v>
      </c>
      <c r="B744">
        <f>VLOOKUP(A744,Amazon_Data_Set[],20,FALSE)</f>
        <v>145947.92000000001</v>
      </c>
      <c r="C744">
        <f>_xlfn.XLOOKUP(Vlookup!A744,Amazon_Data_Set[Order ID],Amazon_Data_Set[Profit])</f>
        <v>33290.239999999998</v>
      </c>
      <c r="D744" t="str">
        <f>INDEX('Amazon Data Set'!F:F,MATCH(Vlookup!A744,'Amazon Data Set'!A:A,0))</f>
        <v>Bhubaneswar</v>
      </c>
    </row>
    <row r="745" spans="1:4">
      <c r="A745" s="17" t="s">
        <v>1957</v>
      </c>
      <c r="B745">
        <f>VLOOKUP(A745,Amazon_Data_Set[],20,FALSE)</f>
        <v>1173.78</v>
      </c>
      <c r="C745">
        <f>_xlfn.XLOOKUP(Vlookup!A745,Amazon_Data_Set[Order ID],Amazon_Data_Set[Profit])</f>
        <v>204.5</v>
      </c>
      <c r="D745" t="str">
        <f>INDEX('Amazon Data Set'!F:F,MATCH(Vlookup!A745,'Amazon Data Set'!A:A,0))</f>
        <v>Noida</v>
      </c>
    </row>
    <row r="746" spans="1:4">
      <c r="A746" s="16" t="s">
        <v>1959</v>
      </c>
      <c r="B746">
        <f>VLOOKUP(A746,Amazon_Data_Set[],20,FALSE)</f>
        <v>70113.759999999995</v>
      </c>
      <c r="C746">
        <f>_xlfn.XLOOKUP(Vlookup!A746,Amazon_Data_Set[Order ID],Amazon_Data_Set[Profit])</f>
        <v>28933.96</v>
      </c>
      <c r="D746" t="str">
        <f>INDEX('Amazon Data Set'!F:F,MATCH(Vlookup!A746,'Amazon Data Set'!A:A,0))</f>
        <v>Ludhiana</v>
      </c>
    </row>
    <row r="747" spans="1:4">
      <c r="A747" s="17" t="s">
        <v>1961</v>
      </c>
      <c r="B747">
        <f>VLOOKUP(A747,Amazon_Data_Set[],20,FALSE)</f>
        <v>1887.94</v>
      </c>
      <c r="C747">
        <f>_xlfn.XLOOKUP(Vlookup!A747,Amazon_Data_Set[Order ID],Amazon_Data_Set[Profit])</f>
        <v>296.77</v>
      </c>
      <c r="D747" t="str">
        <f>INDEX('Amazon Data Set'!F:F,MATCH(Vlookup!A747,'Amazon Data Set'!A:A,0))</f>
        <v>Patna</v>
      </c>
    </row>
    <row r="748" spans="1:4">
      <c r="A748" s="16" t="s">
        <v>1963</v>
      </c>
      <c r="B748">
        <f>VLOOKUP(A748,Amazon_Data_Set[],20,FALSE)</f>
        <v>986.94</v>
      </c>
      <c r="C748">
        <f>_xlfn.XLOOKUP(Vlookup!A748,Amazon_Data_Set[Order ID],Amazon_Data_Set[Profit])</f>
        <v>254.02</v>
      </c>
      <c r="D748" t="str">
        <f>INDEX('Amazon Data Set'!F:F,MATCH(Vlookup!A748,'Amazon Data Set'!A:A,0))</f>
        <v>Bhubaneswar</v>
      </c>
    </row>
    <row r="749" spans="1:4">
      <c r="A749" s="17" t="s">
        <v>1965</v>
      </c>
      <c r="B749">
        <f>VLOOKUP(A749,Amazon_Data_Set[],20,FALSE)</f>
        <v>5388.43</v>
      </c>
      <c r="C749">
        <f>_xlfn.XLOOKUP(Vlookup!A749,Amazon_Data_Set[Order ID],Amazon_Data_Set[Profit])</f>
        <v>984.36</v>
      </c>
      <c r="D749" t="str">
        <f>INDEX('Amazon Data Set'!F:F,MATCH(Vlookup!A749,'Amazon Data Set'!A:A,0))</f>
        <v>New Delhi</v>
      </c>
    </row>
    <row r="750" spans="1:4">
      <c r="A750" s="16" t="s">
        <v>1967</v>
      </c>
      <c r="B750">
        <f>VLOOKUP(A750,Amazon_Data_Set[],20,FALSE)</f>
        <v>11276.08</v>
      </c>
      <c r="C750">
        <f>_xlfn.XLOOKUP(Vlookup!A750,Amazon_Data_Set[Order ID],Amazon_Data_Set[Profit])</f>
        <v>3668.69</v>
      </c>
      <c r="D750" t="str">
        <f>INDEX('Amazon Data Set'!F:F,MATCH(Vlookup!A750,'Amazon Data Set'!A:A,0))</f>
        <v>Chennai</v>
      </c>
    </row>
    <row r="751" spans="1:4">
      <c r="A751" s="17" t="s">
        <v>1969</v>
      </c>
      <c r="B751">
        <f>VLOOKUP(A751,Amazon_Data_Set[],20,FALSE)</f>
        <v>11601.56</v>
      </c>
      <c r="C751">
        <f>_xlfn.XLOOKUP(Vlookup!A751,Amazon_Data_Set[Order ID],Amazon_Data_Set[Profit])</f>
        <v>4250.8500000000004</v>
      </c>
      <c r="D751" t="str">
        <f>INDEX('Amazon Data Set'!F:F,MATCH(Vlookup!A751,'Amazon Data Set'!A:A,0))</f>
        <v>Kolkata</v>
      </c>
    </row>
    <row r="752" spans="1:4">
      <c r="A752" s="16" t="s">
        <v>1971</v>
      </c>
      <c r="B752">
        <f>VLOOKUP(A752,Amazon_Data_Set[],20,FALSE)</f>
        <v>1631.97</v>
      </c>
      <c r="C752">
        <f>_xlfn.XLOOKUP(Vlookup!A752,Amazon_Data_Set[Order ID],Amazon_Data_Set[Profit])</f>
        <v>408.59</v>
      </c>
      <c r="D752" t="str">
        <f>INDEX('Amazon Data Set'!F:F,MATCH(Vlookup!A752,'Amazon Data Set'!A:A,0))</f>
        <v>Noida</v>
      </c>
    </row>
    <row r="753" spans="1:4">
      <c r="A753" s="17" t="s">
        <v>1973</v>
      </c>
      <c r="B753">
        <f>VLOOKUP(A753,Amazon_Data_Set[],20,FALSE)</f>
        <v>2514.36</v>
      </c>
      <c r="C753">
        <f>_xlfn.XLOOKUP(Vlookup!A753,Amazon_Data_Set[Order ID],Amazon_Data_Set[Profit])</f>
        <v>310</v>
      </c>
      <c r="D753" t="str">
        <f>INDEX('Amazon Data Set'!F:F,MATCH(Vlookup!A753,'Amazon Data Set'!A:A,0))</f>
        <v>New Delhi</v>
      </c>
    </row>
    <row r="754" spans="1:4">
      <c r="A754" s="16" t="s">
        <v>1975</v>
      </c>
      <c r="B754">
        <f>VLOOKUP(A754,Amazon_Data_Set[],20,FALSE)</f>
        <v>9462.69</v>
      </c>
      <c r="C754">
        <f>_xlfn.XLOOKUP(Vlookup!A754,Amazon_Data_Set[Order ID],Amazon_Data_Set[Profit])</f>
        <v>2186.25</v>
      </c>
      <c r="D754" t="str">
        <f>INDEX('Amazon Data Set'!F:F,MATCH(Vlookup!A754,'Amazon Data Set'!A:A,0))</f>
        <v>Ludhiana</v>
      </c>
    </row>
    <row r="755" spans="1:4">
      <c r="A755" s="17" t="s">
        <v>1977</v>
      </c>
      <c r="B755">
        <f>VLOOKUP(A755,Amazon_Data_Set[],20,FALSE)</f>
        <v>44526.16</v>
      </c>
      <c r="C755">
        <f>_xlfn.XLOOKUP(Vlookup!A755,Amazon_Data_Set[Order ID],Amazon_Data_Set[Profit])</f>
        <v>12882.31</v>
      </c>
      <c r="D755" t="str">
        <f>INDEX('Amazon Data Set'!F:F,MATCH(Vlookup!A755,'Amazon Data Set'!A:A,0))</f>
        <v>Mysuru</v>
      </c>
    </row>
    <row r="756" spans="1:4">
      <c r="A756" s="16" t="s">
        <v>1979</v>
      </c>
      <c r="B756">
        <f>VLOOKUP(A756,Amazon_Data_Set[],20,FALSE)</f>
        <v>25803.9</v>
      </c>
      <c r="C756">
        <f>_xlfn.XLOOKUP(Vlookup!A756,Amazon_Data_Set[Order ID],Amazon_Data_Set[Profit])</f>
        <v>7608.78</v>
      </c>
      <c r="D756" t="str">
        <f>INDEX('Amazon Data Set'!F:F,MATCH(Vlookup!A756,'Amazon Data Set'!A:A,0))</f>
        <v>Mysuru</v>
      </c>
    </row>
    <row r="757" spans="1:4">
      <c r="A757" s="17" t="s">
        <v>1981</v>
      </c>
      <c r="B757">
        <f>VLOOKUP(A757,Amazon_Data_Set[],20,FALSE)</f>
        <v>631.79999999999995</v>
      </c>
      <c r="C757">
        <f>_xlfn.XLOOKUP(Vlookup!A757,Amazon_Data_Set[Order ID],Amazon_Data_Set[Profit])</f>
        <v>37.130000000000003</v>
      </c>
      <c r="D757" t="str">
        <f>INDEX('Amazon Data Set'!F:F,MATCH(Vlookup!A757,'Amazon Data Set'!A:A,0))</f>
        <v>Mysuru</v>
      </c>
    </row>
    <row r="758" spans="1:4">
      <c r="A758" s="16" t="s">
        <v>1983</v>
      </c>
      <c r="B758">
        <f>VLOOKUP(A758,Amazon_Data_Set[],20,FALSE)</f>
        <v>39880.53</v>
      </c>
      <c r="C758">
        <f>_xlfn.XLOOKUP(Vlookup!A758,Amazon_Data_Set[Order ID],Amazon_Data_Set[Profit])</f>
        <v>13739.75</v>
      </c>
      <c r="D758" t="str">
        <f>INDEX('Amazon Data Set'!F:F,MATCH(Vlookup!A758,'Amazon Data Set'!A:A,0))</f>
        <v>Ahmedabad</v>
      </c>
    </row>
    <row r="759" spans="1:4">
      <c r="A759" s="17" t="s">
        <v>1985</v>
      </c>
      <c r="B759">
        <f>VLOOKUP(A759,Amazon_Data_Set[],20,FALSE)</f>
        <v>21555.19</v>
      </c>
      <c r="C759">
        <f>_xlfn.XLOOKUP(Vlookup!A759,Amazon_Data_Set[Order ID],Amazon_Data_Set[Profit])</f>
        <v>6805.26</v>
      </c>
      <c r="D759" t="str">
        <f>INDEX('Amazon Data Set'!F:F,MATCH(Vlookup!A759,'Amazon Data Set'!A:A,0))</f>
        <v>Pune</v>
      </c>
    </row>
    <row r="760" spans="1:4">
      <c r="A760" s="16" t="s">
        <v>1987</v>
      </c>
      <c r="B760">
        <f>VLOOKUP(A760,Amazon_Data_Set[],20,FALSE)</f>
        <v>7574.54</v>
      </c>
      <c r="C760">
        <f>_xlfn.XLOOKUP(Vlookup!A760,Amazon_Data_Set[Order ID],Amazon_Data_Set[Profit])</f>
        <v>1325.28</v>
      </c>
      <c r="D760" t="str">
        <f>INDEX('Amazon Data Set'!F:F,MATCH(Vlookup!A760,'Amazon Data Set'!A:A,0))</f>
        <v>Kochi</v>
      </c>
    </row>
    <row r="761" spans="1:4">
      <c r="A761" s="17" t="s">
        <v>1989</v>
      </c>
      <c r="B761">
        <f>VLOOKUP(A761,Amazon_Data_Set[],20,FALSE)</f>
        <v>26354.19</v>
      </c>
      <c r="C761">
        <f>_xlfn.XLOOKUP(Vlookup!A761,Amazon_Data_Set[Order ID],Amazon_Data_Set[Profit])</f>
        <v>9493.61</v>
      </c>
      <c r="D761" t="str">
        <f>INDEX('Amazon Data Set'!F:F,MATCH(Vlookup!A761,'Amazon Data Set'!A:A,0))</f>
        <v>Bhubaneswar</v>
      </c>
    </row>
    <row r="762" spans="1:4">
      <c r="A762" s="16" t="s">
        <v>1991</v>
      </c>
      <c r="B762">
        <f>VLOOKUP(A762,Amazon_Data_Set[],20,FALSE)</f>
        <v>30300.21</v>
      </c>
      <c r="C762">
        <f>_xlfn.XLOOKUP(Vlookup!A762,Amazon_Data_Set[Order ID],Amazon_Data_Set[Profit])</f>
        <v>12785.31</v>
      </c>
      <c r="D762" t="str">
        <f>INDEX('Amazon Data Set'!F:F,MATCH(Vlookup!A762,'Amazon Data Set'!A:A,0))</f>
        <v>Ahmedabad</v>
      </c>
    </row>
    <row r="763" spans="1:4">
      <c r="A763" s="17" t="s">
        <v>1993</v>
      </c>
      <c r="B763">
        <f>VLOOKUP(A763,Amazon_Data_Set[],20,FALSE)</f>
        <v>6649.14</v>
      </c>
      <c r="C763">
        <f>_xlfn.XLOOKUP(Vlookup!A763,Amazon_Data_Set[Order ID],Amazon_Data_Set[Profit])</f>
        <v>1521.16</v>
      </c>
      <c r="D763" t="str">
        <f>INDEX('Amazon Data Set'!F:F,MATCH(Vlookup!A763,'Amazon Data Set'!A:A,0))</f>
        <v>Kochi</v>
      </c>
    </row>
    <row r="764" spans="1:4">
      <c r="A764" s="16" t="s">
        <v>1995</v>
      </c>
      <c r="B764">
        <f>VLOOKUP(A764,Amazon_Data_Set[],20,FALSE)</f>
        <v>86963.79</v>
      </c>
      <c r="C764">
        <f>_xlfn.XLOOKUP(Vlookup!A764,Amazon_Data_Set[Order ID],Amazon_Data_Set[Profit])</f>
        <v>25679.21</v>
      </c>
      <c r="D764" t="str">
        <f>INDEX('Amazon Data Set'!F:F,MATCH(Vlookup!A764,'Amazon Data Set'!A:A,0))</f>
        <v>Hyderabad</v>
      </c>
    </row>
    <row r="765" spans="1:4">
      <c r="A765" s="17" t="s">
        <v>1997</v>
      </c>
      <c r="B765">
        <f>VLOOKUP(A765,Amazon_Data_Set[],20,FALSE)</f>
        <v>761.52</v>
      </c>
      <c r="C765">
        <f>_xlfn.XLOOKUP(Vlookup!A765,Amazon_Data_Set[Order ID],Amazon_Data_Set[Profit])</f>
        <v>139.03</v>
      </c>
      <c r="D765" t="str">
        <f>INDEX('Amazon Data Set'!F:F,MATCH(Vlookup!A765,'Amazon Data Set'!A:A,0))</f>
        <v>Ludhiana</v>
      </c>
    </row>
    <row r="766" spans="1:4">
      <c r="A766" s="16" t="s">
        <v>1999</v>
      </c>
      <c r="B766">
        <f>VLOOKUP(A766,Amazon_Data_Set[],20,FALSE)</f>
        <v>14310.35</v>
      </c>
      <c r="C766">
        <f>_xlfn.XLOOKUP(Vlookup!A766,Amazon_Data_Set[Order ID],Amazon_Data_Set[Profit])</f>
        <v>4070.17</v>
      </c>
      <c r="D766" t="str">
        <f>INDEX('Amazon Data Set'!F:F,MATCH(Vlookup!A766,'Amazon Data Set'!A:A,0))</f>
        <v>Noida</v>
      </c>
    </row>
    <row r="767" spans="1:4">
      <c r="A767" s="17" t="s">
        <v>2001</v>
      </c>
      <c r="B767">
        <f>VLOOKUP(A767,Amazon_Data_Set[],20,FALSE)</f>
        <v>8205.94</v>
      </c>
      <c r="C767">
        <f>_xlfn.XLOOKUP(Vlookup!A767,Amazon_Data_Set[Order ID],Amazon_Data_Set[Profit])</f>
        <v>1743.75</v>
      </c>
      <c r="D767" t="str">
        <f>INDEX('Amazon Data Set'!F:F,MATCH(Vlookup!A767,'Amazon Data Set'!A:A,0))</f>
        <v>Mysuru</v>
      </c>
    </row>
    <row r="768" spans="1:4">
      <c r="A768" s="16" t="s">
        <v>2003</v>
      </c>
      <c r="B768">
        <f>VLOOKUP(A768,Amazon_Data_Set[],20,FALSE)</f>
        <v>65942.3</v>
      </c>
      <c r="C768">
        <f>_xlfn.XLOOKUP(Vlookup!A768,Amazon_Data_Set[Order ID],Amazon_Data_Set[Profit])</f>
        <v>15615.68</v>
      </c>
      <c r="D768" t="str">
        <f>INDEX('Amazon Data Set'!F:F,MATCH(Vlookup!A768,'Amazon Data Set'!A:A,0))</f>
        <v>Jaipur</v>
      </c>
    </row>
    <row r="769" spans="1:4">
      <c r="A769" s="17" t="s">
        <v>2005</v>
      </c>
      <c r="B769">
        <f>VLOOKUP(A769,Amazon_Data_Set[],20,FALSE)</f>
        <v>1922.49</v>
      </c>
      <c r="C769">
        <f>_xlfn.XLOOKUP(Vlookup!A769,Amazon_Data_Set[Order ID],Amazon_Data_Set[Profit])</f>
        <v>398.68</v>
      </c>
      <c r="D769" t="str">
        <f>INDEX('Amazon Data Set'!F:F,MATCH(Vlookup!A769,'Amazon Data Set'!A:A,0))</f>
        <v>Guwahati</v>
      </c>
    </row>
    <row r="770" spans="1:4">
      <c r="A770" s="16" t="s">
        <v>2007</v>
      </c>
      <c r="B770">
        <f>VLOOKUP(A770,Amazon_Data_Set[],20,FALSE)</f>
        <v>1531.4</v>
      </c>
      <c r="C770">
        <f>_xlfn.XLOOKUP(Vlookup!A770,Amazon_Data_Set[Order ID],Amazon_Data_Set[Profit])</f>
        <v>616.03</v>
      </c>
      <c r="D770" t="str">
        <f>INDEX('Amazon Data Set'!F:F,MATCH(Vlookup!A770,'Amazon Data Set'!A:A,0))</f>
        <v>Ludhiana</v>
      </c>
    </row>
    <row r="771" spans="1:4">
      <c r="A771" s="17" t="s">
        <v>2009</v>
      </c>
      <c r="B771">
        <f>VLOOKUP(A771,Amazon_Data_Set[],20,FALSE)</f>
        <v>1828.52</v>
      </c>
      <c r="C771">
        <f>_xlfn.XLOOKUP(Vlookup!A771,Amazon_Data_Set[Order ID],Amazon_Data_Set[Profit])</f>
        <v>540.75</v>
      </c>
      <c r="D771" t="str">
        <f>INDEX('Amazon Data Set'!F:F,MATCH(Vlookup!A771,'Amazon Data Set'!A:A,0))</f>
        <v>Kolkata</v>
      </c>
    </row>
    <row r="772" spans="1:4">
      <c r="A772" s="16" t="s">
        <v>2012</v>
      </c>
      <c r="B772">
        <f>VLOOKUP(A772,Amazon_Data_Set[],20,FALSE)</f>
        <v>21483.7</v>
      </c>
      <c r="C772">
        <f>_xlfn.XLOOKUP(Vlookup!A772,Amazon_Data_Set[Order ID],Amazon_Data_Set[Profit])</f>
        <v>8937.01</v>
      </c>
      <c r="D772" t="str">
        <f>INDEX('Amazon Data Set'!F:F,MATCH(Vlookup!A772,'Amazon Data Set'!A:A,0))</f>
        <v>Mumbai</v>
      </c>
    </row>
    <row r="773" spans="1:4">
      <c r="A773" s="17" t="s">
        <v>2015</v>
      </c>
      <c r="B773">
        <f>VLOOKUP(A773,Amazon_Data_Set[],20,FALSE)</f>
        <v>205654.35</v>
      </c>
      <c r="C773">
        <f>_xlfn.XLOOKUP(Vlookup!A773,Amazon_Data_Set[Order ID],Amazon_Data_Set[Profit])</f>
        <v>43207</v>
      </c>
      <c r="D773" t="str">
        <f>INDEX('Amazon Data Set'!F:F,MATCH(Vlookup!A773,'Amazon Data Set'!A:A,0))</f>
        <v>Mumbai</v>
      </c>
    </row>
    <row r="774" spans="1:4">
      <c r="A774" s="16" t="s">
        <v>2017</v>
      </c>
      <c r="B774">
        <f>VLOOKUP(A774,Amazon_Data_Set[],20,FALSE)</f>
        <v>324.95999999999998</v>
      </c>
      <c r="C774">
        <f>_xlfn.XLOOKUP(Vlookup!A774,Amazon_Data_Set[Order ID],Amazon_Data_Set[Profit])</f>
        <v>-128.86000000000001</v>
      </c>
      <c r="D774" t="str">
        <f>INDEX('Amazon Data Set'!F:F,MATCH(Vlookup!A774,'Amazon Data Set'!A:A,0))</f>
        <v>Bengaluru</v>
      </c>
    </row>
    <row r="775" spans="1:4">
      <c r="A775" s="17" t="s">
        <v>2019</v>
      </c>
      <c r="B775">
        <f>VLOOKUP(A775,Amazon_Data_Set[],20,FALSE)</f>
        <v>4438.8599999999997</v>
      </c>
      <c r="C775">
        <f>_xlfn.XLOOKUP(Vlookup!A775,Amazon_Data_Set[Order ID],Amazon_Data_Set[Profit])</f>
        <v>1643.94</v>
      </c>
      <c r="D775" t="str">
        <f>INDEX('Amazon Data Set'!F:F,MATCH(Vlookup!A775,'Amazon Data Set'!A:A,0))</f>
        <v>Bhubaneswar</v>
      </c>
    </row>
    <row r="776" spans="1:4">
      <c r="A776" s="16" t="s">
        <v>2021</v>
      </c>
      <c r="B776">
        <f>VLOOKUP(A776,Amazon_Data_Set[],20,FALSE)</f>
        <v>219144.5</v>
      </c>
      <c r="C776">
        <f>_xlfn.XLOOKUP(Vlookup!A776,Amazon_Data_Set[Order ID],Amazon_Data_Set[Profit])</f>
        <v>83605.59</v>
      </c>
      <c r="D776" t="str">
        <f>INDEX('Amazon Data Set'!F:F,MATCH(Vlookup!A776,'Amazon Data Set'!A:A,0))</f>
        <v>Ahmedabad</v>
      </c>
    </row>
    <row r="777" spans="1:4">
      <c r="A777" s="17" t="s">
        <v>2023</v>
      </c>
      <c r="B777">
        <f>VLOOKUP(A777,Amazon_Data_Set[],20,FALSE)</f>
        <v>3725.56</v>
      </c>
      <c r="C777">
        <f>_xlfn.XLOOKUP(Vlookup!A777,Amazon_Data_Set[Order ID],Amazon_Data_Set[Profit])</f>
        <v>1123.6400000000001</v>
      </c>
      <c r="D777" t="str">
        <f>INDEX('Amazon Data Set'!F:F,MATCH(Vlookup!A777,'Amazon Data Set'!A:A,0))</f>
        <v>Patna</v>
      </c>
    </row>
    <row r="778" spans="1:4">
      <c r="A778" s="16" t="s">
        <v>2025</v>
      </c>
      <c r="B778">
        <f>VLOOKUP(A778,Amazon_Data_Set[],20,FALSE)</f>
        <v>4485.66</v>
      </c>
      <c r="C778">
        <f>_xlfn.XLOOKUP(Vlookup!A778,Amazon_Data_Set[Order ID],Amazon_Data_Set[Profit])</f>
        <v>1402.01</v>
      </c>
      <c r="D778" t="str">
        <f>INDEX('Amazon Data Set'!F:F,MATCH(Vlookup!A778,'Amazon Data Set'!A:A,0))</f>
        <v>Noida</v>
      </c>
    </row>
    <row r="779" spans="1:4">
      <c r="A779" s="17" t="s">
        <v>2027</v>
      </c>
      <c r="B779">
        <f>VLOOKUP(A779,Amazon_Data_Set[],20,FALSE)</f>
        <v>2282.12</v>
      </c>
      <c r="C779">
        <f>_xlfn.XLOOKUP(Vlookup!A779,Amazon_Data_Set[Order ID],Amazon_Data_Set[Profit])</f>
        <v>545.69000000000005</v>
      </c>
      <c r="D779" t="str">
        <f>INDEX('Amazon Data Set'!F:F,MATCH(Vlookup!A779,'Amazon Data Set'!A:A,0))</f>
        <v>Pune</v>
      </c>
    </row>
    <row r="780" spans="1:4">
      <c r="A780" s="16" t="s">
        <v>2029</v>
      </c>
      <c r="B780">
        <f>VLOOKUP(A780,Amazon_Data_Set[],20,FALSE)</f>
        <v>99080.88</v>
      </c>
      <c r="C780">
        <f>_xlfn.XLOOKUP(Vlookup!A780,Amazon_Data_Set[Order ID],Amazon_Data_Set[Profit])</f>
        <v>19353.240000000002</v>
      </c>
      <c r="D780" t="str">
        <f>INDEX('Amazon Data Set'!F:F,MATCH(Vlookup!A780,'Amazon Data Set'!A:A,0))</f>
        <v>Chennai</v>
      </c>
    </row>
    <row r="781" spans="1:4">
      <c r="A781" s="17" t="s">
        <v>2031</v>
      </c>
      <c r="B781">
        <f>VLOOKUP(A781,Amazon_Data_Set[],20,FALSE)</f>
        <v>5914.05</v>
      </c>
      <c r="C781">
        <f>_xlfn.XLOOKUP(Vlookup!A781,Amazon_Data_Set[Order ID],Amazon_Data_Set[Profit])</f>
        <v>1526.7</v>
      </c>
      <c r="D781" t="str">
        <f>INDEX('Amazon Data Set'!F:F,MATCH(Vlookup!A781,'Amazon Data Set'!A:A,0))</f>
        <v>Ahmedabad</v>
      </c>
    </row>
    <row r="782" spans="1:4">
      <c r="A782" s="16" t="s">
        <v>2034</v>
      </c>
      <c r="B782">
        <f>VLOOKUP(A782,Amazon_Data_Set[],20,FALSE)</f>
        <v>3228.24</v>
      </c>
      <c r="C782">
        <f>_xlfn.XLOOKUP(Vlookup!A782,Amazon_Data_Set[Order ID],Amazon_Data_Set[Profit])</f>
        <v>381.42</v>
      </c>
      <c r="D782" t="str">
        <f>INDEX('Amazon Data Set'!F:F,MATCH(Vlookup!A782,'Amazon Data Set'!A:A,0))</f>
        <v>Kolkata</v>
      </c>
    </row>
    <row r="783" spans="1:4">
      <c r="A783" s="17" t="s">
        <v>2036</v>
      </c>
      <c r="B783">
        <f>VLOOKUP(A783,Amazon_Data_Set[],20,FALSE)</f>
        <v>433.7</v>
      </c>
      <c r="C783">
        <f>_xlfn.XLOOKUP(Vlookup!A783,Amazon_Data_Set[Order ID],Amazon_Data_Set[Profit])</f>
        <v>68.459999999999994</v>
      </c>
      <c r="D783" t="str">
        <f>INDEX('Amazon Data Set'!F:F,MATCH(Vlookup!A783,'Amazon Data Set'!A:A,0))</f>
        <v>Pune</v>
      </c>
    </row>
    <row r="784" spans="1:4">
      <c r="A784" s="16" t="s">
        <v>2038</v>
      </c>
      <c r="B784">
        <f>VLOOKUP(A784,Amazon_Data_Set[],20,FALSE)</f>
        <v>16764.8</v>
      </c>
      <c r="C784">
        <f>_xlfn.XLOOKUP(Vlookup!A784,Amazon_Data_Set[Order ID],Amazon_Data_Set[Profit])</f>
        <v>6634.19</v>
      </c>
      <c r="D784" t="str">
        <f>INDEX('Amazon Data Set'!F:F,MATCH(Vlookup!A784,'Amazon Data Set'!A:A,0))</f>
        <v>Gurugram</v>
      </c>
    </row>
    <row r="785" spans="1:4">
      <c r="A785" s="17" t="s">
        <v>2040</v>
      </c>
      <c r="B785">
        <f>VLOOKUP(A785,Amazon_Data_Set[],20,FALSE)</f>
        <v>837.78</v>
      </c>
      <c r="C785">
        <f>_xlfn.XLOOKUP(Vlookup!A785,Amazon_Data_Set[Order ID],Amazon_Data_Set[Profit])</f>
        <v>-13.56</v>
      </c>
      <c r="D785" t="str">
        <f>INDEX('Amazon Data Set'!F:F,MATCH(Vlookup!A785,'Amazon Data Set'!A:A,0))</f>
        <v>Hyderabad</v>
      </c>
    </row>
    <row r="786" spans="1:4">
      <c r="A786" s="16" t="s">
        <v>2042</v>
      </c>
      <c r="B786">
        <f>VLOOKUP(A786,Amazon_Data_Set[],20,FALSE)</f>
        <v>3529.3</v>
      </c>
      <c r="C786">
        <f>_xlfn.XLOOKUP(Vlookup!A786,Amazon_Data_Set[Order ID],Amazon_Data_Set[Profit])</f>
        <v>1650.84</v>
      </c>
      <c r="D786" t="str">
        <f>INDEX('Amazon Data Set'!F:F,MATCH(Vlookup!A786,'Amazon Data Set'!A:A,0))</f>
        <v>Jaipur</v>
      </c>
    </row>
    <row r="787" spans="1:4">
      <c r="A787" s="17" t="s">
        <v>2044</v>
      </c>
      <c r="B787">
        <f>VLOOKUP(A787,Amazon_Data_Set[],20,FALSE)</f>
        <v>324457.55</v>
      </c>
      <c r="C787">
        <f>_xlfn.XLOOKUP(Vlookup!A787,Amazon_Data_Set[Order ID],Amazon_Data_Set[Profit])</f>
        <v>102879.61</v>
      </c>
      <c r="D787" t="str">
        <f>INDEX('Amazon Data Set'!F:F,MATCH(Vlookup!A787,'Amazon Data Set'!A:A,0))</f>
        <v>Guwahati</v>
      </c>
    </row>
    <row r="788" spans="1:4">
      <c r="A788" s="16" t="s">
        <v>2046</v>
      </c>
      <c r="B788">
        <f>VLOOKUP(A788,Amazon_Data_Set[],20,FALSE)</f>
        <v>953.97</v>
      </c>
      <c r="C788">
        <f>_xlfn.XLOOKUP(Vlookup!A788,Amazon_Data_Set[Order ID],Amazon_Data_Set[Profit])</f>
        <v>54.37</v>
      </c>
      <c r="D788" t="str">
        <f>INDEX('Amazon Data Set'!F:F,MATCH(Vlookup!A788,'Amazon Data Set'!A:A,0))</f>
        <v>Bengaluru</v>
      </c>
    </row>
    <row r="789" spans="1:4">
      <c r="A789" s="17" t="s">
        <v>2049</v>
      </c>
      <c r="B789">
        <f>VLOOKUP(A789,Amazon_Data_Set[],20,FALSE)</f>
        <v>10473.99</v>
      </c>
      <c r="C789">
        <f>_xlfn.XLOOKUP(Vlookup!A789,Amazon_Data_Set[Order ID],Amazon_Data_Set[Profit])</f>
        <v>4118.5600000000004</v>
      </c>
      <c r="D789" t="str">
        <f>INDEX('Amazon Data Set'!F:F,MATCH(Vlookup!A789,'Amazon Data Set'!A:A,0))</f>
        <v>Bhubaneswar</v>
      </c>
    </row>
    <row r="790" spans="1:4">
      <c r="A790" s="16" t="s">
        <v>2051</v>
      </c>
      <c r="B790">
        <f>VLOOKUP(A790,Amazon_Data_Set[],20,FALSE)</f>
        <v>35558.800000000003</v>
      </c>
      <c r="C790">
        <f>_xlfn.XLOOKUP(Vlookup!A790,Amazon_Data_Set[Order ID],Amazon_Data_Set[Profit])</f>
        <v>10312.44</v>
      </c>
      <c r="D790" t="str">
        <f>INDEX('Amazon Data Set'!F:F,MATCH(Vlookup!A790,'Amazon Data Set'!A:A,0))</f>
        <v>Kochi</v>
      </c>
    </row>
    <row r="791" spans="1:4">
      <c r="A791" s="17" t="s">
        <v>2053</v>
      </c>
      <c r="B791">
        <f>VLOOKUP(A791,Amazon_Data_Set[],20,FALSE)</f>
        <v>9916</v>
      </c>
      <c r="C791">
        <f>_xlfn.XLOOKUP(Vlookup!A791,Amazon_Data_Set[Order ID],Amazon_Data_Set[Profit])</f>
        <v>2350.48</v>
      </c>
      <c r="D791" t="str">
        <f>INDEX('Amazon Data Set'!F:F,MATCH(Vlookup!A791,'Amazon Data Set'!A:A,0))</f>
        <v>Jaipur</v>
      </c>
    </row>
    <row r="792" spans="1:4">
      <c r="A792" s="16" t="s">
        <v>2055</v>
      </c>
      <c r="B792">
        <f>VLOOKUP(A792,Amazon_Data_Set[],20,FALSE)</f>
        <v>1145.0999999999999</v>
      </c>
      <c r="C792">
        <f>_xlfn.XLOOKUP(Vlookup!A792,Amazon_Data_Set[Order ID],Amazon_Data_Set[Profit])</f>
        <v>249.54</v>
      </c>
      <c r="D792" t="str">
        <f>INDEX('Amazon Data Set'!F:F,MATCH(Vlookup!A792,'Amazon Data Set'!A:A,0))</f>
        <v>Ahmedabad</v>
      </c>
    </row>
    <row r="793" spans="1:4">
      <c r="A793" s="17" t="s">
        <v>2057</v>
      </c>
      <c r="B793">
        <f>VLOOKUP(A793,Amazon_Data_Set[],20,FALSE)</f>
        <v>26944.37</v>
      </c>
      <c r="C793">
        <f>_xlfn.XLOOKUP(Vlookup!A793,Amazon_Data_Set[Order ID],Amazon_Data_Set[Profit])</f>
        <v>12512.58</v>
      </c>
      <c r="D793" t="str">
        <f>INDEX('Amazon Data Set'!F:F,MATCH(Vlookup!A793,'Amazon Data Set'!A:A,0))</f>
        <v>Ahmedabad</v>
      </c>
    </row>
    <row r="794" spans="1:4">
      <c r="A794" s="16" t="s">
        <v>2059</v>
      </c>
      <c r="B794">
        <f>VLOOKUP(A794,Amazon_Data_Set[],20,FALSE)</f>
        <v>2954.28</v>
      </c>
      <c r="C794">
        <f>_xlfn.XLOOKUP(Vlookup!A794,Amazon_Data_Set[Order ID],Amazon_Data_Set[Profit])</f>
        <v>830.29</v>
      </c>
      <c r="D794" t="str">
        <f>INDEX('Amazon Data Set'!F:F,MATCH(Vlookup!A794,'Amazon Data Set'!A:A,0))</f>
        <v>Patna</v>
      </c>
    </row>
    <row r="795" spans="1:4">
      <c r="A795" s="17" t="s">
        <v>2061</v>
      </c>
      <c r="B795">
        <f>VLOOKUP(A795,Amazon_Data_Set[],20,FALSE)</f>
        <v>3378</v>
      </c>
      <c r="C795">
        <f>_xlfn.XLOOKUP(Vlookup!A795,Amazon_Data_Set[Order ID],Amazon_Data_Set[Profit])</f>
        <v>1122.55</v>
      </c>
      <c r="D795" t="str">
        <f>INDEX('Amazon Data Set'!F:F,MATCH(Vlookup!A795,'Amazon Data Set'!A:A,0))</f>
        <v>Kolkata</v>
      </c>
    </row>
    <row r="796" spans="1:4">
      <c r="A796" s="16" t="s">
        <v>2063</v>
      </c>
      <c r="B796">
        <f>VLOOKUP(A796,Amazon_Data_Set[],20,FALSE)</f>
        <v>156.19999999999999</v>
      </c>
      <c r="C796">
        <f>_xlfn.XLOOKUP(Vlookup!A796,Amazon_Data_Set[Order ID],Amazon_Data_Set[Profit])</f>
        <v>-172.78</v>
      </c>
      <c r="D796" t="str">
        <f>INDEX('Amazon Data Set'!F:F,MATCH(Vlookup!A796,'Amazon Data Set'!A:A,0))</f>
        <v>New Delhi</v>
      </c>
    </row>
    <row r="797" spans="1:4">
      <c r="A797" s="17" t="s">
        <v>2065</v>
      </c>
      <c r="B797">
        <f>VLOOKUP(A797,Amazon_Data_Set[],20,FALSE)</f>
        <v>1050.27</v>
      </c>
      <c r="C797">
        <f>_xlfn.XLOOKUP(Vlookup!A797,Amazon_Data_Set[Order ID],Amazon_Data_Set[Profit])</f>
        <v>375.27</v>
      </c>
      <c r="D797" t="str">
        <f>INDEX('Amazon Data Set'!F:F,MATCH(Vlookup!A797,'Amazon Data Set'!A:A,0))</f>
        <v>Jaipur</v>
      </c>
    </row>
    <row r="798" spans="1:4">
      <c r="A798" s="16" t="s">
        <v>2068</v>
      </c>
      <c r="B798">
        <f>VLOOKUP(A798,Amazon_Data_Set[],20,FALSE)</f>
        <v>7762.78</v>
      </c>
      <c r="C798">
        <f>_xlfn.XLOOKUP(Vlookup!A798,Amazon_Data_Set[Order ID],Amazon_Data_Set[Profit])</f>
        <v>3047.59</v>
      </c>
      <c r="D798" t="str">
        <f>INDEX('Amazon Data Set'!F:F,MATCH(Vlookup!A798,'Amazon Data Set'!A:A,0))</f>
        <v>Pune</v>
      </c>
    </row>
    <row r="799" spans="1:4">
      <c r="A799" s="17" t="s">
        <v>2070</v>
      </c>
      <c r="B799">
        <f>VLOOKUP(A799,Amazon_Data_Set[],20,FALSE)</f>
        <v>2677.72</v>
      </c>
      <c r="C799">
        <f>_xlfn.XLOOKUP(Vlookup!A799,Amazon_Data_Set[Order ID],Amazon_Data_Set[Profit])</f>
        <v>918.66</v>
      </c>
      <c r="D799" t="str">
        <f>INDEX('Amazon Data Set'!F:F,MATCH(Vlookup!A799,'Amazon Data Set'!A:A,0))</f>
        <v>Jaipur</v>
      </c>
    </row>
    <row r="800" spans="1:4">
      <c r="A800" s="16" t="s">
        <v>2072</v>
      </c>
      <c r="B800">
        <f>VLOOKUP(A800,Amazon_Data_Set[],20,FALSE)</f>
        <v>1171.8</v>
      </c>
      <c r="C800">
        <f>_xlfn.XLOOKUP(Vlookup!A800,Amazon_Data_Set[Order ID],Amazon_Data_Set[Profit])</f>
        <v>56.49</v>
      </c>
      <c r="D800" t="str">
        <f>INDEX('Amazon Data Set'!F:F,MATCH(Vlookup!A800,'Amazon Data Set'!A:A,0))</f>
        <v>Jaipur</v>
      </c>
    </row>
    <row r="801" spans="1:4">
      <c r="A801" s="17" t="s">
        <v>2074</v>
      </c>
      <c r="B801">
        <f>VLOOKUP(A801,Amazon_Data_Set[],20,FALSE)</f>
        <v>4044.99</v>
      </c>
      <c r="C801">
        <f>_xlfn.XLOOKUP(Vlookup!A801,Amazon_Data_Set[Order ID],Amazon_Data_Set[Profit])</f>
        <v>1005.71</v>
      </c>
      <c r="D801" t="str">
        <f>INDEX('Amazon Data Set'!F:F,MATCH(Vlookup!A801,'Amazon Data Set'!A:A,0))</f>
        <v>Chennai</v>
      </c>
    </row>
    <row r="802" spans="1:4">
      <c r="A802" s="16" t="s">
        <v>2076</v>
      </c>
      <c r="B802">
        <f>VLOOKUP(A802,Amazon_Data_Set[],20,FALSE)</f>
        <v>6159.64</v>
      </c>
      <c r="C802">
        <f>_xlfn.XLOOKUP(Vlookup!A802,Amazon_Data_Set[Order ID],Amazon_Data_Set[Profit])</f>
        <v>1007.73</v>
      </c>
      <c r="D802" t="str">
        <f>INDEX('Amazon Data Set'!F:F,MATCH(Vlookup!A802,'Amazon Data Set'!A:A,0))</f>
        <v>New Delhi</v>
      </c>
    </row>
    <row r="803" spans="1:4">
      <c r="A803" s="17" t="s">
        <v>2078</v>
      </c>
      <c r="B803">
        <f>VLOOKUP(A803,Amazon_Data_Set[],20,FALSE)</f>
        <v>835.04</v>
      </c>
      <c r="C803">
        <f>_xlfn.XLOOKUP(Vlookup!A803,Amazon_Data_Set[Order ID],Amazon_Data_Set[Profit])</f>
        <v>337.51</v>
      </c>
      <c r="D803" t="str">
        <f>INDEX('Amazon Data Set'!F:F,MATCH(Vlookup!A803,'Amazon Data Set'!A:A,0))</f>
        <v>Ludhiana</v>
      </c>
    </row>
    <row r="804" spans="1:4">
      <c r="A804" s="16" t="s">
        <v>2080</v>
      </c>
      <c r="B804">
        <f>VLOOKUP(A804,Amazon_Data_Set[],20,FALSE)</f>
        <v>3992</v>
      </c>
      <c r="C804">
        <f>_xlfn.XLOOKUP(Vlookup!A804,Amazon_Data_Set[Order ID],Amazon_Data_Set[Profit])</f>
        <v>1681.91</v>
      </c>
      <c r="D804" t="str">
        <f>INDEX('Amazon Data Set'!F:F,MATCH(Vlookup!A804,'Amazon Data Set'!A:A,0))</f>
        <v>Ludhiana</v>
      </c>
    </row>
    <row r="805" spans="1:4">
      <c r="A805" s="17" t="s">
        <v>2083</v>
      </c>
      <c r="B805">
        <f>VLOOKUP(A805,Amazon_Data_Set[],20,FALSE)</f>
        <v>4682.22</v>
      </c>
      <c r="C805">
        <f>_xlfn.XLOOKUP(Vlookup!A805,Amazon_Data_Set[Order ID],Amazon_Data_Set[Profit])</f>
        <v>795.47</v>
      </c>
      <c r="D805" t="str">
        <f>INDEX('Amazon Data Set'!F:F,MATCH(Vlookup!A805,'Amazon Data Set'!A:A,0))</f>
        <v>Pune</v>
      </c>
    </row>
    <row r="806" spans="1:4">
      <c r="A806" s="16" t="s">
        <v>2085</v>
      </c>
      <c r="B806">
        <f>VLOOKUP(A806,Amazon_Data_Set[],20,FALSE)</f>
        <v>16144.75</v>
      </c>
      <c r="C806">
        <f>_xlfn.XLOOKUP(Vlookup!A806,Amazon_Data_Set[Order ID],Amazon_Data_Set[Profit])</f>
        <v>2669.84</v>
      </c>
      <c r="D806" t="str">
        <f>INDEX('Amazon Data Set'!F:F,MATCH(Vlookup!A806,'Amazon Data Set'!A:A,0))</f>
        <v>Ludhiana</v>
      </c>
    </row>
    <row r="807" spans="1:4">
      <c r="A807" s="17" t="s">
        <v>2087</v>
      </c>
      <c r="B807">
        <f>VLOOKUP(A807,Amazon_Data_Set[],20,FALSE)</f>
        <v>80314.259999999995</v>
      </c>
      <c r="C807">
        <f>_xlfn.XLOOKUP(Vlookup!A807,Amazon_Data_Set[Order ID],Amazon_Data_Set[Profit])</f>
        <v>29098.720000000001</v>
      </c>
      <c r="D807" t="str">
        <f>INDEX('Amazon Data Set'!F:F,MATCH(Vlookup!A807,'Amazon Data Set'!A:A,0))</f>
        <v>Kochi</v>
      </c>
    </row>
    <row r="808" spans="1:4">
      <c r="A808" s="16" t="s">
        <v>2089</v>
      </c>
      <c r="B808">
        <f>VLOOKUP(A808,Amazon_Data_Set[],20,FALSE)</f>
        <v>5670.76</v>
      </c>
      <c r="C808">
        <f>_xlfn.XLOOKUP(Vlookup!A808,Amazon_Data_Set[Order ID],Amazon_Data_Set[Profit])</f>
        <v>2064.31</v>
      </c>
      <c r="D808" t="str">
        <f>INDEX('Amazon Data Set'!F:F,MATCH(Vlookup!A808,'Amazon Data Set'!A:A,0))</f>
        <v>Ludhiana</v>
      </c>
    </row>
    <row r="809" spans="1:4">
      <c r="A809" s="17" t="s">
        <v>2091</v>
      </c>
      <c r="B809">
        <f>VLOOKUP(A809,Amazon_Data_Set[],20,FALSE)</f>
        <v>102816.09</v>
      </c>
      <c r="C809">
        <f>_xlfn.XLOOKUP(Vlookup!A809,Amazon_Data_Set[Order ID],Amazon_Data_Set[Profit])</f>
        <v>28287.119999999999</v>
      </c>
      <c r="D809" t="str">
        <f>INDEX('Amazon Data Set'!F:F,MATCH(Vlookup!A809,'Amazon Data Set'!A:A,0))</f>
        <v>Kolkata</v>
      </c>
    </row>
    <row r="810" spans="1:4">
      <c r="A810" s="16" t="s">
        <v>2093</v>
      </c>
      <c r="B810">
        <f>VLOOKUP(A810,Amazon_Data_Set[],20,FALSE)</f>
        <v>16363.2</v>
      </c>
      <c r="C810">
        <f>_xlfn.XLOOKUP(Vlookup!A810,Amazon_Data_Set[Order ID],Amazon_Data_Set[Profit])</f>
        <v>5102.43</v>
      </c>
      <c r="D810" t="str">
        <f>INDEX('Amazon Data Set'!F:F,MATCH(Vlookup!A810,'Amazon Data Set'!A:A,0))</f>
        <v>Bhubaneswar</v>
      </c>
    </row>
    <row r="811" spans="1:4">
      <c r="A811" s="17" t="s">
        <v>2095</v>
      </c>
      <c r="B811">
        <f>VLOOKUP(A811,Amazon_Data_Set[],20,FALSE)</f>
        <v>8572.25</v>
      </c>
      <c r="C811">
        <f>_xlfn.XLOOKUP(Vlookup!A811,Amazon_Data_Set[Order ID],Amazon_Data_Set[Profit])</f>
        <v>1994.59</v>
      </c>
      <c r="D811" t="str">
        <f>INDEX('Amazon Data Set'!F:F,MATCH(Vlookup!A811,'Amazon Data Set'!A:A,0))</f>
        <v>Noida</v>
      </c>
    </row>
    <row r="812" spans="1:4">
      <c r="A812" s="16" t="s">
        <v>2097</v>
      </c>
      <c r="B812">
        <f>VLOOKUP(A812,Amazon_Data_Set[],20,FALSE)</f>
        <v>20646.900000000001</v>
      </c>
      <c r="C812">
        <f>_xlfn.XLOOKUP(Vlookup!A812,Amazon_Data_Set[Order ID],Amazon_Data_Set[Profit])</f>
        <v>6502.88</v>
      </c>
      <c r="D812" t="str">
        <f>INDEX('Amazon Data Set'!F:F,MATCH(Vlookup!A812,'Amazon Data Set'!A:A,0))</f>
        <v>Jaipur</v>
      </c>
    </row>
    <row r="813" spans="1:4">
      <c r="A813" s="17" t="s">
        <v>2099</v>
      </c>
      <c r="B813">
        <f>VLOOKUP(A813,Amazon_Data_Set[],20,FALSE)</f>
        <v>6847.38</v>
      </c>
      <c r="C813">
        <f>_xlfn.XLOOKUP(Vlookup!A813,Amazon_Data_Set[Order ID],Amazon_Data_Set[Profit])</f>
        <v>1788.7</v>
      </c>
      <c r="D813" t="str">
        <f>INDEX('Amazon Data Set'!F:F,MATCH(Vlookup!A813,'Amazon Data Set'!A:A,0))</f>
        <v>Chennai</v>
      </c>
    </row>
    <row r="814" spans="1:4">
      <c r="A814" s="16" t="s">
        <v>2101</v>
      </c>
      <c r="B814">
        <f>VLOOKUP(A814,Amazon_Data_Set[],20,FALSE)</f>
        <v>3077.7</v>
      </c>
      <c r="C814">
        <f>_xlfn.XLOOKUP(Vlookup!A814,Amazon_Data_Set[Order ID],Amazon_Data_Set[Profit])</f>
        <v>1132.04</v>
      </c>
      <c r="D814" t="str">
        <f>INDEX('Amazon Data Set'!F:F,MATCH(Vlookup!A814,'Amazon Data Set'!A:A,0))</f>
        <v>Kolkata</v>
      </c>
    </row>
    <row r="815" spans="1:4">
      <c r="A815" s="17" t="s">
        <v>2103</v>
      </c>
      <c r="B815">
        <f>VLOOKUP(A815,Amazon_Data_Set[],20,FALSE)</f>
        <v>87608.76</v>
      </c>
      <c r="C815">
        <f>_xlfn.XLOOKUP(Vlookup!A815,Amazon_Data_Set[Order ID],Amazon_Data_Set[Profit])</f>
        <v>37670.239999999998</v>
      </c>
      <c r="D815" t="str">
        <f>INDEX('Amazon Data Set'!F:F,MATCH(Vlookup!A815,'Amazon Data Set'!A:A,0))</f>
        <v>Gurugram</v>
      </c>
    </row>
    <row r="816" spans="1:4">
      <c r="A816" s="16" t="s">
        <v>2105</v>
      </c>
      <c r="B816">
        <f>VLOOKUP(A816,Amazon_Data_Set[],20,FALSE)</f>
        <v>5288.04</v>
      </c>
      <c r="C816">
        <f>_xlfn.XLOOKUP(Vlookup!A816,Amazon_Data_Set[Order ID],Amazon_Data_Set[Profit])</f>
        <v>995.23</v>
      </c>
      <c r="D816" t="str">
        <f>INDEX('Amazon Data Set'!F:F,MATCH(Vlookup!A816,'Amazon Data Set'!A:A,0))</f>
        <v>Gurugram</v>
      </c>
    </row>
    <row r="817" spans="1:4">
      <c r="A817" s="17" t="s">
        <v>2107</v>
      </c>
      <c r="B817">
        <f>VLOOKUP(A817,Amazon_Data_Set[],20,FALSE)</f>
        <v>226846.4</v>
      </c>
      <c r="C817">
        <f>_xlfn.XLOOKUP(Vlookup!A817,Amazon_Data_Set[Order ID],Amazon_Data_Set[Profit])</f>
        <v>97068.86</v>
      </c>
      <c r="D817" t="str">
        <f>INDEX('Amazon Data Set'!F:F,MATCH(Vlookup!A817,'Amazon Data Set'!A:A,0))</f>
        <v>Patna</v>
      </c>
    </row>
    <row r="818" spans="1:4">
      <c r="A818" s="16" t="s">
        <v>2109</v>
      </c>
      <c r="B818">
        <f>VLOOKUP(A818,Amazon_Data_Set[],20,FALSE)</f>
        <v>74311.759999999995</v>
      </c>
      <c r="C818">
        <f>_xlfn.XLOOKUP(Vlookup!A818,Amazon_Data_Set[Order ID],Amazon_Data_Set[Profit])</f>
        <v>24742.19</v>
      </c>
      <c r="D818" t="str">
        <f>INDEX('Amazon Data Set'!F:F,MATCH(Vlookup!A818,'Amazon Data Set'!A:A,0))</f>
        <v>New Delhi</v>
      </c>
    </row>
    <row r="819" spans="1:4">
      <c r="A819" s="17" t="s">
        <v>2111</v>
      </c>
      <c r="B819">
        <f>VLOOKUP(A819,Amazon_Data_Set[],20,FALSE)</f>
        <v>443.04</v>
      </c>
      <c r="C819">
        <f>_xlfn.XLOOKUP(Vlookup!A819,Amazon_Data_Set[Order ID],Amazon_Data_Set[Profit])</f>
        <v>91.16</v>
      </c>
      <c r="D819" t="str">
        <f>INDEX('Amazon Data Set'!F:F,MATCH(Vlookup!A819,'Amazon Data Set'!A:A,0))</f>
        <v>Noida</v>
      </c>
    </row>
    <row r="820" spans="1:4">
      <c r="A820" s="16" t="s">
        <v>2113</v>
      </c>
      <c r="B820">
        <f>VLOOKUP(A820,Amazon_Data_Set[],20,FALSE)</f>
        <v>252.57</v>
      </c>
      <c r="C820">
        <f>_xlfn.XLOOKUP(Vlookup!A820,Amazon_Data_Set[Order ID],Amazon_Data_Set[Profit])</f>
        <v>-163.75</v>
      </c>
      <c r="D820" t="str">
        <f>INDEX('Amazon Data Set'!F:F,MATCH(Vlookup!A820,'Amazon Data Set'!A:A,0))</f>
        <v>Guwahati</v>
      </c>
    </row>
    <row r="821" spans="1:4">
      <c r="A821" s="17" t="s">
        <v>2115</v>
      </c>
      <c r="B821">
        <f>VLOOKUP(A821,Amazon_Data_Set[],20,FALSE)</f>
        <v>728.4</v>
      </c>
      <c r="C821">
        <f>_xlfn.XLOOKUP(Vlookup!A821,Amazon_Data_Set[Order ID],Amazon_Data_Set[Profit])</f>
        <v>149.18</v>
      </c>
      <c r="D821" t="str">
        <f>INDEX('Amazon Data Set'!F:F,MATCH(Vlookup!A821,'Amazon Data Set'!A:A,0))</f>
        <v>Kolkata</v>
      </c>
    </row>
    <row r="822" spans="1:4">
      <c r="A822" s="16" t="s">
        <v>2117</v>
      </c>
      <c r="B822">
        <f>VLOOKUP(A822,Amazon_Data_Set[],20,FALSE)</f>
        <v>1718.4</v>
      </c>
      <c r="C822">
        <f>_xlfn.XLOOKUP(Vlookup!A822,Amazon_Data_Set[Order ID],Amazon_Data_Set[Profit])</f>
        <v>547.03</v>
      </c>
      <c r="D822" t="str">
        <f>INDEX('Amazon Data Set'!F:F,MATCH(Vlookup!A822,'Amazon Data Set'!A:A,0))</f>
        <v>Bengaluru</v>
      </c>
    </row>
    <row r="823" spans="1:4">
      <c r="A823" s="17" t="s">
        <v>2119</v>
      </c>
      <c r="B823">
        <f>VLOOKUP(A823,Amazon_Data_Set[],20,FALSE)</f>
        <v>24099.75</v>
      </c>
      <c r="C823">
        <f>_xlfn.XLOOKUP(Vlookup!A823,Amazon_Data_Set[Order ID],Amazon_Data_Set[Profit])</f>
        <v>8163.02</v>
      </c>
      <c r="D823" t="str">
        <f>INDEX('Amazon Data Set'!F:F,MATCH(Vlookup!A823,'Amazon Data Set'!A:A,0))</f>
        <v>Mysuru</v>
      </c>
    </row>
    <row r="824" spans="1:4">
      <c r="A824" s="16" t="s">
        <v>2121</v>
      </c>
      <c r="B824">
        <f>VLOOKUP(A824,Amazon_Data_Set[],20,FALSE)</f>
        <v>564.39</v>
      </c>
      <c r="C824">
        <f>_xlfn.XLOOKUP(Vlookup!A824,Amazon_Data_Set[Order ID],Amazon_Data_Set[Profit])</f>
        <v>144.54</v>
      </c>
      <c r="D824" t="str">
        <f>INDEX('Amazon Data Set'!F:F,MATCH(Vlookup!A824,'Amazon Data Set'!A:A,0))</f>
        <v>Bengaluru</v>
      </c>
    </row>
    <row r="825" spans="1:4">
      <c r="A825" s="17" t="s">
        <v>2123</v>
      </c>
      <c r="B825">
        <f>VLOOKUP(A825,Amazon_Data_Set[],20,FALSE)</f>
        <v>276.81</v>
      </c>
      <c r="C825">
        <f>_xlfn.XLOOKUP(Vlookup!A825,Amazon_Data_Set[Order ID],Amazon_Data_Set[Profit])</f>
        <v>-150.13999999999999</v>
      </c>
      <c r="D825" t="str">
        <f>INDEX('Amazon Data Set'!F:F,MATCH(Vlookup!A825,'Amazon Data Set'!A:A,0))</f>
        <v>Patna</v>
      </c>
    </row>
    <row r="826" spans="1:4">
      <c r="A826" s="16" t="s">
        <v>2125</v>
      </c>
      <c r="B826">
        <f>VLOOKUP(A826,Amazon_Data_Set[],20,FALSE)</f>
        <v>4150.08</v>
      </c>
      <c r="C826">
        <f>_xlfn.XLOOKUP(Vlookup!A826,Amazon_Data_Set[Order ID],Amazon_Data_Set[Profit])</f>
        <v>609.01</v>
      </c>
      <c r="D826" t="str">
        <f>INDEX('Amazon Data Set'!F:F,MATCH(Vlookup!A826,'Amazon Data Set'!A:A,0))</f>
        <v>Kolkata</v>
      </c>
    </row>
    <row r="827" spans="1:4">
      <c r="A827" s="17" t="s">
        <v>2127</v>
      </c>
      <c r="B827">
        <f>VLOOKUP(A827,Amazon_Data_Set[],20,FALSE)</f>
        <v>21882.15</v>
      </c>
      <c r="C827">
        <f>_xlfn.XLOOKUP(Vlookup!A827,Amazon_Data_Set[Order ID],Amazon_Data_Set[Profit])</f>
        <v>6923.3</v>
      </c>
      <c r="D827" t="str">
        <f>INDEX('Amazon Data Set'!F:F,MATCH(Vlookup!A827,'Amazon Data Set'!A:A,0))</f>
        <v>Bhubaneswar</v>
      </c>
    </row>
    <row r="828" spans="1:4">
      <c r="A828" s="16" t="s">
        <v>2129</v>
      </c>
      <c r="B828">
        <f>VLOOKUP(A828,Amazon_Data_Set[],20,FALSE)</f>
        <v>9702.2000000000007</v>
      </c>
      <c r="C828">
        <f>_xlfn.XLOOKUP(Vlookup!A828,Amazon_Data_Set[Order ID],Amazon_Data_Set[Profit])</f>
        <v>2537.81</v>
      </c>
      <c r="D828" t="str">
        <f>INDEX('Amazon Data Set'!F:F,MATCH(Vlookup!A828,'Amazon Data Set'!A:A,0))</f>
        <v>Mumbai</v>
      </c>
    </row>
    <row r="829" spans="1:4">
      <c r="A829" s="17" t="s">
        <v>2131</v>
      </c>
      <c r="B829">
        <f>VLOOKUP(A829,Amazon_Data_Set[],20,FALSE)</f>
        <v>903.1</v>
      </c>
      <c r="C829">
        <f>_xlfn.XLOOKUP(Vlookup!A829,Amazon_Data_Set[Order ID],Amazon_Data_Set[Profit])</f>
        <v>25.75</v>
      </c>
      <c r="D829" t="str">
        <f>INDEX('Amazon Data Set'!F:F,MATCH(Vlookup!A829,'Amazon Data Set'!A:A,0))</f>
        <v>Ludhiana</v>
      </c>
    </row>
    <row r="830" spans="1:4">
      <c r="A830" s="16" t="s">
        <v>2133</v>
      </c>
      <c r="B830">
        <f>VLOOKUP(A830,Amazon_Data_Set[],20,FALSE)</f>
        <v>4488.54</v>
      </c>
      <c r="C830">
        <f>_xlfn.XLOOKUP(Vlookup!A830,Amazon_Data_Set[Order ID],Amazon_Data_Set[Profit])</f>
        <v>1438.34</v>
      </c>
      <c r="D830" t="str">
        <f>INDEX('Amazon Data Set'!F:F,MATCH(Vlookup!A830,'Amazon Data Set'!A:A,0))</f>
        <v>Bhubaneswar</v>
      </c>
    </row>
    <row r="831" spans="1:4">
      <c r="A831" s="17" t="s">
        <v>2135</v>
      </c>
      <c r="B831">
        <f>VLOOKUP(A831,Amazon_Data_Set[],20,FALSE)</f>
        <v>4040.73</v>
      </c>
      <c r="C831">
        <f>_xlfn.XLOOKUP(Vlookup!A831,Amazon_Data_Set[Order ID],Amazon_Data_Set[Profit])</f>
        <v>875.86</v>
      </c>
      <c r="D831" t="str">
        <f>INDEX('Amazon Data Set'!F:F,MATCH(Vlookup!A831,'Amazon Data Set'!A:A,0))</f>
        <v>Hyderabad</v>
      </c>
    </row>
    <row r="832" spans="1:4">
      <c r="A832" s="16" t="s">
        <v>2137</v>
      </c>
      <c r="B832">
        <f>VLOOKUP(A832,Amazon_Data_Set[],20,FALSE)</f>
        <v>32276.3</v>
      </c>
      <c r="C832">
        <f>_xlfn.XLOOKUP(Vlookup!A832,Amazon_Data_Set[Order ID],Amazon_Data_Set[Profit])</f>
        <v>11045.04</v>
      </c>
      <c r="D832" t="str">
        <f>INDEX('Amazon Data Set'!F:F,MATCH(Vlookup!A832,'Amazon Data Set'!A:A,0))</f>
        <v>Jaipur</v>
      </c>
    </row>
    <row r="833" spans="1:4">
      <c r="A833" s="17" t="s">
        <v>2139</v>
      </c>
      <c r="B833">
        <f>VLOOKUP(A833,Amazon_Data_Set[],20,FALSE)</f>
        <v>6472.26</v>
      </c>
      <c r="C833">
        <f>_xlfn.XLOOKUP(Vlookup!A833,Amazon_Data_Set[Order ID],Amazon_Data_Set[Profit])</f>
        <v>2298.35</v>
      </c>
      <c r="D833" t="str">
        <f>INDEX('Amazon Data Set'!F:F,MATCH(Vlookup!A833,'Amazon Data Set'!A:A,0))</f>
        <v>Patna</v>
      </c>
    </row>
    <row r="834" spans="1:4">
      <c r="A834" s="16" t="s">
        <v>2141</v>
      </c>
      <c r="B834">
        <f>VLOOKUP(A834,Amazon_Data_Set[],20,FALSE)</f>
        <v>51620.9</v>
      </c>
      <c r="C834">
        <f>_xlfn.XLOOKUP(Vlookup!A834,Amazon_Data_Set[Order ID],Amazon_Data_Set[Profit])</f>
        <v>16551.32</v>
      </c>
      <c r="D834" t="str">
        <f>INDEX('Amazon Data Set'!F:F,MATCH(Vlookup!A834,'Amazon Data Set'!A:A,0))</f>
        <v>Hyderabad</v>
      </c>
    </row>
    <row r="835" spans="1:4">
      <c r="A835" s="17" t="s">
        <v>2143</v>
      </c>
      <c r="B835">
        <f>VLOOKUP(A835,Amazon_Data_Set[],20,FALSE)</f>
        <v>1768.86</v>
      </c>
      <c r="C835">
        <f>_xlfn.XLOOKUP(Vlookup!A835,Amazon_Data_Set[Order ID],Amazon_Data_Set[Profit])</f>
        <v>523.13</v>
      </c>
      <c r="D835" t="str">
        <f>INDEX('Amazon Data Set'!F:F,MATCH(Vlookup!A835,'Amazon Data Set'!A:A,0))</f>
        <v>Mysuru</v>
      </c>
    </row>
    <row r="836" spans="1:4">
      <c r="A836" s="16" t="s">
        <v>2145</v>
      </c>
      <c r="B836">
        <f>VLOOKUP(A836,Amazon_Data_Set[],20,FALSE)</f>
        <v>2307.98</v>
      </c>
      <c r="C836">
        <f>_xlfn.XLOOKUP(Vlookup!A836,Amazon_Data_Set[Order ID],Amazon_Data_Set[Profit])</f>
        <v>667.94</v>
      </c>
      <c r="D836" t="str">
        <f>INDEX('Amazon Data Set'!F:F,MATCH(Vlookup!A836,'Amazon Data Set'!A:A,0))</f>
        <v>Jaipur</v>
      </c>
    </row>
    <row r="837" spans="1:4">
      <c r="A837" s="17" t="s">
        <v>2147</v>
      </c>
      <c r="B837">
        <f>VLOOKUP(A837,Amazon_Data_Set[],20,FALSE)</f>
        <v>3733.8</v>
      </c>
      <c r="C837">
        <f>_xlfn.XLOOKUP(Vlookup!A837,Amazon_Data_Set[Order ID],Amazon_Data_Set[Profit])</f>
        <v>546.39</v>
      </c>
      <c r="D837" t="str">
        <f>INDEX('Amazon Data Set'!F:F,MATCH(Vlookup!A837,'Amazon Data Set'!A:A,0))</f>
        <v>Jaipur</v>
      </c>
    </row>
    <row r="838" spans="1:4">
      <c r="A838" s="16" t="s">
        <v>2149</v>
      </c>
      <c r="B838">
        <f>VLOOKUP(A838,Amazon_Data_Set[],20,FALSE)</f>
        <v>9645.7800000000007</v>
      </c>
      <c r="C838">
        <f>_xlfn.XLOOKUP(Vlookup!A838,Amazon_Data_Set[Order ID],Amazon_Data_Set[Profit])</f>
        <v>2085.08</v>
      </c>
      <c r="D838" t="str">
        <f>INDEX('Amazon Data Set'!F:F,MATCH(Vlookup!A838,'Amazon Data Set'!A:A,0))</f>
        <v>Jaipur</v>
      </c>
    </row>
    <row r="839" spans="1:4">
      <c r="A839" s="17" t="s">
        <v>2151</v>
      </c>
      <c r="B839">
        <f>VLOOKUP(A839,Amazon_Data_Set[],20,FALSE)</f>
        <v>18170.5</v>
      </c>
      <c r="C839">
        <f>_xlfn.XLOOKUP(Vlookup!A839,Amazon_Data_Set[Order ID],Amazon_Data_Set[Profit])</f>
        <v>6759.87</v>
      </c>
      <c r="D839" t="str">
        <f>INDEX('Amazon Data Set'!F:F,MATCH(Vlookup!A839,'Amazon Data Set'!A:A,0))</f>
        <v>Pune</v>
      </c>
    </row>
    <row r="840" spans="1:4">
      <c r="A840" s="16" t="s">
        <v>2153</v>
      </c>
      <c r="B840">
        <f>VLOOKUP(A840,Amazon_Data_Set[],20,FALSE)</f>
        <v>10174.040000000001</v>
      </c>
      <c r="C840">
        <f>_xlfn.XLOOKUP(Vlookup!A840,Amazon_Data_Set[Order ID],Amazon_Data_Set[Profit])</f>
        <v>4163.88</v>
      </c>
      <c r="D840" t="str">
        <f>INDEX('Amazon Data Set'!F:F,MATCH(Vlookup!A840,'Amazon Data Set'!A:A,0))</f>
        <v>Gurugram</v>
      </c>
    </row>
    <row r="841" spans="1:4">
      <c r="A841" s="17" t="s">
        <v>2155</v>
      </c>
      <c r="B841">
        <f>VLOOKUP(A841,Amazon_Data_Set[],20,FALSE)</f>
        <v>1646.47</v>
      </c>
      <c r="C841">
        <f>_xlfn.XLOOKUP(Vlookup!A841,Amazon_Data_Set[Order ID],Amazon_Data_Set[Profit])</f>
        <v>458.75</v>
      </c>
      <c r="D841" t="str">
        <f>INDEX('Amazon Data Set'!F:F,MATCH(Vlookup!A841,'Amazon Data Set'!A:A,0))</f>
        <v>Bengaluru</v>
      </c>
    </row>
    <row r="842" spans="1:4">
      <c r="A842" s="16" t="s">
        <v>2157</v>
      </c>
      <c r="B842">
        <f>VLOOKUP(A842,Amazon_Data_Set[],20,FALSE)</f>
        <v>19960.05</v>
      </c>
      <c r="C842">
        <f>_xlfn.XLOOKUP(Vlookup!A842,Amazon_Data_Set[Order ID],Amazon_Data_Set[Profit])</f>
        <v>3838.7</v>
      </c>
      <c r="D842" t="str">
        <f>INDEX('Amazon Data Set'!F:F,MATCH(Vlookup!A842,'Amazon Data Set'!A:A,0))</f>
        <v>Ludhiana</v>
      </c>
    </row>
    <row r="843" spans="1:4">
      <c r="A843" s="17" t="s">
        <v>2159</v>
      </c>
      <c r="B843">
        <f>VLOOKUP(A843,Amazon_Data_Set[],20,FALSE)</f>
        <v>351.56</v>
      </c>
      <c r="C843">
        <f>_xlfn.XLOOKUP(Vlookup!A843,Amazon_Data_Set[Order ID],Amazon_Data_Set[Profit])</f>
        <v>-88.06</v>
      </c>
      <c r="D843" t="str">
        <f>INDEX('Amazon Data Set'!F:F,MATCH(Vlookup!A843,'Amazon Data Set'!A:A,0))</f>
        <v>Bhubaneswar</v>
      </c>
    </row>
    <row r="844" spans="1:4">
      <c r="A844" s="16" t="s">
        <v>2161</v>
      </c>
      <c r="B844">
        <f>VLOOKUP(A844,Amazon_Data_Set[],20,FALSE)</f>
        <v>19740.64</v>
      </c>
      <c r="C844">
        <f>_xlfn.XLOOKUP(Vlookup!A844,Amazon_Data_Set[Order ID],Amazon_Data_Set[Profit])</f>
        <v>6301.15</v>
      </c>
      <c r="D844" t="str">
        <f>INDEX('Amazon Data Set'!F:F,MATCH(Vlookup!A844,'Amazon Data Set'!A:A,0))</f>
        <v>Jaipur</v>
      </c>
    </row>
    <row r="845" spans="1:4">
      <c r="A845" s="17" t="s">
        <v>2163</v>
      </c>
      <c r="B845">
        <f>VLOOKUP(A845,Amazon_Data_Set[],20,FALSE)</f>
        <v>86567.2</v>
      </c>
      <c r="C845">
        <f>_xlfn.XLOOKUP(Vlookup!A845,Amazon_Data_Set[Order ID],Amazon_Data_Set[Profit])</f>
        <v>30079.72</v>
      </c>
      <c r="D845" t="str">
        <f>INDEX('Amazon Data Set'!F:F,MATCH(Vlookup!A845,'Amazon Data Set'!A:A,0))</f>
        <v>Kolkata</v>
      </c>
    </row>
    <row r="846" spans="1:4">
      <c r="A846" s="16" t="s">
        <v>2166</v>
      </c>
      <c r="B846">
        <f>VLOOKUP(A846,Amazon_Data_Set[],20,FALSE)</f>
        <v>3742.68</v>
      </c>
      <c r="C846">
        <f>_xlfn.XLOOKUP(Vlookup!A846,Amazon_Data_Set[Order ID],Amazon_Data_Set[Profit])</f>
        <v>716.51</v>
      </c>
      <c r="D846" t="str">
        <f>INDEX('Amazon Data Set'!F:F,MATCH(Vlookup!A846,'Amazon Data Set'!A:A,0))</f>
        <v>Ahmedabad</v>
      </c>
    </row>
    <row r="847" spans="1:4">
      <c r="A847" s="17" t="s">
        <v>2168</v>
      </c>
      <c r="B847">
        <f>VLOOKUP(A847,Amazon_Data_Set[],20,FALSE)</f>
        <v>184.09</v>
      </c>
      <c r="C847">
        <f>_xlfn.XLOOKUP(Vlookup!A847,Amazon_Data_Set[Order ID],Amazon_Data_Set[Profit])</f>
        <v>-60.95</v>
      </c>
      <c r="D847" t="str">
        <f>INDEX('Amazon Data Set'!F:F,MATCH(Vlookup!A847,'Amazon Data Set'!A:A,0))</f>
        <v>Mumbai</v>
      </c>
    </row>
    <row r="848" spans="1:4">
      <c r="A848" s="16" t="s">
        <v>2170</v>
      </c>
      <c r="B848">
        <f>VLOOKUP(A848,Amazon_Data_Set[],20,FALSE)</f>
        <v>19461.04</v>
      </c>
      <c r="C848">
        <f>_xlfn.XLOOKUP(Vlookup!A848,Amazon_Data_Set[Order ID],Amazon_Data_Set[Profit])</f>
        <v>8594.57</v>
      </c>
      <c r="D848" t="str">
        <f>INDEX('Amazon Data Set'!F:F,MATCH(Vlookup!A848,'Amazon Data Set'!A:A,0))</f>
        <v>Ludhiana</v>
      </c>
    </row>
    <row r="849" spans="1:4">
      <c r="A849" s="17" t="s">
        <v>2172</v>
      </c>
      <c r="B849">
        <f>VLOOKUP(A849,Amazon_Data_Set[],20,FALSE)</f>
        <v>11521.3</v>
      </c>
      <c r="C849">
        <f>_xlfn.XLOOKUP(Vlookup!A849,Amazon_Data_Set[Order ID],Amazon_Data_Set[Profit])</f>
        <v>2465.06</v>
      </c>
      <c r="D849" t="str">
        <f>INDEX('Amazon Data Set'!F:F,MATCH(Vlookup!A849,'Amazon Data Set'!A:A,0))</f>
        <v>Kochi</v>
      </c>
    </row>
    <row r="850" spans="1:4">
      <c r="A850" s="16" t="s">
        <v>2174</v>
      </c>
      <c r="B850">
        <f>VLOOKUP(A850,Amazon_Data_Set[],20,FALSE)</f>
        <v>500.12</v>
      </c>
      <c r="C850">
        <f>_xlfn.XLOOKUP(Vlookup!A850,Amazon_Data_Set[Order ID],Amazon_Data_Set[Profit])</f>
        <v>133.53</v>
      </c>
      <c r="D850" t="str">
        <f>INDEX('Amazon Data Set'!F:F,MATCH(Vlookup!A850,'Amazon Data Set'!A:A,0))</f>
        <v>Mysuru</v>
      </c>
    </row>
    <row r="851" spans="1:4">
      <c r="A851" s="17" t="s">
        <v>2176</v>
      </c>
      <c r="B851">
        <f>VLOOKUP(A851,Amazon_Data_Set[],20,FALSE)</f>
        <v>4102.6499999999996</v>
      </c>
      <c r="C851">
        <f>_xlfn.XLOOKUP(Vlookup!A851,Amazon_Data_Set[Order ID],Amazon_Data_Set[Profit])</f>
        <v>1007.41</v>
      </c>
      <c r="D851" t="str">
        <f>INDEX('Amazon Data Set'!F:F,MATCH(Vlookup!A851,'Amazon Data Set'!A:A,0))</f>
        <v>Kochi</v>
      </c>
    </row>
    <row r="852" spans="1:4">
      <c r="A852" s="16" t="s">
        <v>2178</v>
      </c>
      <c r="B852">
        <f>VLOOKUP(A852,Amazon_Data_Set[],20,FALSE)</f>
        <v>34009.800000000003</v>
      </c>
      <c r="C852">
        <f>_xlfn.XLOOKUP(Vlookup!A852,Amazon_Data_Set[Order ID],Amazon_Data_Set[Profit])</f>
        <v>11970.68</v>
      </c>
      <c r="D852" t="str">
        <f>INDEX('Amazon Data Set'!F:F,MATCH(Vlookup!A852,'Amazon Data Set'!A:A,0))</f>
        <v>Mumbai</v>
      </c>
    </row>
    <row r="853" spans="1:4">
      <c r="A853" s="17" t="s">
        <v>2180</v>
      </c>
      <c r="B853">
        <f>VLOOKUP(A853,Amazon_Data_Set[],20,FALSE)</f>
        <v>3063.05</v>
      </c>
      <c r="C853">
        <f>_xlfn.XLOOKUP(Vlookup!A853,Amazon_Data_Set[Order ID],Amazon_Data_Set[Profit])</f>
        <v>1357.88</v>
      </c>
      <c r="D853" t="str">
        <f>INDEX('Amazon Data Set'!F:F,MATCH(Vlookup!A853,'Amazon Data Set'!A:A,0))</f>
        <v>Mumbai</v>
      </c>
    </row>
    <row r="854" spans="1:4">
      <c r="A854" s="16" t="s">
        <v>2182</v>
      </c>
      <c r="B854">
        <f>VLOOKUP(A854,Amazon_Data_Set[],20,FALSE)</f>
        <v>1804.25</v>
      </c>
      <c r="C854">
        <f>_xlfn.XLOOKUP(Vlookup!A854,Amazon_Data_Set[Order ID],Amazon_Data_Set[Profit])</f>
        <v>425.05</v>
      </c>
      <c r="D854" t="str">
        <f>INDEX('Amazon Data Set'!F:F,MATCH(Vlookup!A854,'Amazon Data Set'!A:A,0))</f>
        <v>Patna</v>
      </c>
    </row>
    <row r="855" spans="1:4">
      <c r="A855" s="17" t="s">
        <v>2184</v>
      </c>
      <c r="B855">
        <f>VLOOKUP(A855,Amazon_Data_Set[],20,FALSE)</f>
        <v>14203.4</v>
      </c>
      <c r="C855">
        <f>_xlfn.XLOOKUP(Vlookup!A855,Amazon_Data_Set[Order ID],Amazon_Data_Set[Profit])</f>
        <v>5104.91</v>
      </c>
      <c r="D855" t="str">
        <f>INDEX('Amazon Data Set'!F:F,MATCH(Vlookup!A855,'Amazon Data Set'!A:A,0))</f>
        <v>Kolkata</v>
      </c>
    </row>
    <row r="856" spans="1:4">
      <c r="A856" s="16" t="s">
        <v>2186</v>
      </c>
      <c r="B856">
        <f>VLOOKUP(A856,Amazon_Data_Set[],20,FALSE)</f>
        <v>3193.94</v>
      </c>
      <c r="C856">
        <f>_xlfn.XLOOKUP(Vlookup!A856,Amazon_Data_Set[Order ID],Amazon_Data_Set[Profit])</f>
        <v>479.92</v>
      </c>
      <c r="D856" t="str">
        <f>INDEX('Amazon Data Set'!F:F,MATCH(Vlookup!A856,'Amazon Data Set'!A:A,0))</f>
        <v>Pune</v>
      </c>
    </row>
    <row r="857" spans="1:4">
      <c r="A857" s="17" t="s">
        <v>2188</v>
      </c>
      <c r="B857">
        <f>VLOOKUP(A857,Amazon_Data_Set[],20,FALSE)</f>
        <v>30503.58</v>
      </c>
      <c r="C857">
        <f>_xlfn.XLOOKUP(Vlookup!A857,Amazon_Data_Set[Order ID],Amazon_Data_Set[Profit])</f>
        <v>6829.77</v>
      </c>
      <c r="D857" t="str">
        <f>INDEX('Amazon Data Set'!F:F,MATCH(Vlookup!A857,'Amazon Data Set'!A:A,0))</f>
        <v>Mysuru</v>
      </c>
    </row>
    <row r="858" spans="1:4">
      <c r="A858" s="16" t="s">
        <v>2190</v>
      </c>
      <c r="B858">
        <f>VLOOKUP(A858,Amazon_Data_Set[],20,FALSE)</f>
        <v>21579.48</v>
      </c>
      <c r="C858">
        <f>_xlfn.XLOOKUP(Vlookup!A858,Amazon_Data_Set[Order ID],Amazon_Data_Set[Profit])</f>
        <v>3367.72</v>
      </c>
      <c r="D858" t="str">
        <f>INDEX('Amazon Data Set'!F:F,MATCH(Vlookup!A858,'Amazon Data Set'!A:A,0))</f>
        <v>Kolkata</v>
      </c>
    </row>
    <row r="859" spans="1:4">
      <c r="A859" s="17" t="s">
        <v>2192</v>
      </c>
      <c r="B859">
        <f>VLOOKUP(A859,Amazon_Data_Set[],20,FALSE)</f>
        <v>3455.96</v>
      </c>
      <c r="C859">
        <f>_xlfn.XLOOKUP(Vlookup!A859,Amazon_Data_Set[Order ID],Amazon_Data_Set[Profit])</f>
        <v>712.29</v>
      </c>
      <c r="D859" t="str">
        <f>INDEX('Amazon Data Set'!F:F,MATCH(Vlookup!A859,'Amazon Data Set'!A:A,0))</f>
        <v>Ahmedabad</v>
      </c>
    </row>
    <row r="860" spans="1:4">
      <c r="A860" s="16" t="s">
        <v>2194</v>
      </c>
      <c r="B860">
        <f>VLOOKUP(A860,Amazon_Data_Set[],20,FALSE)</f>
        <v>2720.18</v>
      </c>
      <c r="C860">
        <f>_xlfn.XLOOKUP(Vlookup!A860,Amazon_Data_Set[Order ID],Amazon_Data_Set[Profit])</f>
        <v>1116.47</v>
      </c>
      <c r="D860" t="str">
        <f>INDEX('Amazon Data Set'!F:F,MATCH(Vlookup!A860,'Amazon Data Set'!A:A,0))</f>
        <v>Hyderabad</v>
      </c>
    </row>
    <row r="861" spans="1:4">
      <c r="A861" s="17" t="s">
        <v>2196</v>
      </c>
      <c r="B861">
        <f>VLOOKUP(A861,Amazon_Data_Set[],20,FALSE)</f>
        <v>2007.04</v>
      </c>
      <c r="C861">
        <f>_xlfn.XLOOKUP(Vlookup!A861,Amazon_Data_Set[Order ID],Amazon_Data_Set[Profit])</f>
        <v>671.83</v>
      </c>
      <c r="D861" t="str">
        <f>INDEX('Amazon Data Set'!F:F,MATCH(Vlookup!A861,'Amazon Data Set'!A:A,0))</f>
        <v>Pune</v>
      </c>
    </row>
    <row r="862" spans="1:4">
      <c r="A862" s="16" t="s">
        <v>2198</v>
      </c>
      <c r="B862">
        <f>VLOOKUP(A862,Amazon_Data_Set[],20,FALSE)</f>
        <v>8340.99</v>
      </c>
      <c r="C862">
        <f>_xlfn.XLOOKUP(Vlookup!A862,Amazon_Data_Set[Order ID],Amazon_Data_Set[Profit])</f>
        <v>2436.13</v>
      </c>
      <c r="D862" t="str">
        <f>INDEX('Amazon Data Set'!F:F,MATCH(Vlookup!A862,'Amazon Data Set'!A:A,0))</f>
        <v>Pune</v>
      </c>
    </row>
    <row r="863" spans="1:4">
      <c r="A863" s="17" t="s">
        <v>2200</v>
      </c>
      <c r="B863">
        <f>VLOOKUP(A863,Amazon_Data_Set[],20,FALSE)</f>
        <v>263.45999999999998</v>
      </c>
      <c r="C863">
        <f>_xlfn.XLOOKUP(Vlookup!A863,Amazon_Data_Set[Order ID],Amazon_Data_Set[Profit])</f>
        <v>-103.09</v>
      </c>
      <c r="D863" t="str">
        <f>INDEX('Amazon Data Set'!F:F,MATCH(Vlookup!A863,'Amazon Data Set'!A:A,0))</f>
        <v>Jaipur</v>
      </c>
    </row>
    <row r="864" spans="1:4">
      <c r="A864" s="16" t="s">
        <v>2202</v>
      </c>
      <c r="B864">
        <f>VLOOKUP(A864,Amazon_Data_Set[],20,FALSE)</f>
        <v>14145.72</v>
      </c>
      <c r="C864">
        <f>_xlfn.XLOOKUP(Vlookup!A864,Amazon_Data_Set[Order ID],Amazon_Data_Set[Profit])</f>
        <v>5299.99</v>
      </c>
      <c r="D864" t="str">
        <f>INDEX('Amazon Data Set'!F:F,MATCH(Vlookup!A864,'Amazon Data Set'!A:A,0))</f>
        <v>Mysuru</v>
      </c>
    </row>
    <row r="865" spans="1:4">
      <c r="A865" s="17" t="s">
        <v>2204</v>
      </c>
      <c r="B865">
        <f>VLOOKUP(A865,Amazon_Data_Set[],20,FALSE)</f>
        <v>28635.8</v>
      </c>
      <c r="C865">
        <f>_xlfn.XLOOKUP(Vlookup!A865,Amazon_Data_Set[Order ID],Amazon_Data_Set[Profit])</f>
        <v>10536.09</v>
      </c>
      <c r="D865" t="str">
        <f>INDEX('Amazon Data Set'!F:F,MATCH(Vlookup!A865,'Amazon Data Set'!A:A,0))</f>
        <v>Hyderabad</v>
      </c>
    </row>
    <row r="866" spans="1:4">
      <c r="A866" s="16" t="s">
        <v>2206</v>
      </c>
      <c r="B866">
        <f>VLOOKUP(A866,Amazon_Data_Set[],20,FALSE)</f>
        <v>26038.35</v>
      </c>
      <c r="C866">
        <f>_xlfn.XLOOKUP(Vlookup!A866,Amazon_Data_Set[Order ID],Amazon_Data_Set[Profit])</f>
        <v>5123.58</v>
      </c>
      <c r="D866" t="str">
        <f>INDEX('Amazon Data Set'!F:F,MATCH(Vlookup!A866,'Amazon Data Set'!A:A,0))</f>
        <v>Kolkata</v>
      </c>
    </row>
    <row r="867" spans="1:4">
      <c r="A867" s="17" t="s">
        <v>2208</v>
      </c>
      <c r="B867">
        <f>VLOOKUP(A867,Amazon_Data_Set[],20,FALSE)</f>
        <v>153.15</v>
      </c>
      <c r="C867">
        <f>_xlfn.XLOOKUP(Vlookup!A867,Amazon_Data_Set[Order ID],Amazon_Data_Set[Profit])</f>
        <v>-148.55000000000001</v>
      </c>
      <c r="D867" t="str">
        <f>INDEX('Amazon Data Set'!F:F,MATCH(Vlookup!A867,'Amazon Data Set'!A:A,0))</f>
        <v>Ahmedabad</v>
      </c>
    </row>
    <row r="868" spans="1:4">
      <c r="A868" s="16" t="s">
        <v>2210</v>
      </c>
      <c r="B868">
        <f>VLOOKUP(A868,Amazon_Data_Set[],20,FALSE)</f>
        <v>6338.7</v>
      </c>
      <c r="C868">
        <f>_xlfn.XLOOKUP(Vlookup!A868,Amazon_Data_Set[Order ID],Amazon_Data_Set[Profit])</f>
        <v>1615.37</v>
      </c>
      <c r="D868" t="str">
        <f>INDEX('Amazon Data Set'!F:F,MATCH(Vlookup!A868,'Amazon Data Set'!A:A,0))</f>
        <v>Kolkata</v>
      </c>
    </row>
    <row r="869" spans="1:4">
      <c r="A869" s="17" t="s">
        <v>2213</v>
      </c>
      <c r="B869">
        <f>VLOOKUP(A869,Amazon_Data_Set[],20,FALSE)</f>
        <v>4779.1899999999996</v>
      </c>
      <c r="C869">
        <f>_xlfn.XLOOKUP(Vlookup!A869,Amazon_Data_Set[Order ID],Amazon_Data_Set[Profit])</f>
        <v>1203.42</v>
      </c>
      <c r="D869" t="str">
        <f>INDEX('Amazon Data Set'!F:F,MATCH(Vlookup!A869,'Amazon Data Set'!A:A,0))</f>
        <v>Bhubaneswar</v>
      </c>
    </row>
    <row r="870" spans="1:4">
      <c r="A870" s="16" t="s">
        <v>2215</v>
      </c>
      <c r="B870">
        <f>VLOOKUP(A870,Amazon_Data_Set[],20,FALSE)</f>
        <v>85612.44</v>
      </c>
      <c r="C870">
        <f>_xlfn.XLOOKUP(Vlookup!A870,Amazon_Data_Set[Order ID],Amazon_Data_Set[Profit])</f>
        <v>19043.63</v>
      </c>
      <c r="D870" t="str">
        <f>INDEX('Amazon Data Set'!F:F,MATCH(Vlookup!A870,'Amazon Data Set'!A:A,0))</f>
        <v>Gurugram</v>
      </c>
    </row>
    <row r="871" spans="1:4">
      <c r="A871" s="17" t="s">
        <v>2217</v>
      </c>
      <c r="B871">
        <f>VLOOKUP(A871,Amazon_Data_Set[],20,FALSE)</f>
        <v>211092.35</v>
      </c>
      <c r="C871">
        <f>_xlfn.XLOOKUP(Vlookup!A871,Amazon_Data_Set[Order ID],Amazon_Data_Set[Profit])</f>
        <v>81199.83</v>
      </c>
      <c r="D871" t="str">
        <f>INDEX('Amazon Data Set'!F:F,MATCH(Vlookup!A871,'Amazon Data Set'!A:A,0))</f>
        <v>New Delhi</v>
      </c>
    </row>
    <row r="872" spans="1:4">
      <c r="A872" s="16" t="s">
        <v>2219</v>
      </c>
      <c r="B872">
        <f>VLOOKUP(A872,Amazon_Data_Set[],20,FALSE)</f>
        <v>9203.5499999999993</v>
      </c>
      <c r="C872">
        <f>_xlfn.XLOOKUP(Vlookup!A872,Amazon_Data_Set[Order ID],Amazon_Data_Set[Profit])</f>
        <v>2838.25</v>
      </c>
      <c r="D872" t="str">
        <f>INDEX('Amazon Data Set'!F:F,MATCH(Vlookup!A872,'Amazon Data Set'!A:A,0))</f>
        <v>Gurugram</v>
      </c>
    </row>
    <row r="873" spans="1:4">
      <c r="A873" s="17" t="s">
        <v>2221</v>
      </c>
      <c r="B873">
        <f>VLOOKUP(A873,Amazon_Data_Set[],20,FALSE)</f>
        <v>23404.11</v>
      </c>
      <c r="C873">
        <f>_xlfn.XLOOKUP(Vlookup!A873,Amazon_Data_Set[Order ID],Amazon_Data_Set[Profit])</f>
        <v>5692.62</v>
      </c>
      <c r="D873" t="str">
        <f>INDEX('Amazon Data Set'!F:F,MATCH(Vlookup!A873,'Amazon Data Set'!A:A,0))</f>
        <v>Jaipur</v>
      </c>
    </row>
    <row r="874" spans="1:4">
      <c r="A874" s="16" t="s">
        <v>2223</v>
      </c>
      <c r="B874">
        <f>VLOOKUP(A874,Amazon_Data_Set[],20,FALSE)</f>
        <v>6748.32</v>
      </c>
      <c r="C874">
        <f>_xlfn.XLOOKUP(Vlookup!A874,Amazon_Data_Set[Order ID],Amazon_Data_Set[Profit])</f>
        <v>2126.48</v>
      </c>
      <c r="D874" t="str">
        <f>INDEX('Amazon Data Set'!F:F,MATCH(Vlookup!A874,'Amazon Data Set'!A:A,0))</f>
        <v>Noida</v>
      </c>
    </row>
    <row r="875" spans="1:4">
      <c r="A875" s="17" t="s">
        <v>2225</v>
      </c>
      <c r="B875">
        <f>VLOOKUP(A875,Amazon_Data_Set[],20,FALSE)</f>
        <v>12593.94</v>
      </c>
      <c r="C875">
        <f>_xlfn.XLOOKUP(Vlookup!A875,Amazon_Data_Set[Order ID],Amazon_Data_Set[Profit])</f>
        <v>2275.39</v>
      </c>
      <c r="D875" t="str">
        <f>INDEX('Amazon Data Set'!F:F,MATCH(Vlookup!A875,'Amazon Data Set'!A:A,0))</f>
        <v>Mumbai</v>
      </c>
    </row>
    <row r="876" spans="1:4">
      <c r="A876" s="16" t="s">
        <v>2227</v>
      </c>
      <c r="B876">
        <f>VLOOKUP(A876,Amazon_Data_Set[],20,FALSE)</f>
        <v>25753.77</v>
      </c>
      <c r="C876">
        <f>_xlfn.XLOOKUP(Vlookup!A876,Amazon_Data_Set[Order ID],Amazon_Data_Set[Profit])</f>
        <v>8754.33</v>
      </c>
      <c r="D876" t="str">
        <f>INDEX('Amazon Data Set'!F:F,MATCH(Vlookup!A876,'Amazon Data Set'!A:A,0))</f>
        <v>Guwahati</v>
      </c>
    </row>
    <row r="877" spans="1:4">
      <c r="A877" s="17" t="s">
        <v>2229</v>
      </c>
      <c r="B877">
        <f>VLOOKUP(A877,Amazon_Data_Set[],20,FALSE)</f>
        <v>554.36</v>
      </c>
      <c r="C877">
        <f>_xlfn.XLOOKUP(Vlookup!A877,Amazon_Data_Set[Order ID],Amazon_Data_Set[Profit])</f>
        <v>-5.31</v>
      </c>
      <c r="D877" t="str">
        <f>INDEX('Amazon Data Set'!F:F,MATCH(Vlookup!A877,'Amazon Data Set'!A:A,0))</f>
        <v>Kochi</v>
      </c>
    </row>
    <row r="878" spans="1:4">
      <c r="A878" s="16" t="s">
        <v>2231</v>
      </c>
      <c r="B878">
        <f>VLOOKUP(A878,Amazon_Data_Set[],20,FALSE)</f>
        <v>4983.26</v>
      </c>
      <c r="C878">
        <f>_xlfn.XLOOKUP(Vlookup!A878,Amazon_Data_Set[Order ID],Amazon_Data_Set[Profit])</f>
        <v>1096.82</v>
      </c>
      <c r="D878" t="str">
        <f>INDEX('Amazon Data Set'!F:F,MATCH(Vlookup!A878,'Amazon Data Set'!A:A,0))</f>
        <v>Chennai</v>
      </c>
    </row>
    <row r="879" spans="1:4">
      <c r="A879" s="17" t="s">
        <v>2233</v>
      </c>
      <c r="B879">
        <f>VLOOKUP(A879,Amazon_Data_Set[],20,FALSE)</f>
        <v>18204.740000000002</v>
      </c>
      <c r="C879">
        <f>_xlfn.XLOOKUP(Vlookup!A879,Amazon_Data_Set[Order ID],Amazon_Data_Set[Profit])</f>
        <v>3788.57</v>
      </c>
      <c r="D879" t="str">
        <f>INDEX('Amazon Data Set'!F:F,MATCH(Vlookup!A879,'Amazon Data Set'!A:A,0))</f>
        <v>Mysuru</v>
      </c>
    </row>
    <row r="880" spans="1:4">
      <c r="A880" s="16" t="s">
        <v>2235</v>
      </c>
      <c r="B880">
        <f>VLOOKUP(A880,Amazon_Data_Set[],20,FALSE)</f>
        <v>12975.08</v>
      </c>
      <c r="C880">
        <f>_xlfn.XLOOKUP(Vlookup!A880,Amazon_Data_Set[Order ID],Amazon_Data_Set[Profit])</f>
        <v>5363.22</v>
      </c>
      <c r="D880" t="str">
        <f>INDEX('Amazon Data Set'!F:F,MATCH(Vlookup!A880,'Amazon Data Set'!A:A,0))</f>
        <v>Jaipur</v>
      </c>
    </row>
    <row r="881" spans="1:4">
      <c r="A881" s="17" t="s">
        <v>2237</v>
      </c>
      <c r="B881">
        <f>VLOOKUP(A881,Amazon_Data_Set[],20,FALSE)</f>
        <v>4894.71</v>
      </c>
      <c r="C881">
        <f>_xlfn.XLOOKUP(Vlookup!A881,Amazon_Data_Set[Order ID],Amazon_Data_Set[Profit])</f>
        <v>1379.21</v>
      </c>
      <c r="D881" t="str">
        <f>INDEX('Amazon Data Set'!F:F,MATCH(Vlookup!A881,'Amazon Data Set'!A:A,0))</f>
        <v>Noida</v>
      </c>
    </row>
    <row r="882" spans="1:4">
      <c r="A882" s="16" t="s">
        <v>2239</v>
      </c>
      <c r="B882">
        <f>VLOOKUP(A882,Amazon_Data_Set[],20,FALSE)</f>
        <v>3025.76</v>
      </c>
      <c r="C882">
        <f>_xlfn.XLOOKUP(Vlookup!A882,Amazon_Data_Set[Order ID],Amazon_Data_Set[Profit])</f>
        <v>1014.57</v>
      </c>
      <c r="D882" t="str">
        <f>INDEX('Amazon Data Set'!F:F,MATCH(Vlookup!A882,'Amazon Data Set'!A:A,0))</f>
        <v>Bhubaneswar</v>
      </c>
    </row>
    <row r="883" spans="1:4">
      <c r="A883" s="17" t="s">
        <v>2241</v>
      </c>
      <c r="B883">
        <f>VLOOKUP(A883,Amazon_Data_Set[],20,FALSE)</f>
        <v>84866.7</v>
      </c>
      <c r="C883">
        <f>_xlfn.XLOOKUP(Vlookup!A883,Amazon_Data_Set[Order ID],Amazon_Data_Set[Profit])</f>
        <v>25111.97</v>
      </c>
      <c r="D883" t="str">
        <f>INDEX('Amazon Data Set'!F:F,MATCH(Vlookup!A883,'Amazon Data Set'!A:A,0))</f>
        <v>Gurugram</v>
      </c>
    </row>
    <row r="884" spans="1:4">
      <c r="A884" s="16" t="s">
        <v>2243</v>
      </c>
      <c r="B884">
        <f>VLOOKUP(A884,Amazon_Data_Set[],20,FALSE)</f>
        <v>3268.17</v>
      </c>
      <c r="C884">
        <f>_xlfn.XLOOKUP(Vlookup!A884,Amazon_Data_Set[Order ID],Amazon_Data_Set[Profit])</f>
        <v>953.97</v>
      </c>
      <c r="D884" t="str">
        <f>INDEX('Amazon Data Set'!F:F,MATCH(Vlookup!A884,'Amazon Data Set'!A:A,0))</f>
        <v>Patna</v>
      </c>
    </row>
    <row r="885" spans="1:4">
      <c r="A885" s="17" t="s">
        <v>2245</v>
      </c>
      <c r="B885">
        <f>VLOOKUP(A885,Amazon_Data_Set[],20,FALSE)</f>
        <v>3095.55</v>
      </c>
      <c r="C885">
        <f>_xlfn.XLOOKUP(Vlookup!A885,Amazon_Data_Set[Order ID],Amazon_Data_Set[Profit])</f>
        <v>715.42</v>
      </c>
      <c r="D885" t="str">
        <f>INDEX('Amazon Data Set'!F:F,MATCH(Vlookup!A885,'Amazon Data Set'!A:A,0))</f>
        <v>Patna</v>
      </c>
    </row>
    <row r="886" spans="1:4">
      <c r="A886" s="16" t="s">
        <v>2247</v>
      </c>
      <c r="B886">
        <f>VLOOKUP(A886,Amazon_Data_Set[],20,FALSE)</f>
        <v>18966.060000000001</v>
      </c>
      <c r="C886">
        <f>_xlfn.XLOOKUP(Vlookup!A886,Amazon_Data_Set[Order ID],Amazon_Data_Set[Profit])</f>
        <v>8087.62</v>
      </c>
      <c r="D886" t="str">
        <f>INDEX('Amazon Data Set'!F:F,MATCH(Vlookup!A886,'Amazon Data Set'!A:A,0))</f>
        <v>Kolkata</v>
      </c>
    </row>
    <row r="887" spans="1:4">
      <c r="A887" s="17" t="s">
        <v>2249</v>
      </c>
      <c r="B887">
        <f>VLOOKUP(A887,Amazon_Data_Set[],20,FALSE)</f>
        <v>445.98</v>
      </c>
      <c r="C887">
        <f>_xlfn.XLOOKUP(Vlookup!A887,Amazon_Data_Set[Order ID],Amazon_Data_Set[Profit])</f>
        <v>44.02</v>
      </c>
      <c r="D887" t="str">
        <f>INDEX('Amazon Data Set'!F:F,MATCH(Vlookup!A887,'Amazon Data Set'!A:A,0))</f>
        <v>Gurugram</v>
      </c>
    </row>
    <row r="888" spans="1:4">
      <c r="A888" s="16" t="s">
        <v>2251</v>
      </c>
      <c r="B888">
        <f>VLOOKUP(A888,Amazon_Data_Set[],20,FALSE)</f>
        <v>2761.04</v>
      </c>
      <c r="C888">
        <f>_xlfn.XLOOKUP(Vlookup!A888,Amazon_Data_Set[Order ID],Amazon_Data_Set[Profit])</f>
        <v>689.25</v>
      </c>
      <c r="D888" t="str">
        <f>INDEX('Amazon Data Set'!F:F,MATCH(Vlookup!A888,'Amazon Data Set'!A:A,0))</f>
        <v>Kolkata</v>
      </c>
    </row>
    <row r="889" spans="1:4">
      <c r="A889" s="17" t="s">
        <v>2253</v>
      </c>
      <c r="B889">
        <f>VLOOKUP(A889,Amazon_Data_Set[],20,FALSE)</f>
        <v>12565.55</v>
      </c>
      <c r="C889">
        <f>_xlfn.XLOOKUP(Vlookup!A889,Amazon_Data_Set[Order ID],Amazon_Data_Set[Profit])</f>
        <v>3529.61</v>
      </c>
      <c r="D889" t="str">
        <f>INDEX('Amazon Data Set'!F:F,MATCH(Vlookup!A889,'Amazon Data Set'!A:A,0))</f>
        <v>Pune</v>
      </c>
    </row>
    <row r="890" spans="1:4">
      <c r="A890" s="16" t="s">
        <v>2255</v>
      </c>
      <c r="B890">
        <f>VLOOKUP(A890,Amazon_Data_Set[],20,FALSE)</f>
        <v>176867.84</v>
      </c>
      <c r="C890">
        <f>_xlfn.XLOOKUP(Vlookup!A890,Amazon_Data_Set[Order ID],Amazon_Data_Set[Profit])</f>
        <v>63981.55</v>
      </c>
      <c r="D890" t="str">
        <f>INDEX('Amazon Data Set'!F:F,MATCH(Vlookup!A890,'Amazon Data Set'!A:A,0))</f>
        <v>Ludhiana</v>
      </c>
    </row>
    <row r="891" spans="1:4">
      <c r="A891" s="17" t="s">
        <v>2257</v>
      </c>
      <c r="B891">
        <f>VLOOKUP(A891,Amazon_Data_Set[],20,FALSE)</f>
        <v>8050.64</v>
      </c>
      <c r="C891">
        <f>_xlfn.XLOOKUP(Vlookup!A891,Amazon_Data_Set[Order ID],Amazon_Data_Set[Profit])</f>
        <v>2091.0500000000002</v>
      </c>
      <c r="D891" t="str">
        <f>INDEX('Amazon Data Set'!F:F,MATCH(Vlookup!A891,'Amazon Data Set'!A:A,0))</f>
        <v>Mysuru</v>
      </c>
    </row>
    <row r="892" spans="1:4">
      <c r="A892" s="16" t="s">
        <v>2259</v>
      </c>
      <c r="B892">
        <f>VLOOKUP(A892,Amazon_Data_Set[],20,FALSE)</f>
        <v>10287.75</v>
      </c>
      <c r="C892">
        <f>_xlfn.XLOOKUP(Vlookup!A892,Amazon_Data_Set[Order ID],Amazon_Data_Set[Profit])</f>
        <v>3226.18</v>
      </c>
      <c r="D892" t="str">
        <f>INDEX('Amazon Data Set'!F:F,MATCH(Vlookup!A892,'Amazon Data Set'!A:A,0))</f>
        <v>Guwahati</v>
      </c>
    </row>
    <row r="893" spans="1:4">
      <c r="A893" s="17" t="s">
        <v>2261</v>
      </c>
      <c r="B893">
        <f>VLOOKUP(A893,Amazon_Data_Set[],20,FALSE)</f>
        <v>1731.8</v>
      </c>
      <c r="C893">
        <f>_xlfn.XLOOKUP(Vlookup!A893,Amazon_Data_Set[Order ID],Amazon_Data_Set[Profit])</f>
        <v>270.3</v>
      </c>
      <c r="D893" t="str">
        <f>INDEX('Amazon Data Set'!F:F,MATCH(Vlookup!A893,'Amazon Data Set'!A:A,0))</f>
        <v>Chennai</v>
      </c>
    </row>
    <row r="894" spans="1:4">
      <c r="A894" s="16" t="s">
        <v>2263</v>
      </c>
      <c r="B894">
        <f>VLOOKUP(A894,Amazon_Data_Set[],20,FALSE)</f>
        <v>18637.2</v>
      </c>
      <c r="C894">
        <f>_xlfn.XLOOKUP(Vlookup!A894,Amazon_Data_Set[Order ID],Amazon_Data_Set[Profit])</f>
        <v>5196.6499999999996</v>
      </c>
      <c r="D894" t="str">
        <f>INDEX('Amazon Data Set'!F:F,MATCH(Vlookup!A894,'Amazon Data Set'!A:A,0))</f>
        <v>Jaipur</v>
      </c>
    </row>
    <row r="895" spans="1:4">
      <c r="A895" s="17" t="s">
        <v>2265</v>
      </c>
      <c r="B895">
        <f>VLOOKUP(A895,Amazon_Data_Set[],20,FALSE)</f>
        <v>4816.3500000000004</v>
      </c>
      <c r="C895">
        <f>_xlfn.XLOOKUP(Vlookup!A895,Amazon_Data_Set[Order ID],Amazon_Data_Set[Profit])</f>
        <v>1139.8900000000001</v>
      </c>
      <c r="D895" t="str">
        <f>INDEX('Amazon Data Set'!F:F,MATCH(Vlookup!A895,'Amazon Data Set'!A:A,0))</f>
        <v>Guwahati</v>
      </c>
    </row>
    <row r="896" spans="1:4">
      <c r="A896" s="16" t="s">
        <v>2268</v>
      </c>
      <c r="B896">
        <f>VLOOKUP(A896,Amazon_Data_Set[],20,FALSE)</f>
        <v>19385.2</v>
      </c>
      <c r="C896">
        <f>_xlfn.XLOOKUP(Vlookup!A896,Amazon_Data_Set[Order ID],Amazon_Data_Set[Profit])</f>
        <v>4597.92</v>
      </c>
      <c r="D896" t="str">
        <f>INDEX('Amazon Data Set'!F:F,MATCH(Vlookup!A896,'Amazon Data Set'!A:A,0))</f>
        <v>Ludhiana</v>
      </c>
    </row>
    <row r="897" spans="1:4">
      <c r="A897" s="17" t="s">
        <v>2270</v>
      </c>
      <c r="B897">
        <f>VLOOKUP(A897,Amazon_Data_Set[],20,FALSE)</f>
        <v>97110.94</v>
      </c>
      <c r="C897">
        <f>_xlfn.XLOOKUP(Vlookup!A897,Amazon_Data_Set[Order ID],Amazon_Data_Set[Profit])</f>
        <v>17110.990000000002</v>
      </c>
      <c r="D897" t="str">
        <f>INDEX('Amazon Data Set'!F:F,MATCH(Vlookup!A897,'Amazon Data Set'!A:A,0))</f>
        <v>Patna</v>
      </c>
    </row>
    <row r="898" spans="1:4">
      <c r="A898" s="16" t="s">
        <v>2272</v>
      </c>
      <c r="B898">
        <f>VLOOKUP(A898,Amazon_Data_Set[],20,FALSE)</f>
        <v>2552.2399999999998</v>
      </c>
      <c r="C898">
        <f>_xlfn.XLOOKUP(Vlookup!A898,Amazon_Data_Set[Order ID],Amazon_Data_Set[Profit])</f>
        <v>913.35</v>
      </c>
      <c r="D898" t="str">
        <f>INDEX('Amazon Data Set'!F:F,MATCH(Vlookup!A898,'Amazon Data Set'!A:A,0))</f>
        <v>Kochi</v>
      </c>
    </row>
    <row r="899" spans="1:4">
      <c r="A899" s="17" t="s">
        <v>2274</v>
      </c>
      <c r="B899">
        <f>VLOOKUP(A899,Amazon_Data_Set[],20,FALSE)</f>
        <v>6217.97</v>
      </c>
      <c r="C899">
        <f>_xlfn.XLOOKUP(Vlookup!A899,Amazon_Data_Set[Order ID],Amazon_Data_Set[Profit])</f>
        <v>1727.27</v>
      </c>
      <c r="D899" t="str">
        <f>INDEX('Amazon Data Set'!F:F,MATCH(Vlookup!A899,'Amazon Data Set'!A:A,0))</f>
        <v>Mysuru</v>
      </c>
    </row>
    <row r="900" spans="1:4">
      <c r="A900" s="16" t="s">
        <v>2276</v>
      </c>
      <c r="B900">
        <f>VLOOKUP(A900,Amazon_Data_Set[],20,FALSE)</f>
        <v>18324.8</v>
      </c>
      <c r="C900">
        <f>_xlfn.XLOOKUP(Vlookup!A900,Amazon_Data_Set[Order ID],Amazon_Data_Set[Profit])</f>
        <v>4995.2700000000004</v>
      </c>
      <c r="D900" t="str">
        <f>INDEX('Amazon Data Set'!F:F,MATCH(Vlookup!A900,'Amazon Data Set'!A:A,0))</f>
        <v>Gurugram</v>
      </c>
    </row>
    <row r="901" spans="1:4">
      <c r="A901" s="17" t="s">
        <v>2278</v>
      </c>
      <c r="B901">
        <f>VLOOKUP(A901,Amazon_Data_Set[],20,FALSE)</f>
        <v>13112</v>
      </c>
      <c r="C901">
        <f>_xlfn.XLOOKUP(Vlookup!A901,Amazon_Data_Set[Order ID],Amazon_Data_Set[Profit])</f>
        <v>5526.34</v>
      </c>
      <c r="D901" t="str">
        <f>INDEX('Amazon Data Set'!F:F,MATCH(Vlookup!A901,'Amazon Data Set'!A:A,0))</f>
        <v>Ludhiana</v>
      </c>
    </row>
    <row r="902" spans="1:4">
      <c r="A902" s="16" t="s">
        <v>2280</v>
      </c>
      <c r="B902">
        <f>VLOOKUP(A902,Amazon_Data_Set[],20,FALSE)</f>
        <v>1962.57</v>
      </c>
      <c r="C902">
        <f>_xlfn.XLOOKUP(Vlookup!A902,Amazon_Data_Set[Order ID],Amazon_Data_Set[Profit])</f>
        <v>305.16000000000003</v>
      </c>
      <c r="D902" t="str">
        <f>INDEX('Amazon Data Set'!F:F,MATCH(Vlookup!A902,'Amazon Data Set'!A:A,0))</f>
        <v>Guwahati</v>
      </c>
    </row>
    <row r="903" spans="1:4">
      <c r="A903" s="17" t="s">
        <v>2282</v>
      </c>
      <c r="B903">
        <f>VLOOKUP(A903,Amazon_Data_Set[],20,FALSE)</f>
        <v>1065.0899999999999</v>
      </c>
      <c r="C903">
        <f>_xlfn.XLOOKUP(Vlookup!A903,Amazon_Data_Set[Order ID],Amazon_Data_Set[Profit])</f>
        <v>225.22</v>
      </c>
      <c r="D903" t="str">
        <f>INDEX('Amazon Data Set'!F:F,MATCH(Vlookup!A903,'Amazon Data Set'!A:A,0))</f>
        <v>Noida</v>
      </c>
    </row>
    <row r="904" spans="1:4">
      <c r="A904" s="16" t="s">
        <v>2284</v>
      </c>
      <c r="B904">
        <f>VLOOKUP(A904,Amazon_Data_Set[],20,FALSE)</f>
        <v>103022.92</v>
      </c>
      <c r="C904">
        <f>_xlfn.XLOOKUP(Vlookup!A904,Amazon_Data_Set[Order ID],Amazon_Data_Set[Profit])</f>
        <v>23847.040000000001</v>
      </c>
      <c r="D904" t="str">
        <f>INDEX('Amazon Data Set'!F:F,MATCH(Vlookup!A904,'Amazon Data Set'!A:A,0))</f>
        <v>New Delhi</v>
      </c>
    </row>
    <row r="905" spans="1:4">
      <c r="A905" s="17" t="s">
        <v>2286</v>
      </c>
      <c r="B905">
        <f>VLOOKUP(A905,Amazon_Data_Set[],20,FALSE)</f>
        <v>7838.64</v>
      </c>
      <c r="C905">
        <f>_xlfn.XLOOKUP(Vlookup!A905,Amazon_Data_Set[Order ID],Amazon_Data_Set[Profit])</f>
        <v>2468.0100000000002</v>
      </c>
      <c r="D905" t="str">
        <f>INDEX('Amazon Data Set'!F:F,MATCH(Vlookup!A905,'Amazon Data Set'!A:A,0))</f>
        <v>Chennai</v>
      </c>
    </row>
    <row r="906" spans="1:4">
      <c r="A906" s="16" t="s">
        <v>2288</v>
      </c>
      <c r="B906">
        <f>VLOOKUP(A906,Amazon_Data_Set[],20,FALSE)</f>
        <v>577.46</v>
      </c>
      <c r="C906">
        <f>_xlfn.XLOOKUP(Vlookup!A906,Amazon_Data_Set[Order ID],Amazon_Data_Set[Profit])</f>
        <v>144.80000000000001</v>
      </c>
      <c r="D906" t="str">
        <f>INDEX('Amazon Data Set'!F:F,MATCH(Vlookup!A906,'Amazon Data Set'!A:A,0))</f>
        <v>Mumbai</v>
      </c>
    </row>
    <row r="907" spans="1:4">
      <c r="A907" s="17" t="s">
        <v>2290</v>
      </c>
      <c r="B907">
        <f>VLOOKUP(A907,Amazon_Data_Set[],20,FALSE)</f>
        <v>873.82</v>
      </c>
      <c r="C907">
        <f>_xlfn.XLOOKUP(Vlookup!A907,Amazon_Data_Set[Order ID],Amazon_Data_Set[Profit])</f>
        <v>197.69</v>
      </c>
      <c r="D907" t="str">
        <f>INDEX('Amazon Data Set'!F:F,MATCH(Vlookup!A907,'Amazon Data Set'!A:A,0))</f>
        <v>Guwahati</v>
      </c>
    </row>
    <row r="908" spans="1:4">
      <c r="A908" s="16" t="s">
        <v>2292</v>
      </c>
      <c r="B908">
        <f>VLOOKUP(A908,Amazon_Data_Set[],20,FALSE)</f>
        <v>407.25</v>
      </c>
      <c r="C908">
        <f>_xlfn.XLOOKUP(Vlookup!A908,Amazon_Data_Set[Order ID],Amazon_Data_Set[Profit])</f>
        <v>-36.65</v>
      </c>
      <c r="D908" t="str">
        <f>INDEX('Amazon Data Set'!F:F,MATCH(Vlookup!A908,'Amazon Data Set'!A:A,0))</f>
        <v>Gurugram</v>
      </c>
    </row>
    <row r="909" spans="1:4">
      <c r="A909" s="17" t="s">
        <v>2294</v>
      </c>
      <c r="B909">
        <f>VLOOKUP(A909,Amazon_Data_Set[],20,FALSE)</f>
        <v>49060.1</v>
      </c>
      <c r="C909">
        <f>_xlfn.XLOOKUP(Vlookup!A909,Amazon_Data_Set[Order ID],Amazon_Data_Set[Profit])</f>
        <v>16243.85</v>
      </c>
      <c r="D909" t="str">
        <f>INDEX('Amazon Data Set'!F:F,MATCH(Vlookup!A909,'Amazon Data Set'!A:A,0))</f>
        <v>Gurugram</v>
      </c>
    </row>
    <row r="910" spans="1:4">
      <c r="A910" s="16" t="s">
        <v>2296</v>
      </c>
      <c r="B910">
        <f>VLOOKUP(A910,Amazon_Data_Set[],20,FALSE)</f>
        <v>6265.04</v>
      </c>
      <c r="C910">
        <f>_xlfn.XLOOKUP(Vlookup!A910,Amazon_Data_Set[Order ID],Amazon_Data_Set[Profit])</f>
        <v>1299.98</v>
      </c>
      <c r="D910" t="str">
        <f>INDEX('Amazon Data Set'!F:F,MATCH(Vlookup!A910,'Amazon Data Set'!A:A,0))</f>
        <v>Hyderabad</v>
      </c>
    </row>
    <row r="911" spans="1:4">
      <c r="A911" s="17" t="s">
        <v>2298</v>
      </c>
      <c r="B911">
        <f>VLOOKUP(A911,Amazon_Data_Set[],20,FALSE)</f>
        <v>98246.52</v>
      </c>
      <c r="C911">
        <f>_xlfn.XLOOKUP(Vlookup!A911,Amazon_Data_Set[Order ID],Amazon_Data_Set[Profit])</f>
        <v>34520.58</v>
      </c>
      <c r="D911" t="str">
        <f>INDEX('Amazon Data Set'!F:F,MATCH(Vlookup!A911,'Amazon Data Set'!A:A,0))</f>
        <v>Bhubaneswar</v>
      </c>
    </row>
    <row r="912" spans="1:4">
      <c r="A912" s="16" t="s">
        <v>2300</v>
      </c>
      <c r="B912">
        <f>VLOOKUP(A912,Amazon_Data_Set[],20,FALSE)</f>
        <v>6077.48</v>
      </c>
      <c r="C912">
        <f>_xlfn.XLOOKUP(Vlookup!A912,Amazon_Data_Set[Order ID],Amazon_Data_Set[Profit])</f>
        <v>1183.9100000000001</v>
      </c>
      <c r="D912" t="str">
        <f>INDEX('Amazon Data Set'!F:F,MATCH(Vlookup!A912,'Amazon Data Set'!A:A,0))</f>
        <v>Mumbai</v>
      </c>
    </row>
    <row r="913" spans="1:4">
      <c r="A913" s="17" t="s">
        <v>2302</v>
      </c>
      <c r="B913">
        <f>VLOOKUP(A913,Amazon_Data_Set[],20,FALSE)</f>
        <v>1567.28</v>
      </c>
      <c r="C913">
        <f>_xlfn.XLOOKUP(Vlookup!A913,Amazon_Data_Set[Order ID],Amazon_Data_Set[Profit])</f>
        <v>254.55</v>
      </c>
      <c r="D913" t="str">
        <f>INDEX('Amazon Data Set'!F:F,MATCH(Vlookup!A913,'Amazon Data Set'!A:A,0))</f>
        <v>New Delhi</v>
      </c>
    </row>
    <row r="914" spans="1:4">
      <c r="A914" s="16" t="s">
        <v>2304</v>
      </c>
      <c r="B914">
        <f>VLOOKUP(A914,Amazon_Data_Set[],20,FALSE)</f>
        <v>67723.72</v>
      </c>
      <c r="C914">
        <f>_xlfn.XLOOKUP(Vlookup!A914,Amazon_Data_Set[Order ID],Amazon_Data_Set[Profit])</f>
        <v>24795.68</v>
      </c>
      <c r="D914" t="str">
        <f>INDEX('Amazon Data Set'!F:F,MATCH(Vlookup!A914,'Amazon Data Set'!A:A,0))</f>
        <v>New Delhi</v>
      </c>
    </row>
    <row r="915" spans="1:4">
      <c r="A915" s="17" t="s">
        <v>2306</v>
      </c>
      <c r="B915">
        <f>VLOOKUP(A915,Amazon_Data_Set[],20,FALSE)</f>
        <v>17141.599999999999</v>
      </c>
      <c r="C915">
        <f>_xlfn.XLOOKUP(Vlookup!A915,Amazon_Data_Set[Order ID],Amazon_Data_Set[Profit])</f>
        <v>3680.06</v>
      </c>
      <c r="D915" t="str">
        <f>INDEX('Amazon Data Set'!F:F,MATCH(Vlookup!A915,'Amazon Data Set'!A:A,0))</f>
        <v>Ahmedabad</v>
      </c>
    </row>
    <row r="916" spans="1:4">
      <c r="A916" s="16" t="s">
        <v>2308</v>
      </c>
      <c r="B916">
        <f>VLOOKUP(A916,Amazon_Data_Set[],20,FALSE)</f>
        <v>1448.16</v>
      </c>
      <c r="C916">
        <f>_xlfn.XLOOKUP(Vlookup!A916,Amazon_Data_Set[Order ID],Amazon_Data_Set[Profit])</f>
        <v>304.20999999999998</v>
      </c>
      <c r="D916" t="str">
        <f>INDEX('Amazon Data Set'!F:F,MATCH(Vlookup!A916,'Amazon Data Set'!A:A,0))</f>
        <v>Gurugram</v>
      </c>
    </row>
    <row r="917" spans="1:4">
      <c r="A917" s="17" t="s">
        <v>2310</v>
      </c>
      <c r="B917">
        <f>VLOOKUP(A917,Amazon_Data_Set[],20,FALSE)</f>
        <v>4530.51</v>
      </c>
      <c r="C917">
        <f>_xlfn.XLOOKUP(Vlookup!A917,Amazon_Data_Set[Order ID],Amazon_Data_Set[Profit])</f>
        <v>1244.1500000000001</v>
      </c>
      <c r="D917" t="str">
        <f>INDEX('Amazon Data Set'!F:F,MATCH(Vlookup!A917,'Amazon Data Set'!A:A,0))</f>
        <v>Pune</v>
      </c>
    </row>
    <row r="918" spans="1:4">
      <c r="A918" s="16" t="s">
        <v>2313</v>
      </c>
      <c r="B918">
        <f>VLOOKUP(A918,Amazon_Data_Set[],20,FALSE)</f>
        <v>3737.76</v>
      </c>
      <c r="C918">
        <f>_xlfn.XLOOKUP(Vlookup!A918,Amazon_Data_Set[Order ID],Amazon_Data_Set[Profit])</f>
        <v>966.67</v>
      </c>
      <c r="D918" t="str">
        <f>INDEX('Amazon Data Set'!F:F,MATCH(Vlookup!A918,'Amazon Data Set'!A:A,0))</f>
        <v>Gurugram</v>
      </c>
    </row>
    <row r="919" spans="1:4">
      <c r="A919" s="17" t="s">
        <v>2315</v>
      </c>
      <c r="B919">
        <f>VLOOKUP(A919,Amazon_Data_Set[],20,FALSE)</f>
        <v>989.48</v>
      </c>
      <c r="C919">
        <f>_xlfn.XLOOKUP(Vlookup!A919,Amazon_Data_Set[Order ID],Amazon_Data_Set[Profit])</f>
        <v>194.39</v>
      </c>
      <c r="D919" t="str">
        <f>INDEX('Amazon Data Set'!F:F,MATCH(Vlookup!A919,'Amazon Data Set'!A:A,0))</f>
        <v>Pune</v>
      </c>
    </row>
    <row r="920" spans="1:4">
      <c r="A920" s="16" t="s">
        <v>2317</v>
      </c>
      <c r="B920">
        <f>VLOOKUP(A920,Amazon_Data_Set[],20,FALSE)</f>
        <v>4771.1000000000004</v>
      </c>
      <c r="C920">
        <f>_xlfn.XLOOKUP(Vlookup!A920,Amazon_Data_Set[Order ID],Amazon_Data_Set[Profit])</f>
        <v>1890.47</v>
      </c>
      <c r="D920" t="str">
        <f>INDEX('Amazon Data Set'!F:F,MATCH(Vlookup!A920,'Amazon Data Set'!A:A,0))</f>
        <v>Chennai</v>
      </c>
    </row>
    <row r="921" spans="1:4">
      <c r="A921" s="17" t="s">
        <v>2319</v>
      </c>
      <c r="B921">
        <f>VLOOKUP(A921,Amazon_Data_Set[],20,FALSE)</f>
        <v>1172.0999999999999</v>
      </c>
      <c r="C921">
        <f>_xlfn.XLOOKUP(Vlookup!A921,Amazon_Data_Set[Order ID],Amazon_Data_Set[Profit])</f>
        <v>343.74</v>
      </c>
      <c r="D921" t="str">
        <f>INDEX('Amazon Data Set'!F:F,MATCH(Vlookup!A921,'Amazon Data Set'!A:A,0))</f>
        <v>Bhubaneswar</v>
      </c>
    </row>
    <row r="922" spans="1:4">
      <c r="A922" s="16" t="s">
        <v>2321</v>
      </c>
      <c r="B922">
        <f>VLOOKUP(A922,Amazon_Data_Set[],20,FALSE)</f>
        <v>188725.2</v>
      </c>
      <c r="C922">
        <f>_xlfn.XLOOKUP(Vlookup!A922,Amazon_Data_Set[Order ID],Amazon_Data_Set[Profit])</f>
        <v>35759.360000000001</v>
      </c>
      <c r="D922" t="str">
        <f>INDEX('Amazon Data Set'!F:F,MATCH(Vlookup!A922,'Amazon Data Set'!A:A,0))</f>
        <v>Pune</v>
      </c>
    </row>
    <row r="923" spans="1:4">
      <c r="A923" s="17" t="s">
        <v>2323</v>
      </c>
      <c r="B923">
        <f>VLOOKUP(A923,Amazon_Data_Set[],20,FALSE)</f>
        <v>4733.9399999999996</v>
      </c>
      <c r="C923">
        <f>_xlfn.XLOOKUP(Vlookup!A923,Amazon_Data_Set[Order ID],Amazon_Data_Set[Profit])</f>
        <v>793.06</v>
      </c>
      <c r="D923" t="str">
        <f>INDEX('Amazon Data Set'!F:F,MATCH(Vlookup!A923,'Amazon Data Set'!A:A,0))</f>
        <v>Ludhiana</v>
      </c>
    </row>
    <row r="924" spans="1:4">
      <c r="A924" s="16" t="s">
        <v>2325</v>
      </c>
      <c r="B924">
        <f>VLOOKUP(A924,Amazon_Data_Set[],20,FALSE)</f>
        <v>6247.7</v>
      </c>
      <c r="C924">
        <f>_xlfn.XLOOKUP(Vlookup!A924,Amazon_Data_Set[Order ID],Amazon_Data_Set[Profit])</f>
        <v>2072.19</v>
      </c>
      <c r="D924" t="str">
        <f>INDEX('Amazon Data Set'!F:F,MATCH(Vlookup!A924,'Amazon Data Set'!A:A,0))</f>
        <v>Guwahati</v>
      </c>
    </row>
    <row r="925" spans="1:4">
      <c r="A925" s="17" t="s">
        <v>2327</v>
      </c>
      <c r="B925">
        <f>VLOOKUP(A925,Amazon_Data_Set[],20,FALSE)</f>
        <v>7162.45</v>
      </c>
      <c r="C925">
        <f>_xlfn.XLOOKUP(Vlookup!A925,Amazon_Data_Set[Order ID],Amazon_Data_Set[Profit])</f>
        <v>3242.92</v>
      </c>
      <c r="D925" t="str">
        <f>INDEX('Amazon Data Set'!F:F,MATCH(Vlookup!A925,'Amazon Data Set'!A:A,0))</f>
        <v>Gurugram</v>
      </c>
    </row>
    <row r="926" spans="1:4">
      <c r="A926" s="16" t="s">
        <v>2329</v>
      </c>
      <c r="B926">
        <f>VLOOKUP(A926,Amazon_Data_Set[],20,FALSE)</f>
        <v>12083.18</v>
      </c>
      <c r="C926">
        <f>_xlfn.XLOOKUP(Vlookup!A926,Amazon_Data_Set[Order ID],Amazon_Data_Set[Profit])</f>
        <v>3889.58</v>
      </c>
      <c r="D926" t="str">
        <f>INDEX('Amazon Data Set'!F:F,MATCH(Vlookup!A926,'Amazon Data Set'!A:A,0))</f>
        <v>Pune</v>
      </c>
    </row>
    <row r="927" spans="1:4">
      <c r="A927" s="17" t="s">
        <v>2331</v>
      </c>
      <c r="B927">
        <f>VLOOKUP(A927,Amazon_Data_Set[],20,FALSE)</f>
        <v>3097.9</v>
      </c>
      <c r="C927">
        <f>_xlfn.XLOOKUP(Vlookup!A927,Amazon_Data_Set[Order ID],Amazon_Data_Set[Profit])</f>
        <v>768.55</v>
      </c>
      <c r="D927" t="str">
        <f>INDEX('Amazon Data Set'!F:F,MATCH(Vlookup!A927,'Amazon Data Set'!A:A,0))</f>
        <v>Mumbai</v>
      </c>
    </row>
    <row r="928" spans="1:4">
      <c r="A928" s="16" t="s">
        <v>2333</v>
      </c>
      <c r="B928">
        <f>VLOOKUP(A928,Amazon_Data_Set[],20,FALSE)</f>
        <v>1934.98</v>
      </c>
      <c r="C928">
        <f>_xlfn.XLOOKUP(Vlookup!A928,Amazon_Data_Set[Order ID],Amazon_Data_Set[Profit])</f>
        <v>663.72</v>
      </c>
      <c r="D928" t="str">
        <f>INDEX('Amazon Data Set'!F:F,MATCH(Vlookup!A928,'Amazon Data Set'!A:A,0))</f>
        <v>Patna</v>
      </c>
    </row>
    <row r="929" spans="1:4">
      <c r="A929" s="17" t="s">
        <v>2335</v>
      </c>
      <c r="B929">
        <f>VLOOKUP(A929,Amazon_Data_Set[],20,FALSE)</f>
        <v>1092.6300000000001</v>
      </c>
      <c r="C929">
        <f>_xlfn.XLOOKUP(Vlookup!A929,Amazon_Data_Set[Order ID],Amazon_Data_Set[Profit])</f>
        <v>283.85000000000002</v>
      </c>
      <c r="D929" t="str">
        <f>INDEX('Amazon Data Set'!F:F,MATCH(Vlookup!A929,'Amazon Data Set'!A:A,0))</f>
        <v>Kolkata</v>
      </c>
    </row>
    <row r="930" spans="1:4">
      <c r="A930" s="16" t="s">
        <v>2337</v>
      </c>
      <c r="B930">
        <f>VLOOKUP(A930,Amazon_Data_Set[],20,FALSE)</f>
        <v>5998.25</v>
      </c>
      <c r="C930">
        <f>_xlfn.XLOOKUP(Vlookup!A930,Amazon_Data_Set[Order ID],Amazon_Data_Set[Profit])</f>
        <v>2174.88</v>
      </c>
      <c r="D930" t="str">
        <f>INDEX('Amazon Data Set'!F:F,MATCH(Vlookup!A930,'Amazon Data Set'!A:A,0))</f>
        <v>Guwahati</v>
      </c>
    </row>
    <row r="931" spans="1:4">
      <c r="A931" s="17" t="s">
        <v>2339</v>
      </c>
      <c r="B931">
        <f>VLOOKUP(A931,Amazon_Data_Set[],20,FALSE)</f>
        <v>15946.36</v>
      </c>
      <c r="C931">
        <f>_xlfn.XLOOKUP(Vlookup!A931,Amazon_Data_Set[Order ID],Amazon_Data_Set[Profit])</f>
        <v>6459.78</v>
      </c>
      <c r="D931" t="str">
        <f>INDEX('Amazon Data Set'!F:F,MATCH(Vlookup!A931,'Amazon Data Set'!A:A,0))</f>
        <v>New Delhi</v>
      </c>
    </row>
    <row r="932" spans="1:4">
      <c r="A932" s="16" t="s">
        <v>2341</v>
      </c>
      <c r="B932">
        <f>VLOOKUP(A932,Amazon_Data_Set[],20,FALSE)</f>
        <v>2200.9699999999998</v>
      </c>
      <c r="C932">
        <f>_xlfn.XLOOKUP(Vlookup!A932,Amazon_Data_Set[Order ID],Amazon_Data_Set[Profit])</f>
        <v>436.97</v>
      </c>
      <c r="D932" t="str">
        <f>INDEX('Amazon Data Set'!F:F,MATCH(Vlookup!A932,'Amazon Data Set'!A:A,0))</f>
        <v>Ahmedabad</v>
      </c>
    </row>
    <row r="933" spans="1:4">
      <c r="A933" s="17" t="s">
        <v>2343</v>
      </c>
      <c r="B933">
        <f>VLOOKUP(A933,Amazon_Data_Set[],20,FALSE)</f>
        <v>2517.98</v>
      </c>
      <c r="C933">
        <f>_xlfn.XLOOKUP(Vlookup!A933,Amazon_Data_Set[Order ID],Amazon_Data_Set[Profit])</f>
        <v>683.59</v>
      </c>
      <c r="D933" t="str">
        <f>INDEX('Amazon Data Set'!F:F,MATCH(Vlookup!A933,'Amazon Data Set'!A:A,0))</f>
        <v>Kochi</v>
      </c>
    </row>
    <row r="934" spans="1:4">
      <c r="A934" s="16" t="s">
        <v>2345</v>
      </c>
      <c r="B934">
        <f>VLOOKUP(A934,Amazon_Data_Set[],20,FALSE)</f>
        <v>5714.64</v>
      </c>
      <c r="C934">
        <f>_xlfn.XLOOKUP(Vlookup!A934,Amazon_Data_Set[Order ID],Amazon_Data_Set[Profit])</f>
        <v>1214.6600000000001</v>
      </c>
      <c r="D934" t="str">
        <f>INDEX('Amazon Data Set'!F:F,MATCH(Vlookup!A934,'Amazon Data Set'!A:A,0))</f>
        <v>Gurugram</v>
      </c>
    </row>
    <row r="935" spans="1:4">
      <c r="A935" s="17" t="s">
        <v>2347</v>
      </c>
      <c r="B935">
        <f>VLOOKUP(A935,Amazon_Data_Set[],20,FALSE)</f>
        <v>127298.52</v>
      </c>
      <c r="C935">
        <f>_xlfn.XLOOKUP(Vlookup!A935,Amazon_Data_Set[Order ID],Amazon_Data_Set[Profit])</f>
        <v>49429.47</v>
      </c>
      <c r="D935" t="str">
        <f>INDEX('Amazon Data Set'!F:F,MATCH(Vlookup!A935,'Amazon Data Set'!A:A,0))</f>
        <v>Bhubaneswar</v>
      </c>
    </row>
    <row r="936" spans="1:4">
      <c r="A936" s="16" t="s">
        <v>2349</v>
      </c>
      <c r="B936">
        <f>VLOOKUP(A936,Amazon_Data_Set[],20,FALSE)</f>
        <v>3152.76</v>
      </c>
      <c r="C936">
        <f>_xlfn.XLOOKUP(Vlookup!A936,Amazon_Data_Set[Order ID],Amazon_Data_Set[Profit])</f>
        <v>1206.06</v>
      </c>
      <c r="D936" t="str">
        <f>INDEX('Amazon Data Set'!F:F,MATCH(Vlookup!A936,'Amazon Data Set'!A:A,0))</f>
        <v>Noida</v>
      </c>
    </row>
    <row r="937" spans="1:4">
      <c r="A937" s="17" t="s">
        <v>2351</v>
      </c>
      <c r="B937">
        <f>VLOOKUP(A937,Amazon_Data_Set[],20,FALSE)</f>
        <v>2253.6799999999998</v>
      </c>
      <c r="C937">
        <f>_xlfn.XLOOKUP(Vlookup!A937,Amazon_Data_Set[Order ID],Amazon_Data_Set[Profit])</f>
        <v>600.69000000000005</v>
      </c>
      <c r="D937" t="str">
        <f>INDEX('Amazon Data Set'!F:F,MATCH(Vlookup!A937,'Amazon Data Set'!A:A,0))</f>
        <v>New Delhi</v>
      </c>
    </row>
    <row r="938" spans="1:4">
      <c r="A938" s="16" t="s">
        <v>2354</v>
      </c>
      <c r="B938">
        <f>VLOOKUP(A938,Amazon_Data_Set[],20,FALSE)</f>
        <v>27385.29</v>
      </c>
      <c r="C938">
        <f>_xlfn.XLOOKUP(Vlookup!A938,Amazon_Data_Set[Order ID],Amazon_Data_Set[Profit])</f>
        <v>4918.16</v>
      </c>
      <c r="D938" t="str">
        <f>INDEX('Amazon Data Set'!F:F,MATCH(Vlookup!A938,'Amazon Data Set'!A:A,0))</f>
        <v>Bhubaneswar</v>
      </c>
    </row>
    <row r="939" spans="1:4">
      <c r="A939" s="17" t="s">
        <v>2356</v>
      </c>
      <c r="B939">
        <f>VLOOKUP(A939,Amazon_Data_Set[],20,FALSE)</f>
        <v>20445.650000000001</v>
      </c>
      <c r="C939">
        <f>_xlfn.XLOOKUP(Vlookup!A939,Amazon_Data_Set[Order ID],Amazon_Data_Set[Profit])</f>
        <v>8379.48</v>
      </c>
      <c r="D939" t="str">
        <f>INDEX('Amazon Data Set'!F:F,MATCH(Vlookup!A939,'Amazon Data Set'!A:A,0))</f>
        <v>Chennai</v>
      </c>
    </row>
    <row r="940" spans="1:4">
      <c r="A940" s="16" t="s">
        <v>2358</v>
      </c>
      <c r="B940">
        <f>VLOOKUP(A940,Amazon_Data_Set[],20,FALSE)</f>
        <v>1130.76</v>
      </c>
      <c r="C940">
        <f>_xlfn.XLOOKUP(Vlookup!A940,Amazon_Data_Set[Order ID],Amazon_Data_Set[Profit])</f>
        <v>205.65</v>
      </c>
      <c r="D940" t="str">
        <f>INDEX('Amazon Data Set'!F:F,MATCH(Vlookup!A940,'Amazon Data Set'!A:A,0))</f>
        <v>New Delhi</v>
      </c>
    </row>
    <row r="941" spans="1:4">
      <c r="A941" s="17" t="s">
        <v>2361</v>
      </c>
      <c r="B941">
        <f>VLOOKUP(A941,Amazon_Data_Set[],20,FALSE)</f>
        <v>323.02999999999997</v>
      </c>
      <c r="C941">
        <f>_xlfn.XLOOKUP(Vlookup!A941,Amazon_Data_Set[Order ID],Amazon_Data_Set[Profit])</f>
        <v>12.04</v>
      </c>
      <c r="D941" t="str">
        <f>INDEX('Amazon Data Set'!F:F,MATCH(Vlookup!A941,'Amazon Data Set'!A:A,0))</f>
        <v>Guwahati</v>
      </c>
    </row>
    <row r="942" spans="1:4">
      <c r="A942" s="16" t="s">
        <v>2363</v>
      </c>
      <c r="B942">
        <f>VLOOKUP(A942,Amazon_Data_Set[],20,FALSE)</f>
        <v>11932.15</v>
      </c>
      <c r="C942">
        <f>_xlfn.XLOOKUP(Vlookup!A942,Amazon_Data_Set[Order ID],Amazon_Data_Set[Profit])</f>
        <v>3199.28</v>
      </c>
      <c r="D942" t="str">
        <f>INDEX('Amazon Data Set'!F:F,MATCH(Vlookup!A942,'Amazon Data Set'!A:A,0))</f>
        <v>Guwahati</v>
      </c>
    </row>
    <row r="943" spans="1:4">
      <c r="A943" s="17" t="s">
        <v>2365</v>
      </c>
      <c r="B943">
        <f>VLOOKUP(A943,Amazon_Data_Set[],20,FALSE)</f>
        <v>4361.04</v>
      </c>
      <c r="C943">
        <f>_xlfn.XLOOKUP(Vlookup!A943,Amazon_Data_Set[Order ID],Amazon_Data_Set[Profit])</f>
        <v>1251.23</v>
      </c>
      <c r="D943" t="str">
        <f>INDEX('Amazon Data Set'!F:F,MATCH(Vlookup!A943,'Amazon Data Set'!A:A,0))</f>
        <v>Guwahati</v>
      </c>
    </row>
    <row r="944" spans="1:4">
      <c r="A944" s="16" t="s">
        <v>2367</v>
      </c>
      <c r="B944">
        <f>VLOOKUP(A944,Amazon_Data_Set[],20,FALSE)</f>
        <v>1525.62</v>
      </c>
      <c r="C944">
        <f>_xlfn.XLOOKUP(Vlookup!A944,Amazon_Data_Set[Order ID],Amazon_Data_Set[Profit])</f>
        <v>390.55</v>
      </c>
      <c r="D944" t="str">
        <f>INDEX('Amazon Data Set'!F:F,MATCH(Vlookup!A944,'Amazon Data Set'!A:A,0))</f>
        <v>Hyderabad</v>
      </c>
    </row>
    <row r="945" spans="1:4">
      <c r="A945" s="17" t="s">
        <v>2369</v>
      </c>
      <c r="B945">
        <f>VLOOKUP(A945,Amazon_Data_Set[],20,FALSE)</f>
        <v>11763.56</v>
      </c>
      <c r="C945">
        <f>_xlfn.XLOOKUP(Vlookup!A945,Amazon_Data_Set[Order ID],Amazon_Data_Set[Profit])</f>
        <v>4260.2700000000004</v>
      </c>
      <c r="D945" t="str">
        <f>INDEX('Amazon Data Set'!F:F,MATCH(Vlookup!A945,'Amazon Data Set'!A:A,0))</f>
        <v>Noida</v>
      </c>
    </row>
    <row r="946" spans="1:4">
      <c r="A946" s="16" t="s">
        <v>2371</v>
      </c>
      <c r="B946">
        <f>VLOOKUP(A946,Amazon_Data_Set[],20,FALSE)</f>
        <v>4079.66</v>
      </c>
      <c r="C946">
        <f>_xlfn.XLOOKUP(Vlookup!A946,Amazon_Data_Set[Order ID],Amazon_Data_Set[Profit])</f>
        <v>975.82</v>
      </c>
      <c r="D946" t="str">
        <f>INDEX('Amazon Data Set'!F:F,MATCH(Vlookup!A946,'Amazon Data Set'!A:A,0))</f>
        <v>Ludhiana</v>
      </c>
    </row>
    <row r="947" spans="1:4">
      <c r="A947" s="17" t="s">
        <v>2373</v>
      </c>
      <c r="B947">
        <f>VLOOKUP(A947,Amazon_Data_Set[],20,FALSE)</f>
        <v>13197.32</v>
      </c>
      <c r="C947">
        <f>_xlfn.XLOOKUP(Vlookup!A947,Amazon_Data_Set[Order ID],Amazon_Data_Set[Profit])</f>
        <v>5454.53</v>
      </c>
      <c r="D947" t="str">
        <f>INDEX('Amazon Data Set'!F:F,MATCH(Vlookup!A947,'Amazon Data Set'!A:A,0))</f>
        <v>Hyderabad</v>
      </c>
    </row>
    <row r="948" spans="1:4">
      <c r="A948" s="16" t="s">
        <v>2375</v>
      </c>
      <c r="B948">
        <f>VLOOKUP(A948,Amazon_Data_Set[],20,FALSE)</f>
        <v>326.36</v>
      </c>
      <c r="C948">
        <f>_xlfn.XLOOKUP(Vlookup!A948,Amazon_Data_Set[Order ID],Amazon_Data_Set[Profit])</f>
        <v>2.2400000000000002</v>
      </c>
      <c r="D948" t="str">
        <f>INDEX('Amazon Data Set'!F:F,MATCH(Vlookup!A948,'Amazon Data Set'!A:A,0))</f>
        <v>Mumbai</v>
      </c>
    </row>
    <row r="949" spans="1:4">
      <c r="A949" s="17" t="s">
        <v>2377</v>
      </c>
      <c r="B949">
        <f>VLOOKUP(A949,Amazon_Data_Set[],20,FALSE)</f>
        <v>43260.49</v>
      </c>
      <c r="C949">
        <f>_xlfn.XLOOKUP(Vlookup!A949,Amazon_Data_Set[Order ID],Amazon_Data_Set[Profit])</f>
        <v>9799.99</v>
      </c>
      <c r="D949" t="str">
        <f>INDEX('Amazon Data Set'!F:F,MATCH(Vlookup!A949,'Amazon Data Set'!A:A,0))</f>
        <v>Pune</v>
      </c>
    </row>
    <row r="950" spans="1:4">
      <c r="A950" s="16" t="s">
        <v>2379</v>
      </c>
      <c r="B950">
        <f>VLOOKUP(A950,Amazon_Data_Set[],20,FALSE)</f>
        <v>12061.76</v>
      </c>
      <c r="C950">
        <f>_xlfn.XLOOKUP(Vlookup!A950,Amazon_Data_Set[Order ID],Amazon_Data_Set[Profit])</f>
        <v>2966.48</v>
      </c>
      <c r="D950" t="str">
        <f>INDEX('Amazon Data Set'!F:F,MATCH(Vlookup!A950,'Amazon Data Set'!A:A,0))</f>
        <v>Jaipur</v>
      </c>
    </row>
    <row r="951" spans="1:4">
      <c r="A951" s="17" t="s">
        <v>2381</v>
      </c>
      <c r="B951">
        <f>VLOOKUP(A951,Amazon_Data_Set[],20,FALSE)</f>
        <v>309.45</v>
      </c>
      <c r="C951">
        <f>_xlfn.XLOOKUP(Vlookup!A951,Amazon_Data_Set[Order ID],Amazon_Data_Set[Profit])</f>
        <v>-13.69</v>
      </c>
      <c r="D951" t="str">
        <f>INDEX('Amazon Data Set'!F:F,MATCH(Vlookup!A951,'Amazon Data Set'!A:A,0))</f>
        <v>Hyderabad</v>
      </c>
    </row>
    <row r="952" spans="1:4">
      <c r="A952" s="16" t="s">
        <v>2383</v>
      </c>
      <c r="B952">
        <f>VLOOKUP(A952,Amazon_Data_Set[],20,FALSE)</f>
        <v>2956.92</v>
      </c>
      <c r="C952">
        <f>_xlfn.XLOOKUP(Vlookup!A952,Amazon_Data_Set[Order ID],Amazon_Data_Set[Profit])</f>
        <v>544.39</v>
      </c>
      <c r="D952" t="str">
        <f>INDEX('Amazon Data Set'!F:F,MATCH(Vlookup!A952,'Amazon Data Set'!A:A,0))</f>
        <v>Bhubaneswar</v>
      </c>
    </row>
    <row r="953" spans="1:4">
      <c r="A953" s="17" t="s">
        <v>2385</v>
      </c>
      <c r="B953">
        <f>VLOOKUP(A953,Amazon_Data_Set[],20,FALSE)</f>
        <v>3396.64</v>
      </c>
      <c r="C953">
        <f>_xlfn.XLOOKUP(Vlookup!A953,Amazon_Data_Set[Order ID],Amazon_Data_Set[Profit])</f>
        <v>962.45</v>
      </c>
      <c r="D953" t="str">
        <f>INDEX('Amazon Data Set'!F:F,MATCH(Vlookup!A953,'Amazon Data Set'!A:A,0))</f>
        <v>Bengaluru</v>
      </c>
    </row>
    <row r="954" spans="1:4">
      <c r="A954" s="16" t="s">
        <v>2387</v>
      </c>
      <c r="B954">
        <f>VLOOKUP(A954,Amazon_Data_Set[],20,FALSE)</f>
        <v>3567.54</v>
      </c>
      <c r="C954">
        <f>_xlfn.XLOOKUP(Vlookup!A954,Amazon_Data_Set[Order ID],Amazon_Data_Set[Profit])</f>
        <v>871.46</v>
      </c>
      <c r="D954" t="str">
        <f>INDEX('Amazon Data Set'!F:F,MATCH(Vlookup!A954,'Amazon Data Set'!A:A,0))</f>
        <v>Jaipur</v>
      </c>
    </row>
    <row r="955" spans="1:4">
      <c r="A955" s="17" t="s">
        <v>2389</v>
      </c>
      <c r="B955">
        <f>VLOOKUP(A955,Amazon_Data_Set[],20,FALSE)</f>
        <v>12857.9</v>
      </c>
      <c r="C955">
        <f>_xlfn.XLOOKUP(Vlookup!A955,Amazon_Data_Set[Order ID],Amazon_Data_Set[Profit])</f>
        <v>5350.04</v>
      </c>
      <c r="D955" t="str">
        <f>INDEX('Amazon Data Set'!F:F,MATCH(Vlookup!A955,'Amazon Data Set'!A:A,0))</f>
        <v>Ludhiana</v>
      </c>
    </row>
    <row r="956" spans="1:4">
      <c r="A956" s="16" t="s">
        <v>2391</v>
      </c>
      <c r="B956">
        <f>VLOOKUP(A956,Amazon_Data_Set[],20,FALSE)</f>
        <v>11009.49</v>
      </c>
      <c r="C956">
        <f>_xlfn.XLOOKUP(Vlookup!A956,Amazon_Data_Set[Order ID],Amazon_Data_Set[Profit])</f>
        <v>3746.23</v>
      </c>
      <c r="D956" t="str">
        <f>INDEX('Amazon Data Set'!F:F,MATCH(Vlookup!A956,'Amazon Data Set'!A:A,0))</f>
        <v>Noida</v>
      </c>
    </row>
    <row r="957" spans="1:4">
      <c r="A957" s="17" t="s">
        <v>2393</v>
      </c>
      <c r="B957">
        <f>VLOOKUP(A957,Amazon_Data_Set[],20,FALSE)</f>
        <v>1113.6199999999999</v>
      </c>
      <c r="C957">
        <f>_xlfn.XLOOKUP(Vlookup!A957,Amazon_Data_Set[Order ID],Amazon_Data_Set[Profit])</f>
        <v>235.64</v>
      </c>
      <c r="D957" t="str">
        <f>INDEX('Amazon Data Set'!F:F,MATCH(Vlookup!A957,'Amazon Data Set'!A:A,0))</f>
        <v>Bhubaneswar</v>
      </c>
    </row>
    <row r="958" spans="1:4">
      <c r="A958" s="16" t="s">
        <v>2395</v>
      </c>
      <c r="B958">
        <f>VLOOKUP(A958,Amazon_Data_Set[],20,FALSE)</f>
        <v>2558.5</v>
      </c>
      <c r="C958">
        <f>_xlfn.XLOOKUP(Vlookup!A958,Amazon_Data_Set[Order ID],Amazon_Data_Set[Profit])</f>
        <v>497.93</v>
      </c>
      <c r="D958" t="str">
        <f>INDEX('Amazon Data Set'!F:F,MATCH(Vlookup!A958,'Amazon Data Set'!A:A,0))</f>
        <v>Kochi</v>
      </c>
    </row>
    <row r="959" spans="1:4">
      <c r="A959" s="17" t="s">
        <v>2397</v>
      </c>
      <c r="B959">
        <f>VLOOKUP(A959,Amazon_Data_Set[],20,FALSE)</f>
        <v>306.18</v>
      </c>
      <c r="C959">
        <f>_xlfn.XLOOKUP(Vlookup!A959,Amazon_Data_Set[Order ID],Amazon_Data_Set[Profit])</f>
        <v>-10.74</v>
      </c>
      <c r="D959" t="str">
        <f>INDEX('Amazon Data Set'!F:F,MATCH(Vlookup!A959,'Amazon Data Set'!A:A,0))</f>
        <v>Patna</v>
      </c>
    </row>
    <row r="960" spans="1:4">
      <c r="A960" s="16" t="s">
        <v>2399</v>
      </c>
      <c r="B960">
        <f>VLOOKUP(A960,Amazon_Data_Set[],20,FALSE)</f>
        <v>907.4</v>
      </c>
      <c r="C960">
        <f>_xlfn.XLOOKUP(Vlookup!A960,Amazon_Data_Set[Order ID],Amazon_Data_Set[Profit])</f>
        <v>172.06</v>
      </c>
      <c r="D960" t="str">
        <f>INDEX('Amazon Data Set'!F:F,MATCH(Vlookup!A960,'Amazon Data Set'!A:A,0))</f>
        <v>Bhubaneswar</v>
      </c>
    </row>
    <row r="961" spans="1:4">
      <c r="A961" s="17" t="s">
        <v>2402</v>
      </c>
      <c r="B961">
        <f>VLOOKUP(A961,Amazon_Data_Set[],20,FALSE)</f>
        <v>10308.35</v>
      </c>
      <c r="C961">
        <f>_xlfn.XLOOKUP(Vlookup!A961,Amazon_Data_Set[Order ID],Amazon_Data_Set[Profit])</f>
        <v>3342.14</v>
      </c>
      <c r="D961" t="str">
        <f>INDEX('Amazon Data Set'!F:F,MATCH(Vlookup!A961,'Amazon Data Set'!A:A,0))</f>
        <v>Bengaluru</v>
      </c>
    </row>
    <row r="962" spans="1:4">
      <c r="A962" s="16" t="s">
        <v>2404</v>
      </c>
      <c r="B962">
        <f>VLOOKUP(A962,Amazon_Data_Set[],20,FALSE)</f>
        <v>55877.22</v>
      </c>
      <c r="C962">
        <f>_xlfn.XLOOKUP(Vlookup!A962,Amazon_Data_Set[Order ID],Amazon_Data_Set[Profit])</f>
        <v>17937.89</v>
      </c>
      <c r="D962" t="str">
        <f>INDEX('Amazon Data Set'!F:F,MATCH(Vlookup!A962,'Amazon Data Set'!A:A,0))</f>
        <v>Patna</v>
      </c>
    </row>
    <row r="963" spans="1:4">
      <c r="A963" s="17" t="s">
        <v>2406</v>
      </c>
      <c r="B963">
        <f>VLOOKUP(A963,Amazon_Data_Set[],20,FALSE)</f>
        <v>2998.56</v>
      </c>
      <c r="C963">
        <f>_xlfn.XLOOKUP(Vlookup!A963,Amazon_Data_Set[Order ID],Amazon_Data_Set[Profit])</f>
        <v>748.6</v>
      </c>
      <c r="D963" t="str">
        <f>INDEX('Amazon Data Set'!F:F,MATCH(Vlookup!A963,'Amazon Data Set'!A:A,0))</f>
        <v>New Delhi</v>
      </c>
    </row>
    <row r="964" spans="1:4">
      <c r="A964" s="16" t="s">
        <v>2408</v>
      </c>
      <c r="B964">
        <f>VLOOKUP(A964,Amazon_Data_Set[],20,FALSE)</f>
        <v>252540.55</v>
      </c>
      <c r="C964">
        <f>_xlfn.XLOOKUP(Vlookup!A964,Amazon_Data_Set[Order ID],Amazon_Data_Set[Profit])</f>
        <v>73898.02</v>
      </c>
      <c r="D964" t="str">
        <f>INDEX('Amazon Data Set'!F:F,MATCH(Vlookup!A964,'Amazon Data Set'!A:A,0))</f>
        <v>Noida</v>
      </c>
    </row>
    <row r="965" spans="1:4">
      <c r="A965" s="17" t="s">
        <v>2410</v>
      </c>
      <c r="B965">
        <f>VLOOKUP(A965,Amazon_Data_Set[],20,FALSE)</f>
        <v>44504.95</v>
      </c>
      <c r="C965">
        <f>_xlfn.XLOOKUP(Vlookup!A965,Amazon_Data_Set[Order ID],Amazon_Data_Set[Profit])</f>
        <v>15201.68</v>
      </c>
      <c r="D965" t="str">
        <f>INDEX('Amazon Data Set'!F:F,MATCH(Vlookup!A965,'Amazon Data Set'!A:A,0))</f>
        <v>Guwahati</v>
      </c>
    </row>
    <row r="966" spans="1:4">
      <c r="A966" s="16" t="s">
        <v>2413</v>
      </c>
      <c r="B966">
        <f>VLOOKUP(A966,Amazon_Data_Set[],20,FALSE)</f>
        <v>4559.88</v>
      </c>
      <c r="C966">
        <f>_xlfn.XLOOKUP(Vlookup!A966,Amazon_Data_Set[Order ID],Amazon_Data_Set[Profit])</f>
        <v>1551.89</v>
      </c>
      <c r="D966" t="str">
        <f>INDEX('Amazon Data Set'!F:F,MATCH(Vlookup!A966,'Amazon Data Set'!A:A,0))</f>
        <v>Mysuru</v>
      </c>
    </row>
    <row r="967" spans="1:4">
      <c r="A967" s="17" t="s">
        <v>2415</v>
      </c>
      <c r="B967">
        <f>VLOOKUP(A967,Amazon_Data_Set[],20,FALSE)</f>
        <v>4896</v>
      </c>
      <c r="C967">
        <f>_xlfn.XLOOKUP(Vlookup!A967,Amazon_Data_Set[Order ID],Amazon_Data_Set[Profit])</f>
        <v>1760.17</v>
      </c>
      <c r="D967" t="str">
        <f>INDEX('Amazon Data Set'!F:F,MATCH(Vlookup!A967,'Amazon Data Set'!A:A,0))</f>
        <v>Jaipur</v>
      </c>
    </row>
    <row r="968" spans="1:4">
      <c r="A968" s="16" t="s">
        <v>2417</v>
      </c>
      <c r="B968">
        <f>VLOOKUP(A968,Amazon_Data_Set[],20,FALSE)</f>
        <v>803.24</v>
      </c>
      <c r="C968">
        <f>_xlfn.XLOOKUP(Vlookup!A968,Amazon_Data_Set[Order ID],Amazon_Data_Set[Profit])</f>
        <v>206.33</v>
      </c>
      <c r="D968" t="str">
        <f>INDEX('Amazon Data Set'!F:F,MATCH(Vlookup!A968,'Amazon Data Set'!A:A,0))</f>
        <v>Guwahati</v>
      </c>
    </row>
    <row r="969" spans="1:4">
      <c r="A969" s="17" t="s">
        <v>2419</v>
      </c>
      <c r="B969">
        <f>VLOOKUP(A969,Amazon_Data_Set[],20,FALSE)</f>
        <v>2234.04</v>
      </c>
      <c r="C969">
        <f>_xlfn.XLOOKUP(Vlookup!A969,Amazon_Data_Set[Order ID],Amazon_Data_Set[Profit])</f>
        <v>880.54</v>
      </c>
      <c r="D969" t="str">
        <f>INDEX('Amazon Data Set'!F:F,MATCH(Vlookup!A969,'Amazon Data Set'!A:A,0))</f>
        <v>Guwahati</v>
      </c>
    </row>
    <row r="970" spans="1:4">
      <c r="A970" s="16" t="s">
        <v>2421</v>
      </c>
      <c r="B970">
        <f>VLOOKUP(A970,Amazon_Data_Set[],20,FALSE)</f>
        <v>45361.74</v>
      </c>
      <c r="C970">
        <f>_xlfn.XLOOKUP(Vlookup!A970,Amazon_Data_Set[Order ID],Amazon_Data_Set[Profit])</f>
        <v>11381.37</v>
      </c>
      <c r="D970" t="str">
        <f>INDEX('Amazon Data Set'!F:F,MATCH(Vlookup!A970,'Amazon Data Set'!A:A,0))</f>
        <v>New Delhi</v>
      </c>
    </row>
    <row r="971" spans="1:4">
      <c r="A971" s="17" t="s">
        <v>2423</v>
      </c>
      <c r="B971">
        <f>VLOOKUP(A971,Amazon_Data_Set[],20,FALSE)</f>
        <v>823.36</v>
      </c>
      <c r="C971">
        <f>_xlfn.XLOOKUP(Vlookup!A971,Amazon_Data_Set[Order ID],Amazon_Data_Set[Profit])</f>
        <v>106.45</v>
      </c>
      <c r="D971" t="str">
        <f>INDEX('Amazon Data Set'!F:F,MATCH(Vlookup!A971,'Amazon Data Set'!A:A,0))</f>
        <v>Mumbai</v>
      </c>
    </row>
    <row r="972" spans="1:4">
      <c r="A972" s="16" t="s">
        <v>2425</v>
      </c>
      <c r="B972">
        <f>VLOOKUP(A972,Amazon_Data_Set[],20,FALSE)</f>
        <v>46653.25</v>
      </c>
      <c r="C972">
        <f>_xlfn.XLOOKUP(Vlookup!A972,Amazon_Data_Set[Order ID],Amazon_Data_Set[Profit])</f>
        <v>10042.43</v>
      </c>
      <c r="D972" t="str">
        <f>INDEX('Amazon Data Set'!F:F,MATCH(Vlookup!A972,'Amazon Data Set'!A:A,0))</f>
        <v>Ahmedabad</v>
      </c>
    </row>
    <row r="973" spans="1:4">
      <c r="A973" s="17" t="s">
        <v>2427</v>
      </c>
      <c r="B973">
        <f>VLOOKUP(A973,Amazon_Data_Set[],20,FALSE)</f>
        <v>7702.4</v>
      </c>
      <c r="C973">
        <f>_xlfn.XLOOKUP(Vlookup!A973,Amazon_Data_Set[Order ID],Amazon_Data_Set[Profit])</f>
        <v>3295.37</v>
      </c>
      <c r="D973" t="str">
        <f>INDEX('Amazon Data Set'!F:F,MATCH(Vlookup!A973,'Amazon Data Set'!A:A,0))</f>
        <v>Gurugram</v>
      </c>
    </row>
    <row r="974" spans="1:4">
      <c r="A974" s="16" t="s">
        <v>2429</v>
      </c>
      <c r="B974">
        <f>VLOOKUP(A974,Amazon_Data_Set[],20,FALSE)</f>
        <v>3858.85</v>
      </c>
      <c r="C974">
        <f>_xlfn.XLOOKUP(Vlookup!A974,Amazon_Data_Set[Order ID],Amazon_Data_Set[Profit])</f>
        <v>1444.5</v>
      </c>
      <c r="D974" t="str">
        <f>INDEX('Amazon Data Set'!F:F,MATCH(Vlookup!A974,'Amazon Data Set'!A:A,0))</f>
        <v>Mysuru</v>
      </c>
    </row>
    <row r="975" spans="1:4">
      <c r="A975" s="17" t="s">
        <v>2431</v>
      </c>
      <c r="B975">
        <f>VLOOKUP(A975,Amazon_Data_Set[],20,FALSE)</f>
        <v>606.96</v>
      </c>
      <c r="C975">
        <f>_xlfn.XLOOKUP(Vlookup!A975,Amazon_Data_Set[Order ID],Amazon_Data_Set[Profit])</f>
        <v>231.56</v>
      </c>
      <c r="D975" t="str">
        <f>INDEX('Amazon Data Set'!F:F,MATCH(Vlookup!A975,'Amazon Data Set'!A:A,0))</f>
        <v>Ahmedabad</v>
      </c>
    </row>
    <row r="976" spans="1:4">
      <c r="A976" s="16" t="s">
        <v>2433</v>
      </c>
      <c r="B976">
        <f>VLOOKUP(A976,Amazon_Data_Set[],20,FALSE)</f>
        <v>2152.44</v>
      </c>
      <c r="C976">
        <f>_xlfn.XLOOKUP(Vlookup!A976,Amazon_Data_Set[Order ID],Amazon_Data_Set[Profit])</f>
        <v>701.69</v>
      </c>
      <c r="D976" t="str">
        <f>INDEX('Amazon Data Set'!F:F,MATCH(Vlookup!A976,'Amazon Data Set'!A:A,0))</f>
        <v>Bhubaneswar</v>
      </c>
    </row>
    <row r="977" spans="1:4">
      <c r="A977" s="17" t="s">
        <v>2435</v>
      </c>
      <c r="B977">
        <f>VLOOKUP(A977,Amazon_Data_Set[],20,FALSE)</f>
        <v>2825.44</v>
      </c>
      <c r="C977">
        <f>_xlfn.XLOOKUP(Vlookup!A977,Amazon_Data_Set[Order ID],Amazon_Data_Set[Profit])</f>
        <v>581.42999999999995</v>
      </c>
      <c r="D977" t="str">
        <f>INDEX('Amazon Data Set'!F:F,MATCH(Vlookup!A977,'Amazon Data Set'!A:A,0))</f>
        <v>Mumbai</v>
      </c>
    </row>
    <row r="978" spans="1:4">
      <c r="A978" s="16" t="s">
        <v>2437</v>
      </c>
      <c r="B978">
        <f>VLOOKUP(A978,Amazon_Data_Set[],20,FALSE)</f>
        <v>1065.92</v>
      </c>
      <c r="C978">
        <f>_xlfn.XLOOKUP(Vlookup!A978,Amazon_Data_Set[Order ID],Amazon_Data_Set[Profit])</f>
        <v>478.72</v>
      </c>
      <c r="D978" t="str">
        <f>INDEX('Amazon Data Set'!F:F,MATCH(Vlookup!A978,'Amazon Data Set'!A:A,0))</f>
        <v>Mumbai</v>
      </c>
    </row>
    <row r="979" spans="1:4">
      <c r="A979" s="17" t="s">
        <v>2439</v>
      </c>
      <c r="B979">
        <f>VLOOKUP(A979,Amazon_Data_Set[],20,FALSE)</f>
        <v>462.62</v>
      </c>
      <c r="C979">
        <f>_xlfn.XLOOKUP(Vlookup!A979,Amazon_Data_Set[Order ID],Amazon_Data_Set[Profit])</f>
        <v>77.069999999999993</v>
      </c>
      <c r="D979" t="str">
        <f>INDEX('Amazon Data Set'!F:F,MATCH(Vlookup!A979,'Amazon Data Set'!A:A,0))</f>
        <v>Mumbai</v>
      </c>
    </row>
    <row r="980" spans="1:4">
      <c r="A980" s="16" t="s">
        <v>2441</v>
      </c>
      <c r="B980">
        <f>VLOOKUP(A980,Amazon_Data_Set[],20,FALSE)</f>
        <v>413.08</v>
      </c>
      <c r="C980">
        <f>_xlfn.XLOOKUP(Vlookup!A980,Amazon_Data_Set[Order ID],Amazon_Data_Set[Profit])</f>
        <v>88.95</v>
      </c>
      <c r="D980" t="str">
        <f>INDEX('Amazon Data Set'!F:F,MATCH(Vlookup!A980,'Amazon Data Set'!A:A,0))</f>
        <v>Kolkata</v>
      </c>
    </row>
    <row r="981" spans="1:4">
      <c r="A981" s="17" t="s">
        <v>2443</v>
      </c>
      <c r="B981">
        <f>VLOOKUP(A981,Amazon_Data_Set[],20,FALSE)</f>
        <v>11233.1</v>
      </c>
      <c r="C981">
        <f>_xlfn.XLOOKUP(Vlookup!A981,Amazon_Data_Set[Order ID],Amazon_Data_Set[Profit])</f>
        <v>3988.42</v>
      </c>
      <c r="D981" t="str">
        <f>INDEX('Amazon Data Set'!F:F,MATCH(Vlookup!A981,'Amazon Data Set'!A:A,0))</f>
        <v>Ludhiana</v>
      </c>
    </row>
    <row r="982" spans="1:4">
      <c r="A982" s="16" t="s">
        <v>2445</v>
      </c>
      <c r="B982">
        <f>VLOOKUP(A982,Amazon_Data_Set[],20,FALSE)</f>
        <v>1768.2</v>
      </c>
      <c r="C982">
        <f>_xlfn.XLOOKUP(Vlookup!A982,Amazon_Data_Set[Order ID],Amazon_Data_Set[Profit])</f>
        <v>358.32</v>
      </c>
      <c r="D982" t="str">
        <f>INDEX('Amazon Data Set'!F:F,MATCH(Vlookup!A982,'Amazon Data Set'!A:A,0))</f>
        <v>Ahmedabad</v>
      </c>
    </row>
    <row r="983" spans="1:4">
      <c r="A983" s="17" t="s">
        <v>2447</v>
      </c>
      <c r="B983">
        <f>VLOOKUP(A983,Amazon_Data_Set[],20,FALSE)</f>
        <v>3155.42</v>
      </c>
      <c r="C983">
        <f>_xlfn.XLOOKUP(Vlookup!A983,Amazon_Data_Set[Order ID],Amazon_Data_Set[Profit])</f>
        <v>923.81</v>
      </c>
      <c r="D983" t="str">
        <f>INDEX('Amazon Data Set'!F:F,MATCH(Vlookup!A983,'Amazon Data Set'!A:A,0))</f>
        <v>Pune</v>
      </c>
    </row>
    <row r="984" spans="1:4">
      <c r="A984" s="16" t="s">
        <v>2449</v>
      </c>
      <c r="B984">
        <f>VLOOKUP(A984,Amazon_Data_Set[],20,FALSE)</f>
        <v>453.36</v>
      </c>
      <c r="C984">
        <f>_xlfn.XLOOKUP(Vlookup!A984,Amazon_Data_Set[Order ID],Amazon_Data_Set[Profit])</f>
        <v>153.88999999999999</v>
      </c>
      <c r="D984" t="str">
        <f>INDEX('Amazon Data Set'!F:F,MATCH(Vlookup!A984,'Amazon Data Set'!A:A,0))</f>
        <v>Guwahati</v>
      </c>
    </row>
    <row r="985" spans="1:4">
      <c r="A985" s="17" t="s">
        <v>2451</v>
      </c>
      <c r="B985">
        <f>VLOOKUP(A985,Amazon_Data_Set[],20,FALSE)</f>
        <v>2844.26</v>
      </c>
      <c r="C985">
        <f>_xlfn.XLOOKUP(Vlookup!A985,Amazon_Data_Set[Order ID],Amazon_Data_Set[Profit])</f>
        <v>657.77</v>
      </c>
      <c r="D985" t="str">
        <f>INDEX('Amazon Data Set'!F:F,MATCH(Vlookup!A985,'Amazon Data Set'!A:A,0))</f>
        <v>Mumbai</v>
      </c>
    </row>
    <row r="986" spans="1:4">
      <c r="A986" s="16" t="s">
        <v>2453</v>
      </c>
      <c r="B986">
        <f>VLOOKUP(A986,Amazon_Data_Set[],20,FALSE)</f>
        <v>684.88</v>
      </c>
      <c r="C986">
        <f>_xlfn.XLOOKUP(Vlookup!A986,Amazon_Data_Set[Order ID],Amazon_Data_Set[Profit])</f>
        <v>175.57</v>
      </c>
      <c r="D986" t="str">
        <f>INDEX('Amazon Data Set'!F:F,MATCH(Vlookup!A986,'Amazon Data Set'!A:A,0))</f>
        <v>Ludhiana</v>
      </c>
    </row>
    <row r="987" spans="1:4">
      <c r="A987" s="17" t="s">
        <v>2455</v>
      </c>
      <c r="B987">
        <f>VLOOKUP(A987,Amazon_Data_Set[],20,FALSE)</f>
        <v>144905.28</v>
      </c>
      <c r="C987">
        <f>_xlfn.XLOOKUP(Vlookup!A987,Amazon_Data_Set[Order ID],Amazon_Data_Set[Profit])</f>
        <v>45799.5</v>
      </c>
      <c r="D987" t="str">
        <f>INDEX('Amazon Data Set'!F:F,MATCH(Vlookup!A987,'Amazon Data Set'!A:A,0))</f>
        <v>Ludhiana</v>
      </c>
    </row>
    <row r="988" spans="1:4">
      <c r="A988" s="16" t="s">
        <v>2457</v>
      </c>
      <c r="B988">
        <f>VLOOKUP(A988,Amazon_Data_Set[],20,FALSE)</f>
        <v>51244.08</v>
      </c>
      <c r="C988">
        <f>_xlfn.XLOOKUP(Vlookup!A988,Amazon_Data_Set[Order ID],Amazon_Data_Set[Profit])</f>
        <v>15726.15</v>
      </c>
      <c r="D988" t="str">
        <f>INDEX('Amazon Data Set'!F:F,MATCH(Vlookup!A988,'Amazon Data Set'!A:A,0))</f>
        <v>Pune</v>
      </c>
    </row>
    <row r="989" spans="1:4">
      <c r="A989" s="17" t="s">
        <v>2459</v>
      </c>
      <c r="B989">
        <f>VLOOKUP(A989,Amazon_Data_Set[],20,FALSE)</f>
        <v>10162.86</v>
      </c>
      <c r="C989">
        <f>_xlfn.XLOOKUP(Vlookup!A989,Amazon_Data_Set[Order ID],Amazon_Data_Set[Profit])</f>
        <v>2085.5700000000002</v>
      </c>
      <c r="D989" t="str">
        <f>INDEX('Amazon Data Set'!F:F,MATCH(Vlookup!A989,'Amazon Data Set'!A:A,0))</f>
        <v>Mumbai</v>
      </c>
    </row>
    <row r="990" spans="1:4">
      <c r="A990" s="16" t="s">
        <v>2461</v>
      </c>
      <c r="B990">
        <f>VLOOKUP(A990,Amazon_Data_Set[],20,FALSE)</f>
        <v>71554.78</v>
      </c>
      <c r="C990">
        <f>_xlfn.XLOOKUP(Vlookup!A990,Amazon_Data_Set[Order ID],Amazon_Data_Set[Profit])</f>
        <v>20223.04</v>
      </c>
      <c r="D990" t="str">
        <f>INDEX('Amazon Data Set'!F:F,MATCH(Vlookup!A990,'Amazon Data Set'!A:A,0))</f>
        <v>Hyderabad</v>
      </c>
    </row>
    <row r="991" spans="1:4">
      <c r="A991" s="17" t="s">
        <v>2463</v>
      </c>
      <c r="B991">
        <f>VLOOKUP(A991,Amazon_Data_Set[],20,FALSE)</f>
        <v>392.26</v>
      </c>
      <c r="C991">
        <f>_xlfn.XLOOKUP(Vlookup!A991,Amazon_Data_Set[Order ID],Amazon_Data_Set[Profit])</f>
        <v>6.51</v>
      </c>
      <c r="D991" t="str">
        <f>INDEX('Amazon Data Set'!F:F,MATCH(Vlookup!A991,'Amazon Data Set'!A:A,0))</f>
        <v>New Delhi</v>
      </c>
    </row>
    <row r="992" spans="1:4">
      <c r="A992" s="16" t="s">
        <v>2465</v>
      </c>
      <c r="B992">
        <f>VLOOKUP(A992,Amazon_Data_Set[],20,FALSE)</f>
        <v>2475.6</v>
      </c>
      <c r="C992">
        <f>_xlfn.XLOOKUP(Vlookup!A992,Amazon_Data_Set[Order ID],Amazon_Data_Set[Profit])</f>
        <v>1142.76</v>
      </c>
      <c r="D992" t="str">
        <f>INDEX('Amazon Data Set'!F:F,MATCH(Vlookup!A992,'Amazon Data Set'!A:A,0))</f>
        <v>Hyderabad</v>
      </c>
    </row>
    <row r="993" spans="1:4">
      <c r="A993" s="17" t="s">
        <v>2468</v>
      </c>
      <c r="B993">
        <f>VLOOKUP(A993,Amazon_Data_Set[],20,FALSE)</f>
        <v>3214.77</v>
      </c>
      <c r="C993">
        <f>_xlfn.XLOOKUP(Vlookup!A993,Amazon_Data_Set[Order ID],Amazon_Data_Set[Profit])</f>
        <v>757.39</v>
      </c>
      <c r="D993" t="str">
        <f>INDEX('Amazon Data Set'!F:F,MATCH(Vlookup!A993,'Amazon Data Set'!A:A,0))</f>
        <v>Mumbai</v>
      </c>
    </row>
    <row r="994" spans="1:4">
      <c r="A994" s="16" t="s">
        <v>2470</v>
      </c>
      <c r="B994">
        <f>VLOOKUP(A994,Amazon_Data_Set[],20,FALSE)</f>
        <v>3285.72</v>
      </c>
      <c r="C994">
        <f>_xlfn.XLOOKUP(Vlookup!A994,Amazon_Data_Set[Order ID],Amazon_Data_Set[Profit])</f>
        <v>855.95</v>
      </c>
      <c r="D994" t="str">
        <f>INDEX('Amazon Data Set'!F:F,MATCH(Vlookup!A994,'Amazon Data Set'!A:A,0))</f>
        <v>Jaipur</v>
      </c>
    </row>
    <row r="995" spans="1:4">
      <c r="A995" s="17" t="s">
        <v>2472</v>
      </c>
      <c r="B995">
        <f>VLOOKUP(A995,Amazon_Data_Set[],20,FALSE)</f>
        <v>3031.29</v>
      </c>
      <c r="C995">
        <f>_xlfn.XLOOKUP(Vlookup!A995,Amazon_Data_Set[Order ID],Amazon_Data_Set[Profit])</f>
        <v>1393.38</v>
      </c>
      <c r="D995" t="str">
        <f>INDEX('Amazon Data Set'!F:F,MATCH(Vlookup!A995,'Amazon Data Set'!A:A,0))</f>
        <v>Gurugram</v>
      </c>
    </row>
    <row r="996" spans="1:4">
      <c r="A996" s="16" t="s">
        <v>2474</v>
      </c>
      <c r="B996">
        <f>VLOOKUP(A996,Amazon_Data_Set[],20,FALSE)</f>
        <v>648.44000000000005</v>
      </c>
      <c r="C996">
        <f>_xlfn.XLOOKUP(Vlookup!A996,Amazon_Data_Set[Order ID],Amazon_Data_Set[Profit])</f>
        <v>144.47</v>
      </c>
      <c r="D996" t="str">
        <f>INDEX('Amazon Data Set'!F:F,MATCH(Vlookup!A996,'Amazon Data Set'!A:A,0))</f>
        <v>Hyderabad</v>
      </c>
    </row>
    <row r="997" spans="1:4">
      <c r="A997" s="17" t="s">
        <v>2476</v>
      </c>
      <c r="B997">
        <f>VLOOKUP(A997,Amazon_Data_Set[],20,FALSE)</f>
        <v>2399.67</v>
      </c>
      <c r="C997">
        <f>_xlfn.XLOOKUP(Vlookup!A997,Amazon_Data_Set[Order ID],Amazon_Data_Set[Profit])</f>
        <v>914.11</v>
      </c>
      <c r="D997" t="str">
        <f>INDEX('Amazon Data Set'!F:F,MATCH(Vlookup!A997,'Amazon Data Set'!A:A,0))</f>
        <v>Guwahati</v>
      </c>
    </row>
    <row r="998" spans="1:4">
      <c r="A998" s="16" t="s">
        <v>2478</v>
      </c>
      <c r="B998">
        <f>VLOOKUP(A998,Amazon_Data_Set[],20,FALSE)</f>
        <v>7742.8</v>
      </c>
      <c r="C998">
        <f>_xlfn.XLOOKUP(Vlookup!A998,Amazon_Data_Set[Order ID],Amazon_Data_Set[Profit])</f>
        <v>1877.9</v>
      </c>
      <c r="D998" t="str">
        <f>INDEX('Amazon Data Set'!F:F,MATCH(Vlookup!A998,'Amazon Data Set'!A:A,0))</f>
        <v>Ludhiana</v>
      </c>
    </row>
    <row r="999" spans="1:4">
      <c r="A999" s="17" t="s">
        <v>2480</v>
      </c>
      <c r="B999">
        <f>VLOOKUP(A999,Amazon_Data_Set[],20,FALSE)</f>
        <v>44520.3</v>
      </c>
      <c r="C999">
        <f>_xlfn.XLOOKUP(Vlookup!A999,Amazon_Data_Set[Order ID],Amazon_Data_Set[Profit])</f>
        <v>17501.849999999999</v>
      </c>
      <c r="D999" t="str">
        <f>INDEX('Amazon Data Set'!F:F,MATCH(Vlookup!A999,'Amazon Data Set'!A:A,0))</f>
        <v>Gurugram</v>
      </c>
    </row>
    <row r="1000" spans="1:4">
      <c r="A1000" s="16" t="s">
        <v>2482</v>
      </c>
      <c r="B1000">
        <f>VLOOKUP(A1000,Amazon_Data_Set[],20,FALSE)</f>
        <v>446.88</v>
      </c>
      <c r="C1000">
        <f>_xlfn.XLOOKUP(Vlookup!A1000,Amazon_Data_Set[Order ID],Amazon_Data_Set[Profit])</f>
        <v>48.64</v>
      </c>
      <c r="D1000" t="str">
        <f>INDEX('Amazon Data Set'!F:F,MATCH(Vlookup!A1000,'Amazon Data Set'!A:A,0))</f>
        <v>Kolkata</v>
      </c>
    </row>
    <row r="1001" spans="1:4">
      <c r="A1001" s="17" t="s">
        <v>2484</v>
      </c>
      <c r="B1001">
        <f>VLOOKUP(A1001,Amazon_Data_Set[],20,FALSE)</f>
        <v>1162.1500000000001</v>
      </c>
      <c r="C1001">
        <f>_xlfn.XLOOKUP(Vlookup!A1001,Amazon_Data_Set[Order ID],Amazon_Data_Set[Profit])</f>
        <v>167.42</v>
      </c>
      <c r="D1001" t="str">
        <f>INDEX('Amazon Data Set'!F:F,MATCH(Vlookup!A1001,'Amazon Data Set'!A:A,0))</f>
        <v>Mumbai</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D41B4-FFE7-42DE-A610-6001529F9355}">
  <sheetPr>
    <pageSetUpPr fitToPage="1"/>
  </sheetPr>
  <dimension ref="A1:AF29"/>
  <sheetViews>
    <sheetView showGridLines="0" topLeftCell="A16" zoomScale="99" zoomScaleNormal="99" workbookViewId="0">
      <selection activeCell="I33" sqref="I33"/>
    </sheetView>
  </sheetViews>
  <sheetFormatPr defaultRowHeight="13.8"/>
  <cols>
    <col min="1" max="30" width="8" style="11" customWidth="1"/>
    <col min="31" max="31" width="8.796875" style="11"/>
    <col min="32" max="33" width="0" style="11" hidden="1" customWidth="1"/>
    <col min="34" max="16384" width="8.796875" style="11"/>
  </cols>
  <sheetData>
    <row r="1" spans="1:32" ht="22.05" customHeight="1">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Net Sales",Pivot!$M$3),0)</f>
        <v>16203725.189999994</v>
      </c>
    </row>
    <row r="3" spans="1:32" ht="22.05" customHeight="1">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Sales Target",Pivot!$M$3),0)</f>
        <v>16936448.990000002</v>
      </c>
    </row>
    <row r="4" spans="1:32" ht="18" customHeight="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Profit",Pivot!$M$3),0)</f>
        <v>5759041.7799999909</v>
      </c>
    </row>
    <row r="5" spans="1:32" ht="18" customHeigh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Order ID",Pivot!$M$3),0)</f>
        <v>1000</v>
      </c>
    </row>
    <row r="6" spans="1:32" ht="18" customHeight="1">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Order ID",Pivot!$J$3,"Order Status","Delivered")/AF5,0)</f>
        <v>0.67800000000000005</v>
      </c>
    </row>
    <row r="7" spans="1:32" ht="18" customHeight="1">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16203.725189999994</v>
      </c>
    </row>
    <row r="8" spans="1:32" ht="18" customHeight="1">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Amazon Data Set</vt:lpstr>
      <vt:lpstr>Pivot</vt:lpstr>
      <vt:lpstr>Charts</vt:lpstr>
      <vt:lpstr>KPI</vt:lpstr>
      <vt:lpstr>Calculation</vt:lpstr>
      <vt:lpstr>Vlookup</vt:lpstr>
      <vt:lpstr>Dashboard</vt:lpstr>
      <vt:lpstr>GROSS_SALES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viraj</cp:lastModifiedBy>
  <cp:lastPrinted>2026-09-08T10:26:03Z</cp:lastPrinted>
  <dcterms:created xsi:type="dcterms:W3CDTF">2026-09-08T10:25:59Z</dcterms:created>
  <dcterms:modified xsi:type="dcterms:W3CDTF">2026-10-04T19:02:45Z</dcterms:modified>
</cp:coreProperties>
</file>